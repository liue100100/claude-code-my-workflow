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16"/>
  <workbookPr codeName="ThisWorkbook" hidePivotFieldList="1"/>
  <mc:AlternateContent xmlns:mc="http://schemas.openxmlformats.org/markup-compatibility/2006">
    <mc:Choice Requires="x15">
      <x15ac:absPath xmlns:x15ac="http://schemas.microsoft.com/office/spreadsheetml/2010/11/ac" url="https://aemocloud.sharepoint.com/sites/ElectricityMarketManagement/Shared Documents/Event Reports/Directions/Summary data and reports/Directions monthly reporting/20230502-20230527_May-23/"/>
    </mc:Choice>
  </mc:AlternateContent>
  <xr:revisionPtr revIDLastSave="0" documentId="8_{D0F8DF08-10B5-4F8D-BDF9-D76F29E585ED}" xr6:coauthVersionLast="47" xr6:coauthVersionMax="47" xr10:uidLastSave="{00000000-0000-0000-0000-000000000000}"/>
  <bookViews>
    <workbookView xWindow="28680" yWindow="-120" windowWidth="29040" windowHeight="15840" tabRatio="814" firstSheet="2" activeTab="2" xr2:uid="{87A305CA-387B-4955-BF9D-79D8D97648E2}"/>
  </bookViews>
  <sheets>
    <sheet name="Introduction" sheetId="33" r:id="rId1"/>
    <sheet name="Summary &amp; directions assessment" sheetId="7" r:id="rId2"/>
    <sheet name="Directions cost &amp; directed MWh" sheetId="20" r:id="rId3"/>
    <sheet name="Directions process adequacy" sheetId="29" r:id="rId4"/>
    <sheet name="Directions recovery rates" sheetId="9" r:id="rId5"/>
    <sheet name="Version history" sheetId="31" r:id="rId6"/>
    <sheet name="mockup public report" sheetId="6" state="hidden" r:id="rId7"/>
  </sheets>
  <definedNames>
    <definedName name="_xlnm._FilterDatabase" localSheetId="4" hidden="1">'Directions recovery rates'!$E$5:$J$7405</definedName>
    <definedName name="_xlnm._FilterDatabase" localSheetId="0" hidden="1">Introduction!$B$38:$I$38</definedName>
    <definedName name="_xlnm._FilterDatabase" localSheetId="6" hidden="1">'mockup public report'!$B$4:$J$1373</definedName>
    <definedName name="_Toc79062704" localSheetId="2">'Directions cost &amp; directed MWh'!#REF!</definedName>
    <definedName name="D2021454" localSheetId="3">#REF!</definedName>
    <definedName name="D2021454" localSheetId="0">#REF!</definedName>
    <definedName name="D2021454" localSheetId="5">#REF!</definedName>
    <definedName name="D2021454">#REF!</definedName>
    <definedName name="D2021455" localSheetId="3">#REF!</definedName>
    <definedName name="D2021455" localSheetId="0">#REF!</definedName>
    <definedName name="D2021455" localSheetId="5">#REF!</definedName>
    <definedName name="D2021455">#REF!</definedName>
    <definedName name="_xlnm.Print_Titles" localSheetId="2">'Directions cost &amp; directed MWh'!$29:$29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6" l="1"/>
  <c r="L6" i="6" s="1" a="1"/>
  <c r="B5" i="6" a="1"/>
  <c r="I206" i="6" s="1"/>
  <c r="L6" i="6" l="1"/>
  <c r="T104" i="6"/>
  <c r="S104" i="6"/>
  <c r="C5" i="9"/>
  <c r="E981" i="6"/>
  <c r="E845" i="6"/>
  <c r="I969" i="6"/>
  <c r="E983" i="6"/>
  <c r="E905" i="6"/>
  <c r="E948" i="6"/>
  <c r="E857" i="6"/>
  <c r="E669" i="6"/>
  <c r="F416" i="6"/>
  <c r="E1037" i="6"/>
  <c r="E889" i="6"/>
  <c r="E1017" i="6"/>
  <c r="E1034" i="6"/>
  <c r="I966" i="6"/>
  <c r="E535" i="6"/>
  <c r="E206" i="6"/>
  <c r="I546" i="6"/>
  <c r="E969" i="6"/>
  <c r="E903" i="6"/>
  <c r="E900" i="6"/>
  <c r="E1040" i="6"/>
  <c r="E996" i="6"/>
  <c r="E922" i="6"/>
  <c r="E919" i="6"/>
  <c r="E1104" i="6"/>
  <c r="E1124" i="6"/>
  <c r="E1025" i="6"/>
  <c r="E951" i="6"/>
  <c r="E929" i="6"/>
  <c r="E1033" i="6"/>
  <c r="E1065" i="6"/>
  <c r="E939" i="6"/>
  <c r="E1134" i="6"/>
  <c r="E1155" i="6"/>
  <c r="E1141" i="6"/>
  <c r="E927" i="6"/>
  <c r="E1058" i="6"/>
  <c r="E870" i="6"/>
  <c r="E881" i="6"/>
  <c r="I974" i="6"/>
  <c r="I856" i="6"/>
  <c r="I963" i="6"/>
  <c r="I977" i="6"/>
  <c r="I897" i="6"/>
  <c r="E523" i="6"/>
  <c r="E530" i="6"/>
  <c r="E571" i="6"/>
  <c r="E586" i="6"/>
  <c r="E700" i="6"/>
  <c r="E288" i="6"/>
  <c r="I816" i="6"/>
  <c r="J234" i="6"/>
  <c r="E899" i="6"/>
  <c r="E914" i="6"/>
  <c r="E1054" i="6"/>
  <c r="E849" i="6"/>
  <c r="I830" i="6"/>
  <c r="I980" i="6"/>
  <c r="E909" i="6"/>
  <c r="E989" i="6"/>
  <c r="E986" i="6"/>
  <c r="E1101" i="6"/>
  <c r="I853" i="6"/>
  <c r="E977" i="6"/>
  <c r="E1137" i="6"/>
  <c r="E1072" i="6"/>
  <c r="E883" i="6"/>
  <c r="E824" i="6"/>
  <c r="I932" i="6"/>
  <c r="I862" i="6"/>
  <c r="I916" i="6"/>
  <c r="I984" i="6"/>
  <c r="E518" i="6"/>
  <c r="E685" i="6"/>
  <c r="E773" i="6"/>
  <c r="E300" i="6"/>
  <c r="I765" i="6"/>
  <c r="D35" i="6"/>
  <c r="E888" i="6"/>
  <c r="E1082" i="6"/>
  <c r="E1013" i="6"/>
  <c r="E947" i="6"/>
  <c r="I846" i="6"/>
  <c r="E555" i="6"/>
  <c r="E975" i="6"/>
  <c r="E924" i="6"/>
  <c r="E1086" i="6"/>
  <c r="E851" i="6"/>
  <c r="E615" i="6"/>
  <c r="E978" i="6"/>
  <c r="E959" i="6"/>
  <c r="E912" i="6"/>
  <c r="E1039" i="6"/>
  <c r="E1018" i="6"/>
  <c r="E1050" i="6"/>
  <c r="E954" i="6"/>
  <c r="E985" i="6"/>
  <c r="E988" i="6"/>
  <c r="E933" i="6"/>
  <c r="E1143" i="6"/>
  <c r="E1056" i="6"/>
  <c r="E837" i="6"/>
  <c r="I971" i="6"/>
  <c r="E974" i="6"/>
  <c r="E972" i="6"/>
  <c r="E997" i="6"/>
  <c r="E913" i="6"/>
  <c r="E1051" i="6"/>
  <c r="E1131" i="6"/>
  <c r="E928" i="6"/>
  <c r="E963" i="6"/>
  <c r="I928" i="6"/>
  <c r="E260" i="6"/>
  <c r="E505" i="6"/>
  <c r="E519" i="6"/>
  <c r="E35" i="6"/>
  <c r="E386" i="6"/>
  <c r="D1312" i="6"/>
  <c r="I855" i="6"/>
  <c r="I959" i="6"/>
  <c r="E921" i="6"/>
  <c r="E957" i="6"/>
  <c r="I975" i="6"/>
  <c r="E890" i="6"/>
  <c r="E926" i="6"/>
  <c r="E901" i="6"/>
  <c r="E920" i="6"/>
  <c r="E906" i="6"/>
  <c r="E958" i="6"/>
  <c r="E1111" i="6"/>
  <c r="E1010" i="6"/>
  <c r="E1099" i="6"/>
  <c r="E839" i="6"/>
  <c r="I900" i="6"/>
  <c r="E510" i="6"/>
  <c r="E813" i="6"/>
  <c r="I1269" i="6"/>
  <c r="E970" i="6"/>
  <c r="E973" i="6"/>
  <c r="E892" i="6"/>
  <c r="E1024" i="6"/>
  <c r="E1061" i="6"/>
  <c r="E1067" i="6"/>
  <c r="E848" i="6"/>
  <c r="I843" i="6"/>
  <c r="E560" i="6"/>
  <c r="I570" i="6"/>
  <c r="E971" i="6"/>
  <c r="E893" i="6"/>
  <c r="E979" i="6"/>
  <c r="E1002" i="6"/>
  <c r="E998" i="6"/>
  <c r="E904" i="6"/>
  <c r="E917" i="6"/>
  <c r="E1140" i="6"/>
  <c r="E1135" i="6"/>
  <c r="E1048" i="6"/>
  <c r="E1151" i="6"/>
  <c r="E1106" i="6"/>
  <c r="E1150" i="6"/>
  <c r="E941" i="6"/>
  <c r="E1036" i="6"/>
  <c r="E1045" i="6"/>
  <c r="E880" i="6"/>
  <c r="I901" i="6"/>
  <c r="I958" i="6"/>
  <c r="I876" i="6"/>
  <c r="I865" i="6"/>
  <c r="I842" i="6"/>
  <c r="E811" i="6"/>
  <c r="E500" i="6"/>
  <c r="E539" i="6"/>
  <c r="E546" i="6"/>
  <c r="E673" i="6"/>
  <c r="E91" i="6"/>
  <c r="E459" i="6"/>
  <c r="I472" i="6"/>
  <c r="J1027" i="6"/>
  <c r="E982" i="6"/>
  <c r="E1035" i="6"/>
  <c r="E1105" i="6"/>
  <c r="E956" i="6"/>
  <c r="I860" i="6"/>
  <c r="I818" i="6"/>
  <c r="E984" i="6"/>
  <c r="E994" i="6"/>
  <c r="E1092" i="6"/>
  <c r="E902" i="6"/>
  <c r="E991" i="6"/>
  <c r="E999" i="6"/>
  <c r="E1059" i="6"/>
  <c r="E1149" i="6"/>
  <c r="E1044" i="6"/>
  <c r="E1042" i="6"/>
  <c r="I879" i="6"/>
  <c r="E1157" i="6"/>
  <c r="E373" i="6"/>
  <c r="E1000" i="6"/>
  <c r="E1109" i="6"/>
  <c r="E1094" i="6"/>
  <c r="E967" i="6"/>
  <c r="E850" i="6"/>
  <c r="I976" i="6"/>
  <c r="E976" i="6"/>
  <c r="E895" i="6"/>
  <c r="E1001" i="6"/>
  <c r="E987" i="6"/>
  <c r="E915" i="6"/>
  <c r="E898" i="6"/>
  <c r="E1142" i="6"/>
  <c r="E1047" i="6"/>
  <c r="E1009" i="6"/>
  <c r="E1107" i="6"/>
  <c r="E1100" i="6"/>
  <c r="E942" i="6"/>
  <c r="E1063" i="6"/>
  <c r="E1038" i="6"/>
  <c r="E1113" i="6"/>
  <c r="E1087" i="6"/>
  <c r="E823" i="6"/>
  <c r="I973" i="6"/>
  <c r="I883" i="6"/>
  <c r="I881" i="6"/>
  <c r="I965" i="6"/>
  <c r="I832" i="6"/>
  <c r="I990" i="6"/>
  <c r="E508" i="6"/>
  <c r="E534" i="6"/>
  <c r="E561" i="6"/>
  <c r="E668" i="6"/>
  <c r="E740" i="6"/>
  <c r="E122" i="6"/>
  <c r="E470" i="6"/>
  <c r="I297" i="6"/>
  <c r="E1052" i="6"/>
  <c r="E980" i="6"/>
  <c r="E599" i="6"/>
  <c r="E176" i="6"/>
  <c r="I1010" i="6"/>
  <c r="F976" i="6"/>
  <c r="F184" i="6"/>
  <c r="C511" i="6"/>
  <c r="C627" i="6"/>
  <c r="I14" i="6"/>
  <c r="I255" i="6"/>
  <c r="I520" i="6"/>
  <c r="I714" i="6"/>
  <c r="I772" i="6"/>
  <c r="I1046" i="6"/>
  <c r="E428" i="6"/>
  <c r="E354" i="6"/>
  <c r="E265" i="6"/>
  <c r="E195" i="6"/>
  <c r="E120" i="6"/>
  <c r="E36" i="6"/>
  <c r="E774" i="6"/>
  <c r="E722" i="6"/>
  <c r="E791" i="6"/>
  <c r="E770" i="6"/>
  <c r="E721" i="6"/>
  <c r="E698" i="6"/>
  <c r="E692" i="6"/>
  <c r="E681" i="6"/>
  <c r="E676" i="6"/>
  <c r="E665" i="6"/>
  <c r="E660" i="6"/>
  <c r="E614" i="6"/>
  <c r="E603" i="6"/>
  <c r="E598" i="6"/>
  <c r="E587" i="6"/>
  <c r="E582" i="6"/>
  <c r="E567" i="6"/>
  <c r="E548" i="6"/>
  <c r="E512" i="6"/>
  <c r="E810" i="6"/>
  <c r="I898" i="6"/>
  <c r="I1003" i="6"/>
  <c r="E269" i="6"/>
  <c r="E1152" i="6"/>
  <c r="I825" i="6"/>
  <c r="I839" i="6"/>
  <c r="I913" i="6"/>
  <c r="I849" i="6"/>
  <c r="I946" i="6"/>
  <c r="I890" i="6"/>
  <c r="I902" i="6"/>
  <c r="I939" i="6"/>
  <c r="I907" i="6"/>
  <c r="I857" i="6"/>
  <c r="I875" i="6"/>
  <c r="I852" i="6"/>
  <c r="I912" i="6"/>
  <c r="I877" i="6"/>
  <c r="I887" i="6"/>
  <c r="I851" i="6"/>
  <c r="I866" i="6"/>
  <c r="I844" i="6"/>
  <c r="E879" i="6"/>
  <c r="E831" i="6"/>
  <c r="E876" i="6"/>
  <c r="E853" i="6"/>
  <c r="E819" i="6"/>
  <c r="E852" i="6"/>
  <c r="E822" i="6"/>
  <c r="E859" i="6"/>
  <c r="E834" i="6"/>
  <c r="E1055" i="6"/>
  <c r="E1126" i="6"/>
  <c r="E949" i="6"/>
  <c r="E930" i="6"/>
  <c r="E1062" i="6"/>
  <c r="E1093" i="6"/>
  <c r="E1146" i="6"/>
  <c r="E1015" i="6"/>
  <c r="E1074" i="6"/>
  <c r="E1030" i="6"/>
  <c r="E1145" i="6"/>
  <c r="E1066" i="6"/>
  <c r="E1095" i="6"/>
  <c r="E943" i="6"/>
  <c r="E1119" i="6"/>
  <c r="E940" i="6"/>
  <c r="E910" i="6"/>
  <c r="E1132" i="6"/>
  <c r="C48" i="6"/>
  <c r="C322" i="6"/>
  <c r="I78" i="6"/>
  <c r="I343" i="6"/>
  <c r="I615" i="6"/>
  <c r="I1058" i="6"/>
  <c r="I1009" i="6"/>
  <c r="E438" i="6"/>
  <c r="E342" i="6"/>
  <c r="E250" i="6"/>
  <c r="E164" i="6"/>
  <c r="E78" i="6"/>
  <c r="E756" i="6"/>
  <c r="E752" i="6"/>
  <c r="E717" i="6"/>
  <c r="E689" i="6"/>
  <c r="E684" i="6"/>
  <c r="E672" i="6"/>
  <c r="E602" i="6"/>
  <c r="E573" i="6"/>
  <c r="E559" i="6"/>
  <c r="E553" i="6"/>
  <c r="E543" i="6"/>
  <c r="E538" i="6"/>
  <c r="E527" i="6"/>
  <c r="E522" i="6"/>
  <c r="E497" i="6"/>
  <c r="I1000" i="6"/>
  <c r="I981" i="6"/>
  <c r="I989" i="6"/>
  <c r="E258" i="6"/>
  <c r="I822" i="6"/>
  <c r="I834" i="6"/>
  <c r="I930" i="6"/>
  <c r="I940" i="6"/>
  <c r="I914" i="6"/>
  <c r="I950" i="6"/>
  <c r="I889" i="6"/>
  <c r="I868" i="6"/>
  <c r="I961" i="6"/>
  <c r="I933" i="6"/>
  <c r="I915" i="6"/>
  <c r="I951" i="6"/>
  <c r="I874" i="6"/>
  <c r="I967" i="6"/>
  <c r="I850" i="6"/>
  <c r="E886" i="6"/>
  <c r="E828" i="6"/>
  <c r="E868" i="6"/>
  <c r="E844" i="6"/>
  <c r="E875" i="6"/>
  <c r="E832" i="6"/>
  <c r="E864" i="6"/>
  <c r="E838" i="6"/>
  <c r="E1127" i="6"/>
  <c r="E925" i="6"/>
  <c r="E1133" i="6"/>
  <c r="E1144" i="6"/>
  <c r="E1138" i="6"/>
  <c r="E966" i="6"/>
  <c r="E936" i="6"/>
  <c r="E1128" i="6"/>
  <c r="E1076" i="6"/>
  <c r="E960" i="6"/>
  <c r="E1026" i="6"/>
  <c r="E1020" i="6"/>
  <c r="E1114" i="6"/>
  <c r="E1077" i="6"/>
  <c r="E968" i="6"/>
  <c r="E937" i="6"/>
  <c r="E1102" i="6"/>
  <c r="E931" i="6"/>
  <c r="E1057" i="6"/>
  <c r="E965" i="6"/>
  <c r="C1127" i="6"/>
  <c r="C64" i="6"/>
  <c r="I119" i="6"/>
  <c r="I385" i="6"/>
  <c r="I635" i="6"/>
  <c r="I1081" i="6"/>
  <c r="I1145" i="6"/>
  <c r="E416" i="6"/>
  <c r="E331" i="6"/>
  <c r="E237" i="6"/>
  <c r="E152" i="6"/>
  <c r="E67" i="6"/>
  <c r="E697" i="6"/>
  <c r="E789" i="6"/>
  <c r="E762" i="6"/>
  <c r="E739" i="6"/>
  <c r="E677" i="6"/>
  <c r="E654" i="6"/>
  <c r="E649" i="6"/>
  <c r="E638" i="6"/>
  <c r="E634" i="6"/>
  <c r="E630" i="6"/>
  <c r="E626" i="6"/>
  <c r="E622" i="6"/>
  <c r="E618" i="6"/>
  <c r="E607" i="6"/>
  <c r="E595" i="6"/>
  <c r="E590" i="6"/>
  <c r="E578" i="6"/>
  <c r="E568" i="6"/>
  <c r="E563" i="6"/>
  <c r="E550" i="6"/>
  <c r="E499" i="6"/>
  <c r="I1001" i="6"/>
  <c r="I985" i="6"/>
  <c r="I998" i="6"/>
  <c r="I823" i="6"/>
  <c r="I836" i="6"/>
  <c r="I921" i="6"/>
  <c r="I891" i="6"/>
  <c r="I854" i="6"/>
  <c r="I909" i="6"/>
  <c r="I863" i="6"/>
  <c r="I970" i="6"/>
  <c r="I949" i="6"/>
  <c r="I956" i="6"/>
  <c r="I845" i="6"/>
  <c r="I919" i="6"/>
  <c r="I864" i="6"/>
  <c r="I955" i="6"/>
  <c r="I873" i="6"/>
  <c r="I931" i="6"/>
  <c r="E873" i="6"/>
  <c r="E820" i="6"/>
  <c r="E866" i="6"/>
  <c r="E840" i="6"/>
  <c r="E871" i="6"/>
  <c r="E830" i="6"/>
  <c r="E861" i="6"/>
  <c r="E829" i="6"/>
  <c r="E1049" i="6"/>
  <c r="E1016" i="6"/>
  <c r="E1064" i="6"/>
  <c r="E1008" i="6"/>
  <c r="E1041" i="6"/>
  <c r="E1118" i="6"/>
  <c r="E938" i="6"/>
  <c r="E1012" i="6"/>
  <c r="E1117" i="6"/>
  <c r="E1154" i="6"/>
  <c r="E1043" i="6"/>
  <c r="E946" i="6"/>
  <c r="E1098" i="6"/>
  <c r="E1097" i="6"/>
  <c r="E1096" i="6"/>
  <c r="E923" i="6"/>
  <c r="E918" i="6"/>
  <c r="E1005" i="6"/>
  <c r="E1003" i="6"/>
  <c r="E993" i="6"/>
  <c r="E995" i="6"/>
  <c r="E908" i="6"/>
  <c r="E891" i="6"/>
  <c r="E896" i="6"/>
  <c r="E990" i="6"/>
  <c r="F805" i="6"/>
  <c r="D970" i="6"/>
  <c r="C295" i="6"/>
  <c r="I163" i="6"/>
  <c r="I429" i="6"/>
  <c r="I675" i="6"/>
  <c r="I760" i="6"/>
  <c r="I1078" i="6"/>
  <c r="E408" i="6"/>
  <c r="E323" i="6"/>
  <c r="E229" i="6"/>
  <c r="E144" i="6"/>
  <c r="E59" i="6"/>
  <c r="E787" i="6"/>
  <c r="E688" i="6"/>
  <c r="E583" i="6"/>
  <c r="E572" i="6"/>
  <c r="E547" i="6"/>
  <c r="E542" i="6"/>
  <c r="E531" i="6"/>
  <c r="E526" i="6"/>
  <c r="E507" i="6"/>
  <c r="E511" i="6"/>
  <c r="I1005" i="6"/>
  <c r="I1004" i="6"/>
  <c r="I999" i="6"/>
  <c r="I824" i="6"/>
  <c r="I840" i="6"/>
  <c r="I899" i="6"/>
  <c r="I972" i="6"/>
  <c r="I935" i="6"/>
  <c r="I903" i="6"/>
  <c r="I944" i="6"/>
  <c r="I918" i="6"/>
  <c r="I938" i="6"/>
  <c r="I867" i="6"/>
  <c r="I926" i="6"/>
  <c r="I922" i="6"/>
  <c r="I945" i="6"/>
  <c r="I861" i="6"/>
  <c r="I954" i="6"/>
  <c r="I925" i="6"/>
  <c r="E869" i="6"/>
  <c r="E882" i="6"/>
  <c r="E863" i="6"/>
  <c r="E836" i="6"/>
  <c r="E865" i="6"/>
  <c r="E826" i="6"/>
  <c r="E856" i="6"/>
  <c r="E825" i="6"/>
  <c r="E1022" i="6"/>
  <c r="E1085" i="6"/>
  <c r="E962" i="6"/>
  <c r="E1031" i="6"/>
  <c r="E1139" i="6"/>
  <c r="E1136" i="6"/>
  <c r="E1116" i="6"/>
  <c r="E953" i="6"/>
  <c r="E1029" i="6"/>
  <c r="E950" i="6"/>
  <c r="E1121" i="6"/>
  <c r="E1083" i="6"/>
  <c r="E1069" i="6"/>
  <c r="E1081" i="6"/>
  <c r="E955" i="6"/>
  <c r="E932" i="6"/>
  <c r="E1091" i="6"/>
  <c r="E1073" i="6"/>
  <c r="E961" i="6"/>
  <c r="E935" i="6"/>
  <c r="E1046" i="6"/>
  <c r="E1148" i="6"/>
  <c r="E1007" i="6"/>
  <c r="E1068" i="6"/>
  <c r="E1014" i="6"/>
  <c r="E1153" i="6"/>
  <c r="E1027" i="6"/>
  <c r="E911" i="6"/>
  <c r="E916" i="6"/>
  <c r="E907" i="6"/>
  <c r="E1004" i="6"/>
  <c r="E992" i="6"/>
  <c r="E897" i="6"/>
  <c r="E894" i="6"/>
  <c r="F575" i="6"/>
  <c r="C744" i="6"/>
  <c r="D584" i="6"/>
  <c r="I165" i="6"/>
  <c r="I431" i="6"/>
  <c r="I689" i="6"/>
  <c r="I580" i="6"/>
  <c r="E483" i="6"/>
  <c r="E397" i="6"/>
  <c r="E312" i="6"/>
  <c r="E219" i="6"/>
  <c r="E133" i="6"/>
  <c r="E48" i="6"/>
  <c r="E816" i="6"/>
  <c r="E809" i="6"/>
  <c r="E760" i="6"/>
  <c r="E733" i="6"/>
  <c r="E693" i="6"/>
  <c r="E664" i="6"/>
  <c r="E658" i="6"/>
  <c r="E653" i="6"/>
  <c r="E642" i="6"/>
  <c r="E637" i="6"/>
  <c r="E633" i="6"/>
  <c r="E629" i="6"/>
  <c r="E625" i="6"/>
  <c r="E621" i="6"/>
  <c r="E617" i="6"/>
  <c r="E611" i="6"/>
  <c r="E606" i="6"/>
  <c r="E594" i="6"/>
  <c r="E557" i="6"/>
  <c r="E515" i="6"/>
  <c r="E498" i="6"/>
  <c r="I994" i="6"/>
  <c r="I1006" i="6"/>
  <c r="I988" i="6"/>
  <c r="E1088" i="6"/>
  <c r="I828" i="6"/>
  <c r="I841" i="6"/>
  <c r="I885" i="6"/>
  <c r="I884" i="6"/>
  <c r="I929" i="6"/>
  <c r="I920" i="6"/>
  <c r="I858" i="6"/>
  <c r="I910" i="6"/>
  <c r="I895" i="6"/>
  <c r="I948" i="6"/>
  <c r="I894" i="6"/>
  <c r="I904" i="6"/>
  <c r="I847" i="6"/>
  <c r="I942" i="6"/>
  <c r="I947" i="6"/>
  <c r="I892" i="6"/>
  <c r="E858" i="6"/>
  <c r="E877" i="6"/>
  <c r="E860" i="6"/>
  <c r="E827" i="6"/>
  <c r="E862" i="6"/>
  <c r="E887" i="6"/>
  <c r="E854" i="6"/>
  <c r="E821" i="6"/>
  <c r="E1080" i="6"/>
  <c r="E1078" i="6"/>
  <c r="E1123" i="6"/>
  <c r="E1147" i="6"/>
  <c r="E1120" i="6"/>
  <c r="E934" i="6"/>
  <c r="E1032" i="6"/>
  <c r="E1125" i="6"/>
  <c r="E1089" i="6"/>
  <c r="E1053" i="6"/>
  <c r="E1108" i="6"/>
  <c r="E1090" i="6"/>
  <c r="E964" i="6"/>
  <c r="E1011" i="6"/>
  <c r="E945" i="6"/>
  <c r="E1019" i="6"/>
  <c r="E1084" i="6"/>
  <c r="E952" i="6"/>
  <c r="E1075" i="6"/>
  <c r="E1079" i="6"/>
  <c r="E1103" i="6"/>
  <c r="E944" i="6"/>
  <c r="E1112" i="6"/>
  <c r="E1070" i="6"/>
  <c r="E1115" i="6"/>
  <c r="E1071" i="6"/>
  <c r="E1110" i="6"/>
  <c r="E842" i="6"/>
  <c r="E867" i="6"/>
  <c r="E835" i="6"/>
  <c r="E878" i="6"/>
  <c r="E846" i="6"/>
  <c r="E872" i="6"/>
  <c r="E833" i="6"/>
  <c r="I911" i="6"/>
  <c r="I936" i="6"/>
  <c r="I886" i="6"/>
  <c r="I960" i="6"/>
  <c r="I870" i="6"/>
  <c r="I923" i="6"/>
  <c r="I937" i="6"/>
  <c r="I880" i="6"/>
  <c r="I957" i="6"/>
  <c r="I927" i="6"/>
  <c r="I869" i="6"/>
  <c r="I917" i="6"/>
  <c r="I859" i="6"/>
  <c r="I953" i="6"/>
  <c r="I833" i="6"/>
  <c r="I820" i="6"/>
  <c r="E261" i="6"/>
  <c r="I995" i="6"/>
  <c r="E503" i="6"/>
  <c r="E494" i="6"/>
  <c r="E554" i="6"/>
  <c r="E564" i="6"/>
  <c r="E569" i="6"/>
  <c r="E579" i="6"/>
  <c r="E591" i="6"/>
  <c r="E619" i="6"/>
  <c r="E623" i="6"/>
  <c r="E627" i="6"/>
  <c r="E631" i="6"/>
  <c r="E635" i="6"/>
  <c r="E645" i="6"/>
  <c r="E650" i="6"/>
  <c r="E661" i="6"/>
  <c r="E731" i="6"/>
  <c r="E696" i="6"/>
  <c r="E817" i="6"/>
  <c r="E1156" i="6"/>
  <c r="E90" i="6"/>
  <c r="E174" i="6"/>
  <c r="E264" i="6"/>
  <c r="E355" i="6"/>
  <c r="E440" i="6"/>
  <c r="I717" i="6"/>
  <c r="I647" i="6"/>
  <c r="I341" i="6"/>
  <c r="I73" i="6"/>
  <c r="D296" i="6"/>
  <c r="C1121" i="6"/>
  <c r="E1060" i="6"/>
  <c r="E1023" i="6"/>
  <c r="E1130" i="6"/>
  <c r="E1021" i="6"/>
  <c r="E1122" i="6"/>
  <c r="E1028" i="6"/>
  <c r="E847" i="6"/>
  <c r="E874" i="6"/>
  <c r="E843" i="6"/>
  <c r="E884" i="6"/>
  <c r="E855" i="6"/>
  <c r="E885" i="6"/>
  <c r="E841" i="6"/>
  <c r="I906" i="6"/>
  <c r="I941" i="6"/>
  <c r="I893" i="6"/>
  <c r="I968" i="6"/>
  <c r="I964" i="6"/>
  <c r="I888" i="6"/>
  <c r="I943" i="6"/>
  <c r="I905" i="6"/>
  <c r="I962" i="6"/>
  <c r="I934" i="6"/>
  <c r="I882" i="6"/>
  <c r="I924" i="6"/>
  <c r="I952" i="6"/>
  <c r="I878" i="6"/>
  <c r="I831" i="6"/>
  <c r="E818" i="6"/>
  <c r="E259" i="6"/>
  <c r="I997" i="6"/>
  <c r="I896" i="6"/>
  <c r="E513" i="6"/>
  <c r="E502" i="6"/>
  <c r="E556" i="6"/>
  <c r="E565" i="6"/>
  <c r="E575" i="6"/>
  <c r="E610" i="6"/>
  <c r="E620" i="6"/>
  <c r="E624" i="6"/>
  <c r="E628" i="6"/>
  <c r="E632" i="6"/>
  <c r="E636" i="6"/>
  <c r="E641" i="6"/>
  <c r="E646" i="6"/>
  <c r="E657" i="6"/>
  <c r="E680" i="6"/>
  <c r="E751" i="6"/>
  <c r="E805" i="6"/>
  <c r="E712" i="6"/>
  <c r="E702" i="6"/>
  <c r="E24" i="6"/>
  <c r="E109" i="6"/>
  <c r="E205" i="6"/>
  <c r="E299" i="6"/>
  <c r="E384" i="6"/>
  <c r="E469" i="6"/>
  <c r="I1122" i="6"/>
  <c r="I787" i="6"/>
  <c r="I521" i="6"/>
  <c r="I249" i="6"/>
  <c r="F553" i="6"/>
  <c r="D428" i="6"/>
  <c r="C1248" i="6"/>
  <c r="B5" i="9"/>
  <c r="E709" i="6"/>
  <c r="E726" i="6"/>
  <c r="E765" i="6"/>
  <c r="E788" i="6"/>
  <c r="E741" i="6"/>
  <c r="E713" i="6"/>
  <c r="E738" i="6"/>
  <c r="E26" i="6"/>
  <c r="E56" i="6"/>
  <c r="E80" i="6"/>
  <c r="E110" i="6"/>
  <c r="E141" i="6"/>
  <c r="E165" i="6"/>
  <c r="E196" i="6"/>
  <c r="E227" i="6"/>
  <c r="E251" i="6"/>
  <c r="E290" i="6"/>
  <c r="E320" i="6"/>
  <c r="E344" i="6"/>
  <c r="E374" i="6"/>
  <c r="E405" i="6"/>
  <c r="E429" i="6"/>
  <c r="E460" i="6"/>
  <c r="E491" i="6"/>
  <c r="I1128" i="6"/>
  <c r="I1018" i="6"/>
  <c r="I645" i="6"/>
  <c r="I547" i="6"/>
  <c r="I815" i="6"/>
  <c r="I707" i="6"/>
  <c r="I634" i="6"/>
  <c r="I543" i="6"/>
  <c r="I455" i="6"/>
  <c r="I367" i="6"/>
  <c r="I275" i="6"/>
  <c r="I189" i="6"/>
  <c r="I95" i="6"/>
  <c r="E1189" i="6"/>
  <c r="D150" i="6"/>
  <c r="C18" i="6"/>
  <c r="D720" i="6"/>
  <c r="D36" i="6"/>
  <c r="C437" i="6"/>
  <c r="D1161" i="6"/>
  <c r="J249" i="6"/>
  <c r="E27" i="6"/>
  <c r="E58" i="6"/>
  <c r="E88" i="6"/>
  <c r="E112" i="6"/>
  <c r="E142" i="6"/>
  <c r="E173" i="6"/>
  <c r="E197" i="6"/>
  <c r="E228" i="6"/>
  <c r="E263" i="6"/>
  <c r="E291" i="6"/>
  <c r="E322" i="6"/>
  <c r="E352" i="6"/>
  <c r="E376" i="6"/>
  <c r="E406" i="6"/>
  <c r="E437" i="6"/>
  <c r="E461" i="6"/>
  <c r="E492" i="6"/>
  <c r="I1090" i="6"/>
  <c r="I1035" i="6"/>
  <c r="I766" i="6"/>
  <c r="I1062" i="6"/>
  <c r="I794" i="6"/>
  <c r="I691" i="6"/>
  <c r="I617" i="6"/>
  <c r="I542" i="6"/>
  <c r="I453" i="6"/>
  <c r="I360" i="6"/>
  <c r="I273" i="6"/>
  <c r="I187" i="6"/>
  <c r="I94" i="6"/>
  <c r="E1191" i="6"/>
  <c r="C234" i="6"/>
  <c r="C22" i="6"/>
  <c r="C97" i="6"/>
  <c r="C410" i="6"/>
  <c r="D1220" i="6"/>
  <c r="D973" i="6"/>
  <c r="D1045" i="6"/>
  <c r="I908" i="6"/>
  <c r="I848" i="6"/>
  <c r="I871" i="6"/>
  <c r="I872" i="6"/>
  <c r="I838" i="6"/>
  <c r="I826" i="6"/>
  <c r="I978" i="6"/>
  <c r="E270" i="6"/>
  <c r="I979" i="6"/>
  <c r="I986" i="6"/>
  <c r="I987" i="6"/>
  <c r="E504" i="6"/>
  <c r="E501" i="6"/>
  <c r="E552" i="6"/>
  <c r="E558" i="6"/>
  <c r="E562" i="6"/>
  <c r="E566" i="6"/>
  <c r="E570" i="6"/>
  <c r="E574" i="6"/>
  <c r="E715" i="6"/>
  <c r="E695" i="6"/>
  <c r="E736" i="6"/>
  <c r="E755" i="6"/>
  <c r="E797" i="6"/>
  <c r="E706" i="6"/>
  <c r="E772" i="6"/>
  <c r="E795" i="6"/>
  <c r="E13" i="6"/>
  <c r="E37" i="6"/>
  <c r="E68" i="6"/>
  <c r="E99" i="6"/>
  <c r="E123" i="6"/>
  <c r="E154" i="6"/>
  <c r="E184" i="6"/>
  <c r="E208" i="6"/>
  <c r="E238" i="6"/>
  <c r="E277" i="6"/>
  <c r="E301" i="6"/>
  <c r="E332" i="6"/>
  <c r="E363" i="6"/>
  <c r="E387" i="6"/>
  <c r="E418" i="6"/>
  <c r="E448" i="6"/>
  <c r="E472" i="6"/>
  <c r="I1051" i="6"/>
  <c r="I735" i="6"/>
  <c r="I783" i="6"/>
  <c r="I773" i="6"/>
  <c r="I727" i="6"/>
  <c r="I763" i="6"/>
  <c r="I673" i="6"/>
  <c r="I602" i="6"/>
  <c r="I497" i="6"/>
  <c r="I411" i="6"/>
  <c r="I318" i="6"/>
  <c r="I231" i="6"/>
  <c r="I144" i="6"/>
  <c r="I49" i="6"/>
  <c r="F761" i="6"/>
  <c r="E1355" i="6"/>
  <c r="D121" i="6"/>
  <c r="I1268" i="6"/>
  <c r="D923" i="6"/>
  <c r="D682" i="6"/>
  <c r="F804" i="6"/>
  <c r="F139" i="6"/>
  <c r="E754" i="6"/>
  <c r="E14" i="6"/>
  <c r="E45" i="6"/>
  <c r="E69" i="6"/>
  <c r="E100" i="6"/>
  <c r="E131" i="6"/>
  <c r="E155" i="6"/>
  <c r="E186" i="6"/>
  <c r="E216" i="6"/>
  <c r="E240" i="6"/>
  <c r="E278" i="6"/>
  <c r="E309" i="6"/>
  <c r="E333" i="6"/>
  <c r="E364" i="6"/>
  <c r="E395" i="6"/>
  <c r="E419" i="6"/>
  <c r="E450" i="6"/>
  <c r="E480" i="6"/>
  <c r="I628" i="6"/>
  <c r="I1137" i="6"/>
  <c r="I1138" i="6"/>
  <c r="I1031" i="6"/>
  <c r="I1059" i="6"/>
  <c r="I740" i="6"/>
  <c r="I654" i="6"/>
  <c r="I592" i="6"/>
  <c r="I496" i="6"/>
  <c r="I409" i="6"/>
  <c r="I317" i="6"/>
  <c r="I230" i="6"/>
  <c r="I137" i="6"/>
  <c r="I48" i="6"/>
  <c r="F1206" i="6"/>
  <c r="C40" i="6"/>
  <c r="C552" i="6"/>
  <c r="C610" i="6"/>
  <c r="D541" i="6"/>
  <c r="C1202" i="6"/>
  <c r="D1366" i="6"/>
  <c r="F400" i="6"/>
  <c r="E784" i="6"/>
  <c r="E800" i="6"/>
  <c r="E807" i="6"/>
  <c r="E16" i="6"/>
  <c r="E46" i="6"/>
  <c r="E77" i="6"/>
  <c r="E101" i="6"/>
  <c r="E132" i="6"/>
  <c r="E163" i="6"/>
  <c r="E187" i="6"/>
  <c r="E218" i="6"/>
  <c r="E248" i="6"/>
  <c r="E280" i="6"/>
  <c r="E310" i="6"/>
  <c r="E341" i="6"/>
  <c r="E365" i="6"/>
  <c r="E396" i="6"/>
  <c r="E427" i="6"/>
  <c r="E451" i="6"/>
  <c r="E482" i="6"/>
  <c r="I655" i="6"/>
  <c r="I1056" i="6"/>
  <c r="I1057" i="6"/>
  <c r="I1124" i="6"/>
  <c r="I1126" i="6"/>
  <c r="I737" i="6"/>
  <c r="I653" i="6"/>
  <c r="I572" i="6"/>
  <c r="I479" i="6"/>
  <c r="I387" i="6"/>
  <c r="I301" i="6"/>
  <c r="I207" i="6"/>
  <c r="I120" i="6"/>
  <c r="I25" i="6"/>
  <c r="C167" i="6"/>
  <c r="C242" i="6"/>
  <c r="D96" i="6"/>
  <c r="E1249" i="6"/>
  <c r="D773" i="6"/>
  <c r="D722" i="6"/>
  <c r="F713" i="6"/>
  <c r="F269" i="6"/>
  <c r="J859" i="6"/>
  <c r="I1225" i="6"/>
  <c r="J732" i="6"/>
  <c r="F418" i="6"/>
  <c r="J1056" i="6"/>
  <c r="F1135" i="6"/>
  <c r="J866" i="6"/>
  <c r="J1116" i="6"/>
  <c r="F295" i="6"/>
  <c r="F1048" i="6"/>
  <c r="F645" i="6"/>
  <c r="J1359" i="6"/>
  <c r="J360" i="6"/>
  <c r="F1196" i="6"/>
  <c r="J524" i="6"/>
  <c r="F1163" i="6"/>
  <c r="F1046" i="6"/>
  <c r="F1268" i="6"/>
  <c r="F1292" i="6"/>
  <c r="J749" i="6"/>
  <c r="F775" i="6"/>
  <c r="F1167" i="6"/>
  <c r="F564" i="6"/>
  <c r="F1033" i="6"/>
  <c r="F1273" i="6"/>
  <c r="F894" i="6"/>
  <c r="F1248" i="6"/>
  <c r="F747" i="6"/>
  <c r="I1345" i="6"/>
  <c r="F1329" i="6"/>
  <c r="F22" i="6"/>
  <c r="F1298" i="6"/>
  <c r="F310" i="6"/>
  <c r="J358" i="6"/>
  <c r="J522" i="6"/>
  <c r="F438" i="6"/>
  <c r="J441" i="6"/>
  <c r="F114" i="6"/>
  <c r="F1202" i="6"/>
  <c r="F1093" i="6"/>
  <c r="F619" i="6"/>
  <c r="F560" i="6"/>
  <c r="F1190" i="6"/>
  <c r="F1005" i="6"/>
  <c r="J606" i="6"/>
  <c r="F809" i="6"/>
  <c r="J793" i="6"/>
  <c r="F1296" i="6"/>
  <c r="J955" i="6"/>
  <c r="F101" i="6"/>
  <c r="F434" i="6"/>
  <c r="F1349" i="6"/>
  <c r="J691" i="6"/>
  <c r="F596" i="6"/>
  <c r="F1366" i="6"/>
  <c r="F1264" i="6"/>
  <c r="F196" i="6"/>
  <c r="F402" i="6"/>
  <c r="J637" i="6"/>
  <c r="F1112" i="6"/>
  <c r="I1229" i="6"/>
  <c r="F1331" i="6"/>
  <c r="J880" i="6"/>
  <c r="F429" i="6"/>
  <c r="F228" i="6"/>
  <c r="F1270" i="6"/>
  <c r="F912" i="6"/>
  <c r="F1336" i="6"/>
  <c r="F1155" i="6"/>
  <c r="J372" i="6"/>
  <c r="F562" i="6"/>
  <c r="E1220" i="6"/>
  <c r="J245" i="6"/>
  <c r="I1346" i="6"/>
  <c r="J506" i="6"/>
  <c r="J140" i="6"/>
  <c r="J1341" i="6"/>
  <c r="J607" i="6"/>
  <c r="F509" i="6"/>
  <c r="F119" i="6"/>
  <c r="J654" i="6"/>
  <c r="F186" i="6"/>
  <c r="J238" i="6"/>
  <c r="F462" i="6"/>
  <c r="F1338" i="6"/>
  <c r="F52" i="6"/>
  <c r="F980" i="6"/>
  <c r="F386" i="6"/>
  <c r="F506" i="6"/>
  <c r="F432" i="6"/>
  <c r="F936" i="6"/>
  <c r="F653" i="6"/>
  <c r="J414" i="6"/>
  <c r="F515" i="6"/>
  <c r="J1242" i="6"/>
  <c r="F188" i="6"/>
  <c r="I1298" i="6"/>
  <c r="F207" i="6"/>
  <c r="F331" i="6"/>
  <c r="F51" i="6"/>
  <c r="F1203" i="6"/>
  <c r="F1347" i="6"/>
  <c r="F551" i="6"/>
  <c r="J1129" i="6"/>
  <c r="F203" i="6"/>
  <c r="J587" i="6"/>
  <c r="J29" i="6"/>
  <c r="J197" i="6"/>
  <c r="I1350" i="6"/>
  <c r="F757" i="6"/>
  <c r="F1321" i="6"/>
  <c r="J377" i="6"/>
  <c r="J1360" i="6"/>
  <c r="F752" i="6"/>
  <c r="J405" i="6"/>
  <c r="J1212" i="6"/>
  <c r="F35" i="6"/>
  <c r="J219" i="6"/>
  <c r="F426" i="6"/>
  <c r="J1119" i="6"/>
  <c r="F198" i="6"/>
  <c r="F680" i="6"/>
  <c r="F731" i="6"/>
  <c r="J200" i="6"/>
  <c r="J251" i="6"/>
  <c r="F1159" i="6"/>
  <c r="F250" i="6"/>
  <c r="J1306" i="6"/>
  <c r="F1064" i="6"/>
  <c r="J1062" i="6"/>
  <c r="F1369" i="6"/>
  <c r="F843" i="6"/>
  <c r="J1144" i="6"/>
  <c r="F162" i="6"/>
  <c r="F1038" i="6"/>
  <c r="F1233" i="6"/>
  <c r="J1066" i="6"/>
  <c r="F1006" i="6"/>
  <c r="J1125" i="6"/>
  <c r="F1309" i="6"/>
  <c r="F1103" i="6"/>
  <c r="J1038" i="6"/>
  <c r="J870" i="6"/>
  <c r="J751" i="6"/>
  <c r="F233" i="6"/>
  <c r="J1075" i="6"/>
  <c r="F92" i="6"/>
  <c r="F892" i="6"/>
  <c r="J122" i="6"/>
  <c r="F30" i="6"/>
  <c r="F869" i="6"/>
  <c r="F1199" i="6"/>
  <c r="J28" i="6"/>
  <c r="J1327" i="6"/>
  <c r="F730" i="6"/>
  <c r="J1317" i="6"/>
  <c r="J190" i="6"/>
  <c r="F1071" i="6"/>
  <c r="J225" i="6"/>
  <c r="F510" i="6"/>
  <c r="J521" i="6"/>
  <c r="J1267" i="6"/>
  <c r="F213" i="6"/>
  <c r="I1259" i="6"/>
  <c r="J852" i="6"/>
  <c r="J798" i="6"/>
  <c r="J1318" i="6"/>
  <c r="F901" i="6"/>
  <c r="J1174" i="6"/>
  <c r="J510" i="6"/>
  <c r="F962" i="6"/>
  <c r="J888" i="6"/>
  <c r="F187" i="6"/>
  <c r="J336" i="6"/>
  <c r="J488" i="6"/>
  <c r="F946" i="6"/>
  <c r="F604" i="6"/>
  <c r="F1012" i="6"/>
  <c r="F1326" i="6"/>
  <c r="F431" i="6"/>
  <c r="C1066" i="6"/>
  <c r="J1312" i="6"/>
  <c r="J799" i="6"/>
  <c r="F795" i="6"/>
  <c r="J809" i="6"/>
  <c r="J141" i="6"/>
  <c r="J1213" i="6"/>
  <c r="J100" i="6"/>
  <c r="F915" i="6"/>
  <c r="F1013" i="6"/>
  <c r="F1355" i="6"/>
  <c r="F695" i="6"/>
  <c r="F866" i="6"/>
  <c r="F66" i="6"/>
  <c r="F762" i="6"/>
  <c r="F1084" i="6"/>
  <c r="F455" i="6"/>
  <c r="F834" i="6"/>
  <c r="J943" i="6"/>
  <c r="J1149" i="6"/>
  <c r="D1224" i="6"/>
  <c r="F104" i="6"/>
  <c r="F93" i="6"/>
  <c r="F950" i="6"/>
  <c r="J1274" i="6"/>
  <c r="F646" i="6"/>
  <c r="F1164" i="6"/>
  <c r="F990" i="6"/>
  <c r="J229" i="6"/>
  <c r="J1361" i="6"/>
  <c r="I1296" i="6"/>
  <c r="J845" i="6"/>
  <c r="I1263" i="6"/>
  <c r="F986" i="6"/>
  <c r="J1189" i="6"/>
  <c r="J1135" i="6"/>
  <c r="J302" i="6"/>
  <c r="J1244" i="6"/>
  <c r="F1000" i="6"/>
  <c r="J1034" i="6"/>
  <c r="J1161" i="6"/>
  <c r="J1086" i="6"/>
  <c r="F542" i="6"/>
  <c r="F974" i="6"/>
  <c r="J1288" i="6"/>
  <c r="F57" i="6"/>
  <c r="J1001" i="6"/>
  <c r="J72" i="6"/>
  <c r="J380" i="6"/>
  <c r="F362" i="6"/>
  <c r="F175" i="6"/>
  <c r="I1316" i="6"/>
  <c r="J1060" i="6"/>
  <c r="F937" i="6"/>
  <c r="F592" i="6"/>
  <c r="F484" i="6"/>
  <c r="J1195" i="6"/>
  <c r="F631" i="6"/>
  <c r="F555" i="6"/>
  <c r="I1366" i="6"/>
  <c r="F667" i="6"/>
  <c r="F1219" i="6"/>
  <c r="J1259" i="6"/>
  <c r="J261" i="6"/>
  <c r="F1261" i="6"/>
  <c r="J385" i="6"/>
  <c r="F349" i="6"/>
  <c r="E1259" i="6"/>
  <c r="F445" i="6"/>
  <c r="J614" i="6"/>
  <c r="F19" i="6"/>
  <c r="J237" i="6"/>
  <c r="J43" i="6"/>
  <c r="J1264" i="6"/>
  <c r="F686" i="6"/>
  <c r="F1077" i="6"/>
  <c r="J902" i="6"/>
  <c r="J477" i="6"/>
  <c r="C1083" i="6"/>
  <c r="J628" i="6"/>
  <c r="J831" i="6"/>
  <c r="F875" i="6"/>
  <c r="F1037" i="6"/>
  <c r="F442" i="6"/>
  <c r="J1282" i="6"/>
  <c r="F601" i="6"/>
  <c r="F480" i="6"/>
  <c r="D419" i="6"/>
  <c r="J1295" i="6"/>
  <c r="F328" i="6"/>
  <c r="J820" i="6"/>
  <c r="F963" i="6"/>
  <c r="F1216" i="6"/>
  <c r="J431" i="6"/>
  <c r="D1252" i="6"/>
  <c r="F624" i="6"/>
  <c r="J99" i="6"/>
  <c r="F1278" i="6"/>
  <c r="F113" i="6"/>
  <c r="F249" i="6"/>
  <c r="F1136" i="6"/>
  <c r="J198" i="6"/>
  <c r="J458" i="6"/>
  <c r="J1185" i="6"/>
  <c r="J188" i="6"/>
  <c r="J350" i="6"/>
  <c r="D1037" i="6"/>
  <c r="F896" i="6"/>
  <c r="F1129" i="6"/>
  <c r="F314" i="6"/>
  <c r="J1367" i="6"/>
  <c r="J139" i="6"/>
  <c r="I1297" i="6"/>
  <c r="F1122" i="6"/>
  <c r="F467" i="6"/>
  <c r="F552" i="6"/>
  <c r="J1043" i="6"/>
  <c r="F895" i="6"/>
  <c r="F122" i="6"/>
  <c r="F794" i="6"/>
  <c r="J748" i="6"/>
  <c r="F1165" i="6"/>
  <c r="J718" i="6"/>
  <c r="J977" i="6"/>
  <c r="F151" i="6"/>
  <c r="J115" i="6"/>
  <c r="F704" i="6"/>
  <c r="J720" i="6"/>
  <c r="J570" i="6"/>
  <c r="J625" i="6"/>
  <c r="J172" i="6"/>
  <c r="J359" i="6"/>
  <c r="F172" i="6"/>
  <c r="F1240" i="6"/>
  <c r="F1143" i="6"/>
  <c r="J746" i="6"/>
  <c r="F935" i="6"/>
  <c r="F657" i="6"/>
  <c r="J675" i="6"/>
  <c r="F1320" i="6"/>
  <c r="F167" i="6"/>
  <c r="F587" i="6"/>
  <c r="F378" i="6"/>
  <c r="I1230" i="6"/>
  <c r="J1202" i="6"/>
  <c r="F387" i="6"/>
  <c r="F1323" i="6"/>
  <c r="F711" i="6"/>
  <c r="F1087" i="6"/>
  <c r="F150" i="6"/>
  <c r="F504" i="6"/>
  <c r="F734" i="6"/>
  <c r="F1098" i="6"/>
  <c r="J1214" i="6"/>
  <c r="J1036" i="6"/>
  <c r="F1200" i="6"/>
  <c r="F825" i="6"/>
  <c r="F1186" i="6"/>
  <c r="F103" i="6"/>
  <c r="J1022" i="6"/>
  <c r="J729" i="6"/>
  <c r="F54" i="6"/>
  <c r="J433" i="6"/>
  <c r="C678" i="6"/>
  <c r="J95" i="6"/>
  <c r="F243" i="6"/>
  <c r="I1293" i="6"/>
  <c r="F1356" i="6"/>
  <c r="F1168" i="6"/>
  <c r="J379" i="6"/>
  <c r="J603" i="6"/>
  <c r="J1002" i="6"/>
  <c r="F679" i="6"/>
  <c r="F225" i="6"/>
  <c r="F1041" i="6"/>
  <c r="F373" i="6"/>
  <c r="J692" i="6"/>
  <c r="J890" i="6"/>
  <c r="J162" i="6"/>
  <c r="D354" i="6"/>
  <c r="J619" i="6"/>
  <c r="I1311" i="6"/>
  <c r="J215" i="6"/>
  <c r="F715" i="6"/>
  <c r="F1307" i="6"/>
  <c r="F1152" i="6"/>
  <c r="F333" i="6"/>
  <c r="C1306" i="6"/>
  <c r="J283" i="6"/>
  <c r="J349" i="6"/>
  <c r="C970" i="6"/>
  <c r="J478" i="6"/>
  <c r="F396" i="6"/>
  <c r="F439" i="6"/>
  <c r="J1284" i="6"/>
  <c r="F952" i="6"/>
  <c r="F802" i="6"/>
  <c r="J37" i="6"/>
  <c r="F996" i="6"/>
  <c r="F1068" i="6"/>
  <c r="J133" i="6"/>
  <c r="F369" i="6"/>
  <c r="F893" i="6"/>
  <c r="F873" i="6"/>
  <c r="F665" i="6"/>
  <c r="F800" i="6"/>
  <c r="F1204" i="6"/>
  <c r="F477" i="6"/>
  <c r="F668" i="6"/>
  <c r="J893" i="6"/>
  <c r="J1124" i="6"/>
  <c r="F258" i="6"/>
  <c r="F1178" i="6"/>
  <c r="F692" i="6"/>
  <c r="J117" i="6"/>
  <c r="F638" i="6"/>
  <c r="F796" i="6"/>
  <c r="F1181" i="6"/>
  <c r="J678" i="6"/>
  <c r="J725" i="6"/>
  <c r="I1315" i="6"/>
  <c r="J700" i="6"/>
  <c r="F446" i="6"/>
  <c r="F567" i="6"/>
  <c r="F687" i="6"/>
  <c r="J1337" i="6"/>
  <c r="F732" i="6"/>
  <c r="F1095" i="6"/>
  <c r="J636" i="6"/>
  <c r="F534" i="6"/>
  <c r="F1102" i="6"/>
  <c r="F1236" i="6"/>
  <c r="F771" i="6"/>
  <c r="F531" i="6"/>
  <c r="F72" i="6"/>
  <c r="F1267" i="6"/>
  <c r="F664" i="6"/>
  <c r="J705" i="6"/>
  <c r="J353" i="6"/>
  <c r="J990" i="6"/>
  <c r="J1067" i="6"/>
  <c r="J17" i="6"/>
  <c r="J743" i="6"/>
  <c r="J704" i="6"/>
  <c r="D1050" i="6"/>
  <c r="J848" i="6"/>
  <c r="D1237" i="6"/>
  <c r="J755" i="6"/>
  <c r="J289" i="6"/>
  <c r="F407" i="6"/>
  <c r="F751" i="6"/>
  <c r="F1281" i="6"/>
  <c r="F888" i="6"/>
  <c r="F424" i="6"/>
  <c r="F659" i="6"/>
  <c r="J1332" i="6"/>
  <c r="J1085" i="6"/>
  <c r="J825" i="6"/>
  <c r="J1232" i="6"/>
  <c r="J375" i="6"/>
  <c r="J742" i="6"/>
  <c r="F1194" i="6"/>
  <c r="F1195" i="6"/>
  <c r="F12" i="6"/>
  <c r="J989" i="6"/>
  <c r="F157" i="6"/>
  <c r="D1099" i="6"/>
  <c r="J304" i="6"/>
  <c r="C1262" i="6"/>
  <c r="J1286" i="6"/>
  <c r="F435" i="6"/>
  <c r="F674" i="6"/>
  <c r="F257" i="6"/>
  <c r="F767" i="6"/>
  <c r="J1309" i="6"/>
  <c r="J1024" i="6"/>
  <c r="J541" i="6"/>
  <c r="D1136" i="6"/>
  <c r="I1327" i="6"/>
  <c r="F497" i="6"/>
  <c r="C1179" i="6"/>
  <c r="F170" i="6"/>
  <c r="F1360" i="6"/>
  <c r="F372" i="6"/>
  <c r="J1287" i="6"/>
  <c r="C367" i="6"/>
  <c r="C674" i="6"/>
  <c r="F47" i="6"/>
  <c r="J915" i="6"/>
  <c r="F105" i="6"/>
  <c r="J1126" i="6"/>
  <c r="J21" i="6"/>
  <c r="F1208" i="6"/>
  <c r="F285" i="6"/>
  <c r="D571" i="6"/>
  <c r="C1272" i="6"/>
  <c r="F847" i="6"/>
  <c r="J65" i="6"/>
  <c r="F1221" i="6"/>
  <c r="F733" i="6"/>
  <c r="J281" i="6"/>
  <c r="F883" i="6"/>
  <c r="J168" i="6"/>
  <c r="C1266" i="6"/>
  <c r="C1328" i="6"/>
  <c r="I1367" i="6"/>
  <c r="J1072" i="6"/>
  <c r="F1153" i="6"/>
  <c r="C1334" i="6"/>
  <c r="J598" i="6"/>
  <c r="J982" i="6"/>
  <c r="J1319" i="6"/>
  <c r="F448" i="6"/>
  <c r="F1035" i="6"/>
  <c r="J476" i="6"/>
  <c r="F361" i="6"/>
  <c r="J649" i="6"/>
  <c r="F925" i="6"/>
  <c r="F163" i="6"/>
  <c r="F753" i="6"/>
  <c r="J36" i="6"/>
  <c r="F13" i="6"/>
  <c r="F1367" i="6"/>
  <c r="F1076" i="6"/>
  <c r="F931" i="6"/>
  <c r="F401" i="6"/>
  <c r="F358" i="6"/>
  <c r="J348" i="6"/>
  <c r="J1301" i="6"/>
  <c r="J752" i="6"/>
  <c r="F806" i="6"/>
  <c r="J954" i="6"/>
  <c r="J788" i="6"/>
  <c r="J1265" i="6"/>
  <c r="F1008" i="6"/>
  <c r="J388" i="6"/>
  <c r="D1107" i="6"/>
  <c r="C985" i="6"/>
  <c r="J1042" i="6"/>
  <c r="J1134" i="6"/>
  <c r="J1344" i="6"/>
  <c r="J646" i="6"/>
  <c r="J401" i="6"/>
  <c r="J1311" i="6"/>
  <c r="F1054" i="6"/>
  <c r="C893" i="6"/>
  <c r="C399" i="6"/>
  <c r="J153" i="6"/>
  <c r="J586" i="6"/>
  <c r="J173" i="6"/>
  <c r="F427" i="6"/>
  <c r="F872" i="6"/>
  <c r="J193" i="6"/>
  <c r="F443" i="6"/>
  <c r="J159" i="6"/>
  <c r="F1245" i="6"/>
  <c r="F1160" i="6"/>
  <c r="C1331" i="6"/>
  <c r="J810" i="6"/>
  <c r="J313" i="6"/>
  <c r="J373" i="6"/>
  <c r="J953" i="6"/>
  <c r="J271" i="6"/>
  <c r="F468" i="6"/>
  <c r="J688" i="6"/>
  <c r="J437" i="6"/>
  <c r="F220" i="6"/>
  <c r="J493" i="6"/>
  <c r="F1302" i="6"/>
  <c r="F1351" i="6"/>
  <c r="F125" i="6"/>
  <c r="J1138" i="6"/>
  <c r="F799" i="6"/>
  <c r="J149" i="6"/>
  <c r="F165" i="6"/>
  <c r="F73" i="6"/>
  <c r="F50" i="6"/>
  <c r="J1142" i="6"/>
  <c r="J392" i="6"/>
  <c r="F204" i="6"/>
  <c r="J1224" i="6"/>
  <c r="I1332" i="6"/>
  <c r="J894" i="6"/>
  <c r="J255" i="6"/>
  <c r="J1346" i="6"/>
  <c r="I1333" i="6"/>
  <c r="J1109" i="6"/>
  <c r="F342" i="6"/>
  <c r="F1259" i="6"/>
  <c r="F398" i="6"/>
  <c r="F972" i="6"/>
  <c r="I1349" i="6"/>
  <c r="F642" i="6"/>
  <c r="F919" i="6"/>
  <c r="F98" i="6"/>
  <c r="J270" i="6"/>
  <c r="F238" i="6"/>
  <c r="J1148" i="6"/>
  <c r="J841" i="6"/>
  <c r="F544" i="6"/>
  <c r="J513" i="6"/>
  <c r="J1241" i="6"/>
  <c r="F971" i="6"/>
  <c r="F801" i="6"/>
  <c r="F878" i="6"/>
  <c r="J1304" i="6"/>
  <c r="J1196" i="6"/>
  <c r="F845" i="6"/>
  <c r="J1333" i="6"/>
  <c r="J972" i="6"/>
  <c r="F271" i="6"/>
  <c r="J670" i="6"/>
  <c r="J24" i="6"/>
  <c r="J231" i="6"/>
  <c r="J939" i="6"/>
  <c r="J698" i="6"/>
  <c r="F632" i="6"/>
  <c r="J443" i="6"/>
  <c r="C801" i="6"/>
  <c r="J924" i="6"/>
  <c r="F390" i="6"/>
  <c r="F676" i="6"/>
  <c r="F1212" i="6"/>
  <c r="J1190" i="6"/>
  <c r="F1026" i="6"/>
  <c r="F993" i="6"/>
  <c r="J73" i="6"/>
  <c r="J309" i="6"/>
  <c r="F97" i="6"/>
  <c r="F1002" i="6"/>
  <c r="J329" i="6"/>
  <c r="J421" i="6"/>
  <c r="J447" i="6"/>
  <c r="J276" i="6"/>
  <c r="F939" i="6"/>
  <c r="J908" i="6"/>
  <c r="J1292" i="6"/>
  <c r="J176" i="6"/>
  <c r="J1128" i="6"/>
  <c r="F703" i="6"/>
  <c r="F1149" i="6"/>
  <c r="J710" i="6"/>
  <c r="J667" i="6"/>
  <c r="J351" i="6"/>
  <c r="J1192" i="6"/>
  <c r="F494" i="6"/>
  <c r="J949" i="6"/>
  <c r="F1335" i="6"/>
  <c r="F230" i="6"/>
  <c r="J1131" i="6"/>
  <c r="F46" i="6"/>
  <c r="I1329" i="6"/>
  <c r="F421" i="6"/>
  <c r="J1206" i="6"/>
  <c r="J900" i="6"/>
  <c r="J160" i="6"/>
  <c r="J1220" i="6"/>
  <c r="F115" i="6"/>
  <c r="J1329" i="6"/>
  <c r="J311" i="6"/>
  <c r="J648" i="6"/>
  <c r="J1227" i="6"/>
  <c r="J1348" i="6"/>
  <c r="F351" i="6"/>
  <c r="J497" i="6"/>
  <c r="J589" i="6"/>
  <c r="D673" i="6"/>
  <c r="F326" i="6"/>
  <c r="F618" i="6"/>
  <c r="F678" i="6"/>
  <c r="F630" i="6"/>
  <c r="J1270" i="6"/>
  <c r="F662" i="6"/>
  <c r="F524" i="6"/>
  <c r="F736" i="6"/>
  <c r="F1251" i="6"/>
  <c r="C1243" i="6"/>
  <c r="F1227" i="6"/>
  <c r="F714" i="6"/>
  <c r="J532" i="6"/>
  <c r="J855" i="6"/>
  <c r="F154" i="6"/>
  <c r="J617" i="6"/>
  <c r="J181" i="6"/>
  <c r="F1132" i="6"/>
  <c r="J931" i="6"/>
  <c r="F229" i="6"/>
  <c r="F148" i="6"/>
  <c r="J1204" i="6"/>
  <c r="F694" i="6"/>
  <c r="J199" i="6"/>
  <c r="F127" i="6"/>
  <c r="F718" i="6"/>
  <c r="F1171" i="6"/>
  <c r="J885" i="6"/>
  <c r="F765" i="6"/>
  <c r="J1133" i="6"/>
  <c r="J31" i="6"/>
  <c r="F1174" i="6"/>
  <c r="J1290" i="6"/>
  <c r="F774" i="6"/>
  <c r="F1142" i="6"/>
  <c r="F1083" i="6"/>
  <c r="F1028" i="6"/>
  <c r="J832" i="6"/>
  <c r="F110" i="6"/>
  <c r="F36" i="6"/>
  <c r="J218" i="6"/>
  <c r="F323" i="6"/>
  <c r="J569" i="6"/>
  <c r="F239" i="6"/>
  <c r="F457" i="6"/>
  <c r="J1175" i="6"/>
  <c r="F1158" i="6"/>
  <c r="J435" i="6"/>
  <c r="F1003" i="6"/>
  <c r="F543" i="6"/>
  <c r="J1313" i="6"/>
  <c r="D1041" i="6"/>
  <c r="J1026" i="6"/>
  <c r="F32" i="6"/>
  <c r="F262" i="6"/>
  <c r="J858" i="6"/>
  <c r="J992" i="6"/>
  <c r="F381" i="6"/>
  <c r="F1252" i="6"/>
  <c r="F117" i="6"/>
  <c r="D1011" i="6"/>
  <c r="F1325" i="6"/>
  <c r="J980" i="6"/>
  <c r="J460" i="6"/>
  <c r="J27" i="6"/>
  <c r="J1010" i="6"/>
  <c r="J730" i="6"/>
  <c r="J1150" i="6"/>
  <c r="F559" i="6"/>
  <c r="J233" i="6"/>
  <c r="J766" i="6"/>
  <c r="J228" i="6"/>
  <c r="F951" i="6"/>
  <c r="F109" i="6"/>
  <c r="J1326" i="6"/>
  <c r="J609" i="6"/>
  <c r="J593" i="6"/>
  <c r="J1200" i="6"/>
  <c r="J363" i="6"/>
  <c r="F245" i="6"/>
  <c r="J951" i="6"/>
  <c r="J445" i="6"/>
  <c r="J469" i="6"/>
  <c r="F1051" i="6"/>
  <c r="J937" i="6"/>
  <c r="J728" i="6"/>
  <c r="J425" i="6"/>
  <c r="J699" i="6"/>
  <c r="D1300" i="6"/>
  <c r="C818" i="6"/>
  <c r="J305" i="6"/>
  <c r="F725" i="6"/>
  <c r="F465" i="6"/>
  <c r="F1228" i="6"/>
  <c r="J1176" i="6"/>
  <c r="C861" i="6"/>
  <c r="J463" i="6"/>
  <c r="D1352" i="6"/>
  <c r="F1231" i="6"/>
  <c r="J1008" i="6"/>
  <c r="F525" i="6"/>
  <c r="J480" i="6"/>
  <c r="J572" i="6"/>
  <c r="F350" i="6"/>
  <c r="C953" i="6"/>
  <c r="F721" i="6"/>
  <c r="J1071" i="6"/>
  <c r="J662" i="6"/>
  <c r="J1281" i="6"/>
  <c r="J1023" i="6"/>
  <c r="D749" i="6"/>
  <c r="J344" i="6"/>
  <c r="J711" i="6"/>
  <c r="J817" i="6"/>
  <c r="F546" i="6"/>
  <c r="J391" i="6"/>
  <c r="J543" i="6"/>
  <c r="C757" i="6"/>
  <c r="C906" i="6"/>
  <c r="F1358" i="6"/>
  <c r="J897" i="6"/>
  <c r="J590" i="6"/>
  <c r="C1278" i="6"/>
  <c r="F917" i="6"/>
  <c r="J553" i="6"/>
  <c r="F817" i="6"/>
  <c r="F503" i="6"/>
  <c r="C379" i="6"/>
  <c r="J319" i="6"/>
  <c r="J212" i="6"/>
  <c r="F741" i="6"/>
  <c r="J604" i="6"/>
  <c r="J1000" i="6"/>
  <c r="J759" i="6"/>
  <c r="J850" i="6"/>
  <c r="J254" i="6"/>
  <c r="D1284" i="6"/>
  <c r="J932" i="6"/>
  <c r="J46" i="6"/>
  <c r="J647" i="6"/>
  <c r="J1009" i="6"/>
  <c r="J868" i="6"/>
  <c r="J1250" i="6"/>
  <c r="J582" i="6"/>
  <c r="C1214" i="6"/>
  <c r="F748" i="6"/>
  <c r="D1365" i="6"/>
  <c r="J546" i="6"/>
  <c r="J548" i="6"/>
  <c r="J701" i="6"/>
  <c r="F81" i="6"/>
  <c r="D358" i="6"/>
  <c r="D1203" i="6"/>
  <c r="J872" i="6"/>
  <c r="D1165" i="6"/>
  <c r="D1353" i="6"/>
  <c r="F520" i="6"/>
  <c r="F441" i="6"/>
  <c r="J116" i="6"/>
  <c r="F905" i="6"/>
  <c r="F294" i="6"/>
  <c r="F99" i="6"/>
  <c r="J323" i="6"/>
  <c r="C419" i="6"/>
  <c r="F315" i="6"/>
  <c r="F612" i="6"/>
  <c r="F787" i="6"/>
  <c r="J731" i="6"/>
  <c r="F1024" i="6"/>
  <c r="F856" i="6"/>
  <c r="F708" i="6"/>
  <c r="F1019" i="6"/>
  <c r="F966" i="6"/>
  <c r="J792" i="6"/>
  <c r="I1299" i="6"/>
  <c r="F620" i="6"/>
  <c r="J318" i="6"/>
  <c r="F533" i="6"/>
  <c r="F1074" i="6"/>
  <c r="F292" i="6"/>
  <c r="F482" i="6"/>
  <c r="F673" i="6"/>
  <c r="F1284" i="6"/>
  <c r="J352" i="6"/>
  <c r="J668" i="6"/>
  <c r="J457" i="6"/>
  <c r="J687" i="6"/>
  <c r="J241" i="6"/>
  <c r="F841" i="6"/>
  <c r="F616" i="6"/>
  <c r="J1170" i="6"/>
  <c r="F728" i="6"/>
  <c r="F168" i="6"/>
  <c r="F578" i="6"/>
  <c r="F584" i="6"/>
  <c r="J1305" i="6"/>
  <c r="F926" i="6"/>
  <c r="J105" i="6"/>
  <c r="J56" i="6"/>
  <c r="I1234" i="6"/>
  <c r="J479" i="6"/>
  <c r="F469" i="6"/>
  <c r="J26" i="6"/>
  <c r="J1107" i="6"/>
  <c r="J1065" i="6"/>
  <c r="F654" i="6"/>
  <c r="F858" i="6"/>
  <c r="J1199" i="6"/>
  <c r="F31" i="6"/>
  <c r="J266" i="6"/>
  <c r="F602" i="6"/>
  <c r="J1277" i="6"/>
  <c r="F1299" i="6"/>
  <c r="F633" i="6"/>
  <c r="F1023" i="6"/>
  <c r="F586" i="6"/>
  <c r="J94" i="6"/>
  <c r="J1252" i="6"/>
  <c r="J1113" i="6"/>
  <c r="F499" i="6"/>
  <c r="J25" i="6"/>
  <c r="F953" i="6"/>
  <c r="F647" i="6"/>
  <c r="F1175" i="6"/>
  <c r="C822" i="6"/>
  <c r="J686" i="6"/>
  <c r="F724" i="6"/>
  <c r="J453" i="6"/>
  <c r="F749" i="6"/>
  <c r="J326" i="6"/>
  <c r="J1114" i="6"/>
  <c r="J760" i="6"/>
  <c r="J770" i="6"/>
  <c r="J89" i="6"/>
  <c r="F621" i="6"/>
  <c r="F942" i="6"/>
  <c r="J652" i="6"/>
  <c r="F1042" i="6"/>
  <c r="J499" i="6"/>
  <c r="F144" i="6"/>
  <c r="C698" i="6"/>
  <c r="J736" i="6"/>
  <c r="J47" i="6"/>
  <c r="J1217" i="6"/>
  <c r="F199" i="6"/>
  <c r="J273" i="6"/>
  <c r="D856" i="6"/>
  <c r="J573" i="6"/>
  <c r="D1327" i="6"/>
  <c r="F456" i="6"/>
  <c r="F854" i="6"/>
  <c r="F317" i="6"/>
  <c r="J738" i="6"/>
  <c r="J1307" i="6"/>
  <c r="F831" i="6"/>
  <c r="J1169" i="6"/>
  <c r="D1344" i="6"/>
  <c r="F280" i="6"/>
  <c r="J602" i="6"/>
  <c r="F164" i="6"/>
  <c r="J993" i="6"/>
  <c r="F781" i="6"/>
  <c r="J976" i="6"/>
  <c r="F286" i="6"/>
  <c r="F1362" i="6"/>
  <c r="J714" i="6"/>
  <c r="F819" i="6"/>
  <c r="F791" i="6"/>
  <c r="J574" i="6"/>
  <c r="F810" i="6"/>
  <c r="C873" i="6"/>
  <c r="F1289" i="6"/>
  <c r="F486" i="6"/>
  <c r="F1352" i="6"/>
  <c r="F367" i="6"/>
  <c r="J1058" i="6"/>
  <c r="J125" i="6"/>
  <c r="F64" i="6"/>
  <c r="J892" i="6"/>
  <c r="F1123" i="6"/>
  <c r="F811" i="6"/>
  <c r="F786" i="6"/>
  <c r="J1143" i="6"/>
  <c r="J1018" i="6"/>
  <c r="F1223" i="6"/>
  <c r="F247" i="6"/>
  <c r="F135" i="6"/>
  <c r="J1314" i="6"/>
  <c r="J816" i="6"/>
  <c r="F1125" i="6"/>
  <c r="F735" i="6"/>
  <c r="F224" i="6"/>
  <c r="J277" i="6"/>
  <c r="F764" i="6"/>
  <c r="J747" i="6"/>
  <c r="J180" i="6"/>
  <c r="J110" i="6"/>
  <c r="J1251" i="6"/>
  <c r="J801" i="6"/>
  <c r="F628" i="6"/>
  <c r="J986" i="6"/>
  <c r="J796" i="6"/>
  <c r="C954" i="6"/>
  <c r="C1096" i="6"/>
  <c r="J465" i="6"/>
  <c r="J163" i="6"/>
  <c r="F797" i="6"/>
  <c r="J282" i="6"/>
  <c r="J1257" i="6"/>
  <c r="J1028" i="6"/>
  <c r="J131" i="6"/>
  <c r="C745" i="6"/>
  <c r="J1320" i="6"/>
  <c r="J581" i="6"/>
  <c r="F1246" i="6"/>
  <c r="F118" i="6"/>
  <c r="J1243" i="6"/>
  <c r="F598" i="6"/>
  <c r="F1272" i="6"/>
  <c r="C1257" i="6"/>
  <c r="J991" i="6"/>
  <c r="D1140" i="6"/>
  <c r="J1268" i="6"/>
  <c r="J256" i="6"/>
  <c r="F191" i="6"/>
  <c r="J554" i="6"/>
  <c r="J814" i="6"/>
  <c r="F123" i="6"/>
  <c r="F1116" i="6"/>
  <c r="J844" i="6"/>
  <c r="I1282" i="6"/>
  <c r="F1277" i="6"/>
  <c r="F876" i="6"/>
  <c r="F242" i="6"/>
  <c r="F335" i="6"/>
  <c r="F221" i="6"/>
  <c r="J129" i="6"/>
  <c r="J30" i="6"/>
  <c r="I1218" i="6"/>
  <c r="J1340" i="6"/>
  <c r="F932" i="6"/>
  <c r="J1371" i="6"/>
  <c r="J1105" i="6"/>
  <c r="J1275" i="6"/>
  <c r="F960" i="6"/>
  <c r="F518" i="6"/>
  <c r="F268" i="6"/>
  <c r="J1166" i="6"/>
  <c r="F479" i="6"/>
  <c r="F923" i="6"/>
  <c r="D889" i="6"/>
  <c r="F1140" i="6"/>
  <c r="F1007" i="6"/>
  <c r="F842" i="6"/>
  <c r="I1266" i="6"/>
  <c r="F898" i="6"/>
  <c r="J945" i="6"/>
  <c r="J368" i="6"/>
  <c r="F1288" i="6"/>
  <c r="J779" i="6"/>
  <c r="F981" i="6"/>
  <c r="F1343" i="6"/>
  <c r="J1321" i="6"/>
  <c r="J542" i="6"/>
  <c r="J186" i="6"/>
  <c r="F375" i="6"/>
  <c r="J158" i="6"/>
  <c r="J952" i="6"/>
  <c r="J1261" i="6"/>
  <c r="J1271" i="6"/>
  <c r="J661" i="6"/>
  <c r="J1365" i="6"/>
  <c r="F33" i="6"/>
  <c r="J475" i="6"/>
  <c r="F1105" i="6"/>
  <c r="F961" i="6"/>
  <c r="J778" i="6"/>
  <c r="J672" i="6"/>
  <c r="F1346" i="6"/>
  <c r="J399" i="6"/>
  <c r="F591" i="6"/>
  <c r="J1343" i="6"/>
  <c r="J520" i="6"/>
  <c r="F444" i="6"/>
  <c r="F821" i="6"/>
  <c r="I1277" i="6"/>
  <c r="J1294" i="6"/>
  <c r="F141" i="6"/>
  <c r="F39" i="6"/>
  <c r="F142" i="6"/>
  <c r="F959" i="6"/>
  <c r="F1106" i="6"/>
  <c r="F319" i="6"/>
  <c r="J64" i="6"/>
  <c r="J608" i="6"/>
  <c r="C1172" i="6"/>
  <c r="F501" i="6"/>
  <c r="J998" i="6"/>
  <c r="J1177" i="6"/>
  <c r="J1137" i="6"/>
  <c r="F964" i="6"/>
  <c r="D1088" i="6"/>
  <c r="J571" i="6"/>
  <c r="J773" i="6"/>
  <c r="J208" i="6"/>
  <c r="F770" i="6"/>
  <c r="J192" i="6"/>
  <c r="F529" i="6"/>
  <c r="F17" i="6"/>
  <c r="J429" i="6"/>
  <c r="F1059" i="6"/>
  <c r="J297" i="6"/>
  <c r="J1156" i="6"/>
  <c r="F885" i="6"/>
  <c r="F348" i="6"/>
  <c r="J579" i="6"/>
  <c r="F580" i="6"/>
  <c r="F356" i="6"/>
  <c r="D1048" i="6"/>
  <c r="F212" i="6"/>
  <c r="F675" i="6"/>
  <c r="F824" i="6"/>
  <c r="F855" i="6"/>
  <c r="C1049" i="6"/>
  <c r="J96" i="6"/>
  <c r="J1231" i="6"/>
  <c r="F818" i="6"/>
  <c r="J601" i="6"/>
  <c r="J1299" i="6"/>
  <c r="F1100" i="6"/>
  <c r="J109" i="6"/>
  <c r="J999" i="6"/>
  <c r="J961" i="6"/>
  <c r="J712" i="6"/>
  <c r="F1121" i="6"/>
  <c r="D1164" i="6"/>
  <c r="J889" i="6"/>
  <c r="F913" i="6"/>
  <c r="J783" i="6"/>
  <c r="F481" i="6"/>
  <c r="F744" i="6"/>
  <c r="J1285" i="6"/>
  <c r="F354" i="6"/>
  <c r="F303" i="6"/>
  <c r="C930" i="6"/>
  <c r="J950" i="6"/>
  <c r="D1181" i="6"/>
  <c r="F539" i="6"/>
  <c r="J1373" i="6"/>
  <c r="J252" i="6"/>
  <c r="J1087" i="6"/>
  <c r="D841" i="6"/>
  <c r="F478" i="6"/>
  <c r="C1117" i="6"/>
  <c r="F1315" i="6"/>
  <c r="J1260" i="6"/>
  <c r="J45" i="6"/>
  <c r="F776" i="6"/>
  <c r="C689" i="6"/>
  <c r="F1244" i="6"/>
  <c r="F884" i="6"/>
  <c r="F519" i="6"/>
  <c r="F483" i="6"/>
  <c r="F263" i="6"/>
  <c r="J919" i="6"/>
  <c r="D1367" i="6"/>
  <c r="C913" i="6"/>
  <c r="J555" i="6"/>
  <c r="J369" i="6"/>
  <c r="D1318" i="6"/>
  <c r="D828" i="6"/>
  <c r="F911" i="6"/>
  <c r="F1230" i="6"/>
  <c r="J827" i="6"/>
  <c r="D1240" i="6"/>
  <c r="F411" i="6"/>
  <c r="D1207" i="6"/>
  <c r="J1368" i="6"/>
  <c r="F671" i="6"/>
  <c r="C1318" i="6"/>
  <c r="F388" i="6"/>
  <c r="J1226" i="6"/>
  <c r="F293" i="6"/>
  <c r="D710" i="6"/>
  <c r="F1211" i="6"/>
  <c r="J138" i="6"/>
  <c r="F341" i="6"/>
  <c r="F136" i="6"/>
  <c r="J1247" i="6"/>
  <c r="F428" i="6"/>
  <c r="F780" i="6"/>
  <c r="F941" i="6"/>
  <c r="D581" i="6"/>
  <c r="F377" i="6"/>
  <c r="J1068" i="6"/>
  <c r="J768" i="6"/>
  <c r="F1333" i="6"/>
  <c r="I1320" i="6"/>
  <c r="J39" i="6"/>
  <c r="C1247" i="6"/>
  <c r="D1160" i="6"/>
  <c r="F940" i="6"/>
  <c r="C1213" i="6"/>
  <c r="J917" i="6"/>
  <c r="J299" i="6"/>
  <c r="D892" i="6"/>
  <c r="J214" i="6"/>
  <c r="C1283" i="6"/>
  <c r="C1301" i="6"/>
  <c r="C988" i="6"/>
  <c r="J983" i="6"/>
  <c r="J35" i="6"/>
  <c r="C1282" i="6"/>
  <c r="J22" i="6"/>
  <c r="C1171" i="6"/>
  <c r="C1020" i="6"/>
  <c r="F289" i="6"/>
  <c r="J1080" i="6"/>
  <c r="J210" i="6"/>
  <c r="F437" i="6"/>
  <c r="J1179" i="6"/>
  <c r="F120" i="6"/>
  <c r="J407" i="6"/>
  <c r="D1369" i="6"/>
  <c r="D646" i="6"/>
  <c r="J259" i="6"/>
  <c r="F65" i="6"/>
  <c r="F945" i="6"/>
  <c r="J67" i="6"/>
  <c r="J995" i="6"/>
  <c r="J529" i="6"/>
  <c r="C917" i="6"/>
  <c r="C670" i="6"/>
  <c r="J706" i="6"/>
  <c r="D1211" i="6"/>
  <c r="C1095" i="6"/>
  <c r="F832" i="6"/>
  <c r="J1089" i="6"/>
  <c r="C1177" i="6"/>
  <c r="J719" i="6"/>
  <c r="D1236" i="6"/>
  <c r="D857" i="6"/>
  <c r="C1183" i="6"/>
  <c r="C1059" i="6"/>
  <c r="F490" i="6"/>
  <c r="D711" i="6"/>
  <c r="F576" i="6"/>
  <c r="F864" i="6"/>
  <c r="J929" i="6"/>
  <c r="C945" i="6"/>
  <c r="J567" i="6"/>
  <c r="C1125" i="6"/>
  <c r="C605" i="6"/>
  <c r="C1195" i="6"/>
  <c r="C1022" i="6"/>
  <c r="D637" i="6"/>
  <c r="D1293" i="6"/>
  <c r="C623" i="6"/>
  <c r="J663" i="6"/>
  <c r="C1333" i="6"/>
  <c r="D1109" i="6"/>
  <c r="C1147" i="6"/>
  <c r="C726" i="6"/>
  <c r="D1077" i="6"/>
  <c r="J169" i="6"/>
  <c r="D212" i="6"/>
  <c r="C1338" i="6"/>
  <c r="F658" i="6"/>
  <c r="J1117" i="6"/>
  <c r="F793" i="6"/>
  <c r="F423" i="6"/>
  <c r="J1099" i="6"/>
  <c r="J907" i="6"/>
  <c r="I1252" i="6"/>
  <c r="D1307" i="6"/>
  <c r="D717" i="6"/>
  <c r="D1144" i="6"/>
  <c r="J320" i="6"/>
  <c r="J132" i="6"/>
  <c r="C1030" i="6"/>
  <c r="J1273" i="6"/>
  <c r="J57" i="6"/>
  <c r="D869" i="6"/>
  <c r="C1150" i="6"/>
  <c r="C768" i="6"/>
  <c r="E1341" i="6"/>
  <c r="J612" i="6"/>
  <c r="C443" i="6"/>
  <c r="C832" i="6"/>
  <c r="J562" i="6"/>
  <c r="D1335" i="6"/>
  <c r="C1359" i="6"/>
  <c r="D754" i="6"/>
  <c r="D312" i="6"/>
  <c r="D140" i="6"/>
  <c r="C1165" i="6"/>
  <c r="F1185" i="6"/>
  <c r="D900" i="6"/>
  <c r="D733" i="6"/>
  <c r="J54" i="6"/>
  <c r="C1287" i="6"/>
  <c r="D1322" i="6"/>
  <c r="C359" i="6"/>
  <c r="D760" i="6"/>
  <c r="C1091" i="6"/>
  <c r="C683" i="6"/>
  <c r="J258" i="6"/>
  <c r="D1351" i="6"/>
  <c r="C1109" i="6"/>
  <c r="D1010" i="6"/>
  <c r="D1067" i="6"/>
  <c r="C915" i="6"/>
  <c r="C688" i="6"/>
  <c r="C758" i="6"/>
  <c r="D144" i="6"/>
  <c r="F1086" i="6"/>
  <c r="D1065" i="6"/>
  <c r="C1184" i="6"/>
  <c r="C415" i="6"/>
  <c r="J643" i="6"/>
  <c r="D1111" i="6"/>
  <c r="D1177" i="6"/>
  <c r="D531" i="6"/>
  <c r="C583" i="6"/>
  <c r="C963" i="6"/>
  <c r="C1174" i="6"/>
  <c r="C992" i="6"/>
  <c r="D1032" i="6"/>
  <c r="J1079" i="6"/>
  <c r="D349" i="6"/>
  <c r="C1061" i="6"/>
  <c r="D1027" i="6"/>
  <c r="D591" i="6"/>
  <c r="C784" i="6"/>
  <c r="C392" i="6"/>
  <c r="D1329" i="6"/>
  <c r="D1295" i="6"/>
  <c r="C748" i="6"/>
  <c r="D759" i="6"/>
  <c r="D1138" i="6"/>
  <c r="D988" i="6"/>
  <c r="D1125" i="6"/>
  <c r="D718" i="6"/>
  <c r="D417" i="6"/>
  <c r="D1274" i="6"/>
  <c r="D885" i="6"/>
  <c r="D1143" i="6"/>
  <c r="D797" i="6"/>
  <c r="D818" i="6"/>
  <c r="C418" i="6"/>
  <c r="J356" i="6"/>
  <c r="D1210" i="6"/>
  <c r="C455" i="6"/>
  <c r="D1145" i="6"/>
  <c r="C1308" i="6"/>
  <c r="C663" i="6"/>
  <c r="D1227" i="6"/>
  <c r="D789" i="6"/>
  <c r="D924" i="6"/>
  <c r="C860" i="6"/>
  <c r="D943" i="6"/>
  <c r="D804" i="6"/>
  <c r="D723" i="6"/>
  <c r="C372" i="6"/>
  <c r="D736" i="6"/>
  <c r="F987" i="6"/>
  <c r="C1217" i="6"/>
  <c r="D1189" i="6"/>
  <c r="F169" i="6"/>
  <c r="J709" i="6"/>
  <c r="F871" i="6"/>
  <c r="F1247" i="6"/>
  <c r="F707" i="6"/>
  <c r="I1310" i="6"/>
  <c r="F55" i="6"/>
  <c r="F1342" i="6"/>
  <c r="F1363" i="6"/>
  <c r="J925" i="6"/>
  <c r="J1074" i="6"/>
  <c r="F989" i="6"/>
  <c r="C838" i="6"/>
  <c r="F652" i="6"/>
  <c r="F1147" i="6"/>
  <c r="F1180" i="6"/>
  <c r="F532" i="6"/>
  <c r="J106" i="6"/>
  <c r="F1318" i="6"/>
  <c r="J591" i="6"/>
  <c r="F284" i="6"/>
  <c r="F745" i="6"/>
  <c r="J1245" i="6"/>
  <c r="J127" i="6"/>
  <c r="F355" i="6"/>
  <c r="F1146" i="6"/>
  <c r="F309" i="6"/>
  <c r="J763" i="6"/>
  <c r="F218" i="6"/>
  <c r="F803" i="6"/>
  <c r="J347" i="6"/>
  <c r="F340" i="6"/>
  <c r="F769" i="6"/>
  <c r="F216" i="6"/>
  <c r="F321" i="6"/>
  <c r="J1283" i="6"/>
  <c r="F259" i="6"/>
  <c r="J10" i="6"/>
  <c r="F185" i="6"/>
  <c r="F476" i="6"/>
  <c r="J685" i="6"/>
  <c r="J1364" i="6"/>
  <c r="F266" i="6"/>
  <c r="F1283" i="6"/>
  <c r="F537" i="6"/>
  <c r="F639" i="6"/>
  <c r="J410" i="6"/>
  <c r="J427" i="6"/>
  <c r="F650" i="6"/>
  <c r="F1079" i="6"/>
  <c r="J906" i="6"/>
  <c r="F493" i="6"/>
  <c r="J1051" i="6"/>
  <c r="F70" i="6"/>
  <c r="J81" i="6"/>
  <c r="F594" i="6"/>
  <c r="J167" i="6"/>
  <c r="F1080" i="6"/>
  <c r="J913" i="6"/>
  <c r="F454" i="6"/>
  <c r="J464" i="6"/>
  <c r="J507" i="6"/>
  <c r="I1228" i="6"/>
  <c r="J525" i="6"/>
  <c r="J496" i="6"/>
  <c r="J1239" i="6"/>
  <c r="J280" i="6"/>
  <c r="J260" i="6"/>
  <c r="J247" i="6"/>
  <c r="F1361" i="6"/>
  <c r="J206" i="6"/>
  <c r="F174" i="6"/>
  <c r="J1159" i="6"/>
  <c r="F1097" i="6"/>
  <c r="F25" i="6"/>
  <c r="F495" i="6"/>
  <c r="J912" i="6"/>
  <c r="J936" i="6"/>
  <c r="F298" i="6"/>
  <c r="C817" i="6"/>
  <c r="F62" i="6"/>
  <c r="J239" i="6"/>
  <c r="F253" i="6"/>
  <c r="F307" i="6"/>
  <c r="F881" i="6"/>
  <c r="D1262" i="6"/>
  <c r="J565" i="6"/>
  <c r="J677" i="6"/>
  <c r="J1236" i="6"/>
  <c r="J1016" i="6"/>
  <c r="F759" i="6"/>
  <c r="J611" i="6"/>
  <c r="J19" i="6"/>
  <c r="J824" i="6"/>
  <c r="F1060" i="6"/>
  <c r="F1256" i="6"/>
  <c r="F933" i="6"/>
  <c r="F312" i="6"/>
  <c r="J1235" i="6"/>
  <c r="F1239" i="6"/>
  <c r="J1017" i="6"/>
  <c r="F38" i="6"/>
  <c r="J1172" i="6"/>
  <c r="C1114" i="6"/>
  <c r="F80" i="6"/>
  <c r="J630" i="6"/>
  <c r="F1091" i="6"/>
  <c r="J424" i="6"/>
  <c r="J155" i="6"/>
  <c r="F34" i="6"/>
  <c r="F808" i="6"/>
  <c r="J1145" i="6"/>
  <c r="I1280" i="6"/>
  <c r="J600" i="6"/>
  <c r="F763" i="6"/>
  <c r="J1097" i="6"/>
  <c r="I1261" i="6"/>
  <c r="C852" i="6"/>
  <c r="C724" i="6"/>
  <c r="J107" i="6"/>
  <c r="J446" i="6"/>
  <c r="J1115" i="6"/>
  <c r="J151" i="6"/>
  <c r="F18" i="6"/>
  <c r="C1293" i="6"/>
  <c r="F281" i="6"/>
  <c r="J596" i="6"/>
  <c r="J674" i="6"/>
  <c r="F201" i="6"/>
  <c r="D1325" i="6"/>
  <c r="D1245" i="6"/>
  <c r="J263" i="6"/>
  <c r="F87" i="6"/>
  <c r="F723" i="6"/>
  <c r="J371" i="6"/>
  <c r="F197" i="6"/>
  <c r="F1313" i="6"/>
  <c r="C809" i="6"/>
  <c r="D1296" i="6"/>
  <c r="C712" i="6"/>
  <c r="J500" i="6"/>
  <c r="J531" i="6"/>
  <c r="D1347" i="6"/>
  <c r="D1248" i="6"/>
  <c r="F291" i="6"/>
  <c r="F1031" i="6"/>
  <c r="F327" i="6"/>
  <c r="F177" i="6"/>
  <c r="F625" i="6"/>
  <c r="J1092" i="6"/>
  <c r="J8" i="6"/>
  <c r="F48" i="6"/>
  <c r="C1145" i="6"/>
  <c r="J49" i="6"/>
  <c r="J341" i="6"/>
  <c r="F1044" i="6"/>
  <c r="D1187" i="6"/>
  <c r="F1058" i="6"/>
  <c r="F613" i="6"/>
  <c r="J166" i="6"/>
  <c r="F1191" i="6"/>
  <c r="F965" i="6"/>
  <c r="F814" i="6"/>
  <c r="J684" i="6"/>
  <c r="J1095" i="6"/>
  <c r="F68" i="6"/>
  <c r="J1253" i="6"/>
  <c r="J923" i="6"/>
  <c r="F1127" i="6"/>
  <c r="F712" i="6"/>
  <c r="J726" i="6"/>
  <c r="J784" i="6"/>
  <c r="C1336" i="6"/>
  <c r="C1298" i="6"/>
  <c r="J7" i="6"/>
  <c r="J119" i="6"/>
  <c r="J737" i="6"/>
  <c r="J402" i="6"/>
  <c r="C1327" i="6"/>
  <c r="C794" i="6"/>
  <c r="D1277" i="6"/>
  <c r="D811" i="6"/>
  <c r="J1123" i="6"/>
  <c r="J1350" i="6"/>
  <c r="C272" i="6"/>
  <c r="D824" i="6"/>
  <c r="C1222" i="6"/>
  <c r="C572" i="6"/>
  <c r="C1073" i="6"/>
  <c r="F691" i="6"/>
  <c r="J717" i="6"/>
  <c r="F337" i="6"/>
  <c r="J409" i="6"/>
  <c r="J1088" i="6"/>
  <c r="C539" i="6"/>
  <c r="D1129" i="6"/>
  <c r="C840" i="6"/>
  <c r="D744" i="6"/>
  <c r="F977" i="6"/>
  <c r="C1281" i="6"/>
  <c r="F656" i="6"/>
  <c r="F561" i="6"/>
  <c r="J869" i="6"/>
  <c r="F813" i="6"/>
  <c r="C1112" i="6"/>
  <c r="D1285" i="6"/>
  <c r="C1170" i="6"/>
  <c r="F1294" i="6"/>
  <c r="J491" i="6"/>
  <c r="C1343" i="6"/>
  <c r="J994" i="6"/>
  <c r="J393" i="6"/>
  <c r="J1345" i="6"/>
  <c r="C1342" i="6"/>
  <c r="J387" i="6"/>
  <c r="D1244" i="6"/>
  <c r="D308" i="6"/>
  <c r="F275" i="6"/>
  <c r="J278" i="6"/>
  <c r="J70" i="6"/>
  <c r="F410" i="6"/>
  <c r="F1207" i="6"/>
  <c r="D902" i="6"/>
  <c r="C1349" i="6"/>
  <c r="F1039" i="6"/>
  <c r="D1213" i="6"/>
  <c r="J487" i="6"/>
  <c r="C1229" i="6"/>
  <c r="D292" i="6"/>
  <c r="D899" i="6"/>
  <c r="C604" i="6"/>
  <c r="D1137" i="6"/>
  <c r="J423" i="6"/>
  <c r="D1303" i="6"/>
  <c r="D1301" i="6"/>
  <c r="C1206" i="6"/>
  <c r="C483" i="6"/>
  <c r="C1203" i="6"/>
  <c r="D669" i="6"/>
  <c r="C760" i="6"/>
  <c r="F827" i="6"/>
  <c r="F991" i="6"/>
  <c r="F420" i="6"/>
  <c r="F383" i="6"/>
  <c r="J412" i="6"/>
  <c r="D1343" i="6"/>
  <c r="C761" i="6"/>
  <c r="D1159" i="6"/>
  <c r="C819" i="6"/>
  <c r="F193" i="6"/>
  <c r="C1294" i="6"/>
  <c r="F88" i="6"/>
  <c r="J803" i="6"/>
  <c r="J126" i="6"/>
  <c r="J1081" i="6"/>
  <c r="I1216" i="6"/>
  <c r="D981" i="6"/>
  <c r="D1357" i="6"/>
  <c r="D1302" i="6"/>
  <c r="D1263" i="6"/>
  <c r="C742" i="6"/>
  <c r="D1185" i="6"/>
  <c r="C1295" i="6"/>
  <c r="D634" i="6"/>
  <c r="C948" i="6"/>
  <c r="C1111" i="6"/>
  <c r="C360" i="6"/>
  <c r="D566" i="6"/>
  <c r="C735" i="6"/>
  <c r="C1322" i="6"/>
  <c r="C1307" i="6"/>
  <c r="C516" i="6"/>
  <c r="C1226" i="6"/>
  <c r="D276" i="6"/>
  <c r="C876" i="6"/>
  <c r="C999" i="6"/>
  <c r="C792" i="6"/>
  <c r="C218" i="6"/>
  <c r="C548" i="6"/>
  <c r="D1235" i="6"/>
  <c r="D1272" i="6"/>
  <c r="D633" i="6"/>
  <c r="J1280" i="6"/>
  <c r="D1215" i="6"/>
  <c r="D1258" i="6"/>
  <c r="C416" i="6"/>
  <c r="C1107" i="6"/>
  <c r="C444" i="6"/>
  <c r="C998" i="6"/>
  <c r="D1119" i="6"/>
  <c r="C1154" i="6"/>
  <c r="D359" i="6"/>
  <c r="C697" i="6"/>
  <c r="C1108" i="6"/>
  <c r="C700" i="6"/>
  <c r="C747" i="6"/>
  <c r="D654" i="6"/>
  <c r="D1057" i="6"/>
  <c r="F1225" i="6"/>
  <c r="C797" i="6"/>
  <c r="C256" i="6"/>
  <c r="C1261" i="6"/>
  <c r="D1009" i="6"/>
  <c r="D603" i="6"/>
  <c r="C1080" i="6"/>
  <c r="C871" i="6"/>
  <c r="D252" i="6"/>
  <c r="D793" i="6"/>
  <c r="C659" i="6"/>
  <c r="D956" i="6"/>
  <c r="F899" i="6"/>
  <c r="D1331" i="6"/>
  <c r="C1118" i="6"/>
  <c r="C354" i="6"/>
  <c r="C739" i="6"/>
  <c r="D499" i="6"/>
  <c r="D1298" i="6"/>
  <c r="J194" i="6"/>
  <c r="D874" i="6"/>
  <c r="C647" i="6"/>
  <c r="C648" i="6"/>
  <c r="D660" i="6"/>
  <c r="C459" i="6"/>
  <c r="D1115" i="6"/>
  <c r="D685" i="6"/>
  <c r="C592" i="6"/>
  <c r="D1238" i="6"/>
  <c r="D813" i="6"/>
  <c r="C741" i="6"/>
  <c r="C725" i="6"/>
  <c r="C631" i="6"/>
  <c r="F111" i="6"/>
  <c r="J862" i="6"/>
  <c r="F458" i="6"/>
  <c r="J1053" i="6"/>
  <c r="F1290" i="6"/>
  <c r="J1187" i="6"/>
  <c r="F1257" i="6"/>
  <c r="J1201" i="6"/>
  <c r="J927" i="6"/>
  <c r="J753" i="6"/>
  <c r="F956" i="6"/>
  <c r="F1036" i="6"/>
  <c r="J209" i="6"/>
  <c r="J830" i="6"/>
  <c r="I1243" i="6"/>
  <c r="F453" i="6"/>
  <c r="F608" i="6"/>
  <c r="C1362" i="6"/>
  <c r="F1030" i="6"/>
  <c r="E1251" i="6"/>
  <c r="F516" i="6"/>
  <c r="F655" i="6"/>
  <c r="F1011" i="6"/>
  <c r="J467" i="6"/>
  <c r="J448" i="6"/>
  <c r="F261" i="6"/>
  <c r="J536" i="6"/>
  <c r="F788" i="6"/>
  <c r="J767" i="6"/>
  <c r="F209" i="6"/>
  <c r="J1181" i="6"/>
  <c r="J1353" i="6"/>
  <c r="J316" i="6"/>
  <c r="D1246" i="6"/>
  <c r="F836" i="6"/>
  <c r="J599" i="6"/>
  <c r="J774" i="6"/>
  <c r="J856" i="6"/>
  <c r="F140" i="6"/>
  <c r="C1264" i="6"/>
  <c r="F60" i="6"/>
  <c r="F897" i="6"/>
  <c r="J205" i="6"/>
  <c r="I1250" i="6"/>
  <c r="J981" i="6"/>
  <c r="F332" i="6"/>
  <c r="J843" i="6"/>
  <c r="J418" i="6"/>
  <c r="F1263" i="6"/>
  <c r="F345" i="6"/>
  <c r="J723" i="6"/>
  <c r="J638" i="6"/>
  <c r="F397" i="6"/>
  <c r="F299" i="6"/>
  <c r="F470" i="6"/>
  <c r="J1064" i="6"/>
  <c r="F1144" i="6"/>
  <c r="J394" i="6"/>
  <c r="F833" i="6"/>
  <c r="J400" i="6"/>
  <c r="F492" i="6"/>
  <c r="F541" i="6"/>
  <c r="J1370" i="6"/>
  <c r="J1090" i="6"/>
  <c r="J978" i="6"/>
  <c r="J474" i="6"/>
  <c r="F76" i="6"/>
  <c r="F94" i="6"/>
  <c r="C660" i="6"/>
  <c r="F130" i="6"/>
  <c r="F681" i="6"/>
  <c r="J539" i="6"/>
  <c r="J242" i="6"/>
  <c r="I1246" i="6"/>
  <c r="F252" i="6"/>
  <c r="F636" i="6"/>
  <c r="J1210" i="6"/>
  <c r="F1274" i="6"/>
  <c r="F568" i="6"/>
  <c r="J330" i="6"/>
  <c r="J364" i="6"/>
  <c r="J102" i="6"/>
  <c r="C918" i="6"/>
  <c r="J964" i="6"/>
  <c r="F610" i="6"/>
  <c r="F124" i="6"/>
  <c r="J224" i="6"/>
  <c r="F949" i="6"/>
  <c r="F346" i="6"/>
  <c r="F1104" i="6"/>
  <c r="F563" i="6"/>
  <c r="J764" i="6"/>
  <c r="J733" i="6"/>
  <c r="D1089" i="6"/>
  <c r="C1205" i="6"/>
  <c r="J671" i="6"/>
  <c r="J568" i="6"/>
  <c r="C1363" i="6"/>
  <c r="I1341" i="6"/>
  <c r="J290" i="6"/>
  <c r="J595" i="6"/>
  <c r="J268" i="6"/>
  <c r="J776" i="6"/>
  <c r="C1335" i="6"/>
  <c r="F231" i="6"/>
  <c r="F178" i="6"/>
  <c r="D693" i="6"/>
  <c r="F1126" i="6"/>
  <c r="C1280" i="6"/>
  <c r="D1222" i="6"/>
  <c r="J707" i="6"/>
  <c r="F222" i="6"/>
  <c r="F1173" i="6"/>
  <c r="F507" i="6"/>
  <c r="D784" i="6"/>
  <c r="J1046" i="6"/>
  <c r="J1130" i="6"/>
  <c r="D679" i="6"/>
  <c r="J835" i="6"/>
  <c r="F153" i="6"/>
  <c r="F848" i="6"/>
  <c r="F313" i="6"/>
  <c r="F128" i="6"/>
  <c r="J85" i="6"/>
  <c r="J223" i="6"/>
  <c r="F660" i="6"/>
  <c r="J288" i="6"/>
  <c r="F1063" i="6"/>
  <c r="J828" i="6"/>
  <c r="F366" i="6"/>
  <c r="J226" i="6"/>
  <c r="J666" i="6"/>
  <c r="D1080" i="6"/>
  <c r="J1132" i="6"/>
  <c r="D1200" i="6"/>
  <c r="C343" i="6"/>
  <c r="C1058" i="6"/>
  <c r="F1339" i="6"/>
  <c r="F1188" i="6"/>
  <c r="J839" i="6"/>
  <c r="C1161" i="6"/>
  <c r="C505" i="6"/>
  <c r="F512" i="6"/>
  <c r="J1077" i="6"/>
  <c r="J114" i="6"/>
  <c r="J78" i="6"/>
  <c r="C615" i="6"/>
  <c r="C1218" i="6"/>
  <c r="D1130" i="6"/>
  <c r="C640" i="6"/>
  <c r="F870" i="6"/>
  <c r="F879" i="6"/>
  <c r="J1122" i="6"/>
  <c r="C1189" i="6"/>
  <c r="D799" i="6"/>
  <c r="D920" i="6"/>
  <c r="F611" i="6"/>
  <c r="F74" i="6"/>
  <c r="J860" i="6"/>
  <c r="F251" i="6"/>
  <c r="C920" i="6"/>
  <c r="C1072" i="6"/>
  <c r="D827" i="6"/>
  <c r="J1300" i="6"/>
  <c r="J819" i="6"/>
  <c r="D1289" i="6"/>
  <c r="J397" i="6"/>
  <c r="D1323" i="6"/>
  <c r="C766" i="6"/>
  <c r="C983" i="6"/>
  <c r="D891" i="6"/>
  <c r="C940" i="6"/>
  <c r="C1313" i="6"/>
  <c r="C559" i="6"/>
  <c r="C916" i="6"/>
  <c r="J71" i="6"/>
  <c r="C849" i="6"/>
  <c r="C1028" i="6"/>
  <c r="C979" i="6"/>
  <c r="C235" i="6"/>
  <c r="C977" i="6"/>
  <c r="J632" i="6"/>
  <c r="F699" i="6"/>
  <c r="F1271" i="6"/>
  <c r="F738" i="6"/>
  <c r="D1113" i="6"/>
  <c r="C1234" i="6"/>
  <c r="J1351" i="6"/>
  <c r="C1225" i="6"/>
  <c r="J505" i="6"/>
  <c r="D1044" i="6"/>
  <c r="F670" i="6"/>
  <c r="C786" i="6"/>
  <c r="C544" i="6"/>
  <c r="D1228" i="6"/>
  <c r="C1005" i="6"/>
  <c r="D1097" i="6"/>
  <c r="C736" i="6"/>
  <c r="D921" i="6"/>
  <c r="D1168" i="6"/>
  <c r="C1155" i="6"/>
  <c r="C1166" i="6"/>
  <c r="D904" i="6"/>
  <c r="C1238" i="6"/>
  <c r="D1260" i="6"/>
  <c r="C723" i="6"/>
  <c r="D769" i="6"/>
  <c r="C495" i="6"/>
  <c r="C421" i="6"/>
  <c r="D1116" i="6"/>
  <c r="C710" i="6"/>
  <c r="C1285" i="6"/>
  <c r="C1116" i="6"/>
  <c r="C1276" i="6"/>
  <c r="C879" i="6"/>
  <c r="D130" i="6"/>
  <c r="D1320" i="6"/>
  <c r="C1208" i="6"/>
  <c r="C773" i="6"/>
  <c r="C937" i="6"/>
  <c r="D1047" i="6"/>
  <c r="C591" i="6"/>
  <c r="C995" i="6"/>
  <c r="D567" i="6"/>
  <c r="C1297" i="6"/>
  <c r="D979" i="6"/>
  <c r="D945" i="6"/>
  <c r="C510" i="6"/>
  <c r="D486" i="6"/>
  <c r="C690" i="6"/>
  <c r="D291" i="6"/>
  <c r="C1351" i="6"/>
  <c r="D437" i="6"/>
  <c r="C896" i="6"/>
  <c r="C1365" i="6"/>
  <c r="D1090" i="6"/>
  <c r="C775" i="6"/>
  <c r="D1261" i="6"/>
  <c r="D1266" i="6"/>
  <c r="D775" i="6"/>
  <c r="C824" i="6"/>
  <c r="D1339" i="6"/>
  <c r="C932" i="6"/>
  <c r="D326" i="6"/>
  <c r="E1370" i="6"/>
  <c r="D1131" i="6"/>
  <c r="C821" i="6"/>
  <c r="C500" i="6"/>
  <c r="D1267" i="6"/>
  <c r="D372" i="6"/>
  <c r="D1118" i="6"/>
  <c r="C1067" i="6"/>
  <c r="C1106" i="6"/>
  <c r="C756" i="6"/>
  <c r="D1028" i="6"/>
  <c r="C287" i="6"/>
  <c r="C599" i="6"/>
  <c r="D587" i="6"/>
  <c r="C928" i="6"/>
  <c r="C555" i="6"/>
  <c r="C347" i="6"/>
  <c r="D1308" i="6"/>
  <c r="C656" i="6"/>
  <c r="D1291" i="6"/>
  <c r="C1138" i="6"/>
  <c r="C595" i="6"/>
  <c r="C607" i="6"/>
  <c r="C412" i="6"/>
  <c r="D815" i="6"/>
  <c r="C1228" i="6"/>
  <c r="C882" i="6"/>
  <c r="D1212" i="6"/>
  <c r="C1303" i="6"/>
  <c r="D771" i="6"/>
  <c r="C582" i="6"/>
  <c r="D575" i="6"/>
  <c r="C423" i="6"/>
  <c r="D1241" i="6"/>
  <c r="C386" i="6"/>
  <c r="D225" i="6"/>
  <c r="J610" i="6"/>
  <c r="D725" i="6"/>
  <c r="C515" i="6"/>
  <c r="D1333" i="6"/>
  <c r="C1062" i="6"/>
  <c r="C707" i="6"/>
  <c r="D1056" i="6"/>
  <c r="D677" i="6"/>
  <c r="D1030" i="6"/>
  <c r="D1257" i="6"/>
  <c r="J50" i="6"/>
  <c r="D505" i="6"/>
  <c r="D732" i="6"/>
  <c r="D248" i="6"/>
  <c r="D947" i="6"/>
  <c r="D535" i="6"/>
  <c r="C793" i="6"/>
  <c r="D385" i="6"/>
  <c r="C258" i="6"/>
  <c r="D1147" i="6"/>
  <c r="D1053" i="6"/>
  <c r="D1029" i="6"/>
  <c r="J98" i="6"/>
  <c r="D986" i="6"/>
  <c r="C239" i="6"/>
  <c r="C1084" i="6"/>
  <c r="C1102" i="6"/>
  <c r="C637" i="6"/>
  <c r="D460" i="6"/>
  <c r="D941" i="6"/>
  <c r="D1208" i="6"/>
  <c r="C980" i="6"/>
  <c r="F215" i="6"/>
  <c r="C1085" i="6"/>
  <c r="C1053" i="6"/>
  <c r="D1094" i="6"/>
  <c r="D980" i="6"/>
  <c r="C672" i="6"/>
  <c r="C7" i="6"/>
  <c r="C427" i="6"/>
  <c r="D436" i="6"/>
  <c r="C79" i="6"/>
  <c r="C252" i="6"/>
  <c r="D100" i="6"/>
  <c r="D332" i="6"/>
  <c r="C60" i="6"/>
  <c r="E1334" i="6"/>
  <c r="D1178" i="6"/>
  <c r="C400" i="6"/>
  <c r="D423" i="6"/>
  <c r="D870" i="6"/>
  <c r="E1226" i="6"/>
  <c r="D217" i="6"/>
  <c r="D111" i="6"/>
  <c r="C409" i="6"/>
  <c r="D449" i="6"/>
  <c r="D231" i="6"/>
  <c r="D113" i="6"/>
  <c r="C288" i="6"/>
  <c r="D370" i="6"/>
  <c r="C20" i="6"/>
  <c r="E1362" i="6"/>
  <c r="C478" i="6"/>
  <c r="D606" i="6"/>
  <c r="D224" i="6"/>
  <c r="D517" i="6"/>
  <c r="E1300" i="6"/>
  <c r="D205" i="6"/>
  <c r="C178" i="6"/>
  <c r="D795" i="6"/>
  <c r="D435" i="6"/>
  <c r="D631" i="6"/>
  <c r="D342" i="6"/>
  <c r="D540" i="6"/>
  <c r="C49" i="6"/>
  <c r="D636" i="6"/>
  <c r="D731" i="6"/>
  <c r="D307" i="6"/>
  <c r="C363" i="6"/>
  <c r="I1351" i="6"/>
  <c r="D50" i="6"/>
  <c r="D433" i="6"/>
  <c r="D347" i="6"/>
  <c r="C403" i="6"/>
  <c r="C1131" i="6"/>
  <c r="C701" i="6"/>
  <c r="E1353" i="6"/>
  <c r="D930" i="6"/>
  <c r="D536" i="6"/>
  <c r="D149" i="6"/>
  <c r="C282" i="6"/>
  <c r="C549" i="6"/>
  <c r="D974" i="6"/>
  <c r="D488" i="6"/>
  <c r="D530" i="6"/>
  <c r="F860" i="6"/>
  <c r="D580" i="6"/>
  <c r="C186" i="6"/>
  <c r="D243" i="6"/>
  <c r="C396" i="6"/>
  <c r="D395" i="6"/>
  <c r="C432" i="6"/>
  <c r="C283" i="6"/>
  <c r="C405" i="6"/>
  <c r="D1214" i="6"/>
  <c r="E1247" i="6"/>
  <c r="C512" i="6"/>
  <c r="C927" i="6"/>
  <c r="D1006" i="6"/>
  <c r="E1367" i="6"/>
  <c r="D45" i="6"/>
  <c r="C176" i="6"/>
  <c r="D310" i="6"/>
  <c r="D40" i="6"/>
  <c r="C210" i="6"/>
  <c r="D440" i="6"/>
  <c r="C717" i="6"/>
  <c r="D397" i="6"/>
  <c r="I1337" i="6"/>
  <c r="D278" i="6"/>
  <c r="C116" i="6"/>
  <c r="C197" i="6"/>
  <c r="D537" i="6"/>
  <c r="D129" i="6"/>
  <c r="C349" i="6"/>
  <c r="C142" i="6"/>
  <c r="C425" i="6"/>
  <c r="E1310" i="6"/>
  <c r="C585" i="6"/>
  <c r="C80" i="6"/>
  <c r="D607" i="6"/>
  <c r="C1000" i="6"/>
  <c r="D538" i="6"/>
  <c r="I1343" i="6"/>
  <c r="D165" i="6"/>
  <c r="C155" i="6"/>
  <c r="C33" i="6"/>
  <c r="D70" i="6"/>
  <c r="C823" i="6"/>
  <c r="D625" i="6"/>
  <c r="D414" i="6"/>
  <c r="D521" i="6"/>
  <c r="D458" i="6"/>
  <c r="C593" i="6"/>
  <c r="D545" i="6"/>
  <c r="C120" i="6"/>
  <c r="D355" i="6"/>
  <c r="D378" i="6"/>
  <c r="D350" i="6"/>
  <c r="D457" i="6"/>
  <c r="D394" i="6"/>
  <c r="D361" i="6"/>
  <c r="C100" i="6"/>
  <c r="E1297" i="6"/>
  <c r="C110" i="6"/>
  <c r="C15" i="6"/>
  <c r="D34" i="6"/>
  <c r="J697" i="6"/>
  <c r="J1157" i="6"/>
  <c r="J1293" i="6"/>
  <c r="F928" i="6"/>
  <c r="J974" i="6"/>
  <c r="I1242" i="6"/>
  <c r="J1240" i="6"/>
  <c r="F1217" i="6"/>
  <c r="F273" i="6"/>
  <c r="F1137" i="6"/>
  <c r="J829" i="6"/>
  <c r="I1330" i="6"/>
  <c r="E1228" i="6"/>
  <c r="J689" i="6"/>
  <c r="J879" i="6"/>
  <c r="F1052" i="6"/>
  <c r="F606" i="6"/>
  <c r="J285" i="6"/>
  <c r="J1098" i="6"/>
  <c r="I1294" i="6"/>
  <c r="F41" i="6"/>
  <c r="F211" i="6"/>
  <c r="J41" i="6"/>
  <c r="F1027" i="6"/>
  <c r="J137" i="6"/>
  <c r="D913" i="6"/>
  <c r="F254" i="6"/>
  <c r="J1136" i="6"/>
  <c r="F1170" i="6"/>
  <c r="F918" i="6"/>
  <c r="J1101" i="6"/>
  <c r="J145" i="6"/>
  <c r="J1045" i="6"/>
  <c r="F1282" i="6"/>
  <c r="I1276" i="6"/>
  <c r="F28" i="6"/>
  <c r="J395" i="6"/>
  <c r="F24" i="6"/>
  <c r="F214" i="6"/>
  <c r="J538" i="6"/>
  <c r="F1306" i="6"/>
  <c r="J343" i="6"/>
  <c r="J337" i="6"/>
  <c r="J664" i="6"/>
  <c r="J585" i="6"/>
  <c r="F27" i="6"/>
  <c r="F627" i="6"/>
  <c r="F886" i="6"/>
  <c r="F830" i="6"/>
  <c r="F688" i="6"/>
  <c r="F132" i="6"/>
  <c r="F179" i="6"/>
  <c r="F96" i="6"/>
  <c r="J182" i="6"/>
  <c r="J230" i="6"/>
  <c r="J413" i="6"/>
  <c r="J436" i="6"/>
  <c r="J18" i="6"/>
  <c r="J802" i="6"/>
  <c r="F666" i="6"/>
  <c r="J1276" i="6"/>
  <c r="J1211" i="6"/>
  <c r="F301" i="6"/>
  <c r="F1314" i="6"/>
  <c r="F540" i="6"/>
  <c r="J156" i="6"/>
  <c r="J905" i="6"/>
  <c r="J434" i="6"/>
  <c r="J566" i="6"/>
  <c r="J1263" i="6"/>
  <c r="F947" i="6"/>
  <c r="J287" i="6"/>
  <c r="F853" i="6"/>
  <c r="C1268" i="6"/>
  <c r="J1069" i="6"/>
  <c r="J790" i="6"/>
  <c r="D1188" i="6"/>
  <c r="C1286" i="6"/>
  <c r="J12" i="6"/>
  <c r="F384" i="6"/>
  <c r="I1285" i="6"/>
  <c r="J164" i="6"/>
  <c r="J450" i="6"/>
  <c r="J419" i="6"/>
  <c r="J1094" i="6"/>
  <c r="J727" i="6"/>
  <c r="J935" i="6"/>
  <c r="C952" i="6"/>
  <c r="C1302" i="6"/>
  <c r="F1110" i="6"/>
  <c r="F779" i="6"/>
  <c r="J432" i="6"/>
  <c r="F371" i="6"/>
  <c r="D1013" i="6"/>
  <c r="F622" i="6"/>
  <c r="F739" i="6"/>
  <c r="J519" i="6"/>
  <c r="F689" i="6"/>
  <c r="F1371" i="6"/>
  <c r="J342" i="6"/>
  <c r="D1167" i="6"/>
  <c r="F1124" i="6"/>
  <c r="J148" i="6"/>
  <c r="J1369" i="6"/>
  <c r="J615" i="6"/>
  <c r="J734" i="6"/>
  <c r="D1364" i="6"/>
  <c r="D1276" i="6"/>
  <c r="J1070" i="6"/>
  <c r="J257" i="6"/>
  <c r="F737" i="6"/>
  <c r="J246" i="6"/>
  <c r="F223" i="6"/>
  <c r="D1292" i="6"/>
  <c r="J1246" i="6"/>
  <c r="J6" i="6"/>
  <c r="J444" i="6"/>
  <c r="C886" i="6"/>
  <c r="J1083" i="6"/>
  <c r="J403" i="6"/>
  <c r="J370" i="6"/>
  <c r="J1362" i="6"/>
  <c r="J1208" i="6"/>
  <c r="D706" i="6"/>
  <c r="J79" i="6"/>
  <c r="J928" i="6"/>
  <c r="F1067" i="6"/>
  <c r="F300" i="6"/>
  <c r="J659" i="6"/>
  <c r="J679" i="6"/>
  <c r="F102" i="6"/>
  <c r="F61" i="6"/>
  <c r="J161" i="6"/>
  <c r="F240" i="6"/>
  <c r="C1157" i="6"/>
  <c r="C851" i="6"/>
  <c r="J640" i="6"/>
  <c r="J59" i="6"/>
  <c r="C949" i="6"/>
  <c r="D583" i="6"/>
  <c r="D1172" i="6"/>
  <c r="J909" i="6"/>
  <c r="C833" i="6"/>
  <c r="D647" i="6"/>
  <c r="I1308" i="6"/>
  <c r="J274" i="6"/>
  <c r="C1348" i="6"/>
  <c r="C1126" i="6"/>
  <c r="C1175" i="6"/>
  <c r="J112" i="6"/>
  <c r="F1354" i="6"/>
  <c r="J315" i="6"/>
  <c r="F626" i="6"/>
  <c r="I1273" i="6"/>
  <c r="C1018" i="6"/>
  <c r="F417" i="6"/>
  <c r="F1322" i="6"/>
  <c r="J1103" i="6"/>
  <c r="J1230" i="6"/>
  <c r="J739" i="6"/>
  <c r="F1134" i="6"/>
  <c r="C855" i="6"/>
  <c r="C961" i="6"/>
  <c r="J635" i="6"/>
  <c r="J195" i="6"/>
  <c r="J386" i="6"/>
  <c r="J1328" i="6"/>
  <c r="C1274" i="6"/>
  <c r="D1084" i="6"/>
  <c r="J515" i="6"/>
  <c r="C485" i="6"/>
  <c r="D1183" i="6"/>
  <c r="F1133" i="6"/>
  <c r="C1356" i="6"/>
  <c r="C1199" i="6"/>
  <c r="D817" i="6"/>
  <c r="F1078" i="6"/>
  <c r="D657" i="6"/>
  <c r="D1368" i="6"/>
  <c r="D965" i="6"/>
  <c r="F649" i="6"/>
  <c r="J1205" i="6"/>
  <c r="D1362" i="6"/>
  <c r="D290" i="6"/>
  <c r="D1001" i="6"/>
  <c r="D635" i="6"/>
  <c r="D1251" i="6"/>
  <c r="J1050" i="6"/>
  <c r="C1144" i="6"/>
  <c r="C964" i="6"/>
  <c r="J53" i="6"/>
  <c r="J1221" i="6"/>
  <c r="D1173" i="6"/>
  <c r="C777" i="6"/>
  <c r="J781" i="6"/>
  <c r="C1075" i="6"/>
  <c r="D662" i="6"/>
  <c r="C721" i="6"/>
  <c r="D848" i="6"/>
  <c r="D836" i="6"/>
  <c r="C1151" i="6"/>
  <c r="D936" i="6"/>
  <c r="C1314" i="6"/>
  <c r="C752" i="6"/>
  <c r="C1188" i="6"/>
  <c r="C1031" i="6"/>
  <c r="D589" i="6"/>
  <c r="D268" i="6"/>
  <c r="D54" i="6"/>
  <c r="F772" i="6"/>
  <c r="C547" i="6"/>
  <c r="D949" i="6"/>
  <c r="C277" i="6"/>
  <c r="C800" i="6"/>
  <c r="D719" i="6"/>
  <c r="C1027" i="6"/>
  <c r="C1267" i="6"/>
  <c r="D1108" i="6"/>
  <c r="D1083" i="6"/>
  <c r="C1044" i="6"/>
  <c r="C787" i="6"/>
  <c r="C1152" i="6"/>
  <c r="D399" i="6"/>
  <c r="C364" i="6"/>
  <c r="C1033" i="6"/>
  <c r="D1282" i="6"/>
  <c r="D1002" i="6"/>
  <c r="C921" i="6"/>
  <c r="J185" i="6"/>
  <c r="C839" i="6"/>
  <c r="C1317" i="6"/>
  <c r="C1069" i="6"/>
  <c r="D1209" i="6"/>
  <c r="C237" i="6"/>
  <c r="D1035" i="6"/>
  <c r="D1217" i="6"/>
  <c r="C835" i="6"/>
  <c r="D1271" i="6"/>
  <c r="C1372" i="6"/>
  <c r="C1097" i="6"/>
  <c r="C71" i="6"/>
  <c r="D1000" i="6"/>
  <c r="I1306" i="6"/>
  <c r="D645" i="6"/>
  <c r="D928" i="6"/>
  <c r="D1290" i="6"/>
  <c r="C383" i="6"/>
  <c r="C1288" i="6"/>
  <c r="D835" i="6"/>
  <c r="J594" i="6"/>
  <c r="D574" i="6"/>
  <c r="D330" i="6"/>
  <c r="F862" i="6"/>
  <c r="D701" i="6"/>
  <c r="C606" i="6"/>
  <c r="D1193" i="6"/>
  <c r="D852" i="6"/>
  <c r="C776" i="6"/>
  <c r="D879" i="6"/>
  <c r="C576" i="6"/>
  <c r="D1316" i="6"/>
  <c r="E1364" i="6"/>
  <c r="C340" i="6"/>
  <c r="D952" i="6"/>
  <c r="D1075" i="6"/>
  <c r="C1039" i="6"/>
  <c r="C868" i="6"/>
  <c r="C1350" i="6"/>
  <c r="D569" i="6"/>
  <c r="C488" i="6"/>
  <c r="C1021" i="6"/>
  <c r="C885" i="6"/>
  <c r="C439" i="6"/>
  <c r="J295" i="6"/>
  <c r="C628" i="6"/>
  <c r="C1305" i="6"/>
  <c r="C1007" i="6"/>
  <c r="C772" i="6"/>
  <c r="D1110" i="6"/>
  <c r="D944" i="6"/>
  <c r="C1001" i="6"/>
  <c r="D1092" i="6"/>
  <c r="C827" i="6"/>
  <c r="C1002" i="6"/>
  <c r="D955" i="6"/>
  <c r="C1019" i="6"/>
  <c r="D442" i="6"/>
  <c r="D681" i="6"/>
  <c r="C844" i="6"/>
  <c r="D690" i="6"/>
  <c r="C579" i="6"/>
  <c r="D1101" i="6"/>
  <c r="F1275" i="6"/>
  <c r="D1279" i="6"/>
  <c r="C1275" i="6"/>
  <c r="C751" i="6"/>
  <c r="C307" i="6"/>
  <c r="D946" i="6"/>
  <c r="C1271" i="6"/>
  <c r="J1112" i="6"/>
  <c r="D1232" i="6"/>
  <c r="D1182" i="6"/>
  <c r="D1192" i="6"/>
  <c r="C926" i="6"/>
  <c r="D251" i="6"/>
  <c r="D912" i="6"/>
  <c r="D1015" i="6"/>
  <c r="D854" i="6"/>
  <c r="J526" i="6"/>
  <c r="C1110" i="6"/>
  <c r="C878" i="6"/>
  <c r="D1328" i="6"/>
  <c r="D622" i="6"/>
  <c r="D792" i="6"/>
  <c r="C1092" i="6"/>
  <c r="C709" i="6"/>
  <c r="D249" i="6"/>
  <c r="D283" i="6"/>
  <c r="D801" i="6"/>
  <c r="D193" i="6"/>
  <c r="C450" i="6"/>
  <c r="C634" i="6"/>
  <c r="C191" i="6"/>
  <c r="C73" i="6"/>
  <c r="C212" i="6"/>
  <c r="D11" i="6"/>
  <c r="D737" i="6"/>
  <c r="C165" i="6"/>
  <c r="D978" i="6"/>
  <c r="C570" i="6"/>
  <c r="C260" i="6"/>
  <c r="C614" i="6"/>
  <c r="C589" i="6"/>
  <c r="C28" i="6"/>
  <c r="D910" i="6"/>
  <c r="D960" i="6"/>
  <c r="C566" i="6"/>
  <c r="D511" i="6"/>
  <c r="D33" i="6"/>
  <c r="D539" i="6"/>
  <c r="J111" i="6"/>
  <c r="J317" i="6"/>
  <c r="J896" i="6"/>
  <c r="F599" i="6"/>
  <c r="F502" i="6"/>
  <c r="J1054" i="6"/>
  <c r="J1061" i="6"/>
  <c r="J1278" i="6"/>
  <c r="J940" i="6"/>
  <c r="F1209" i="6"/>
  <c r="J849" i="6"/>
  <c r="J901" i="6"/>
  <c r="F133" i="6"/>
  <c r="J77" i="6"/>
  <c r="F603" i="6"/>
  <c r="F948" i="6"/>
  <c r="J1186" i="6"/>
  <c r="F1109" i="6"/>
  <c r="C981" i="6"/>
  <c r="F1192" i="6"/>
  <c r="J74" i="6"/>
  <c r="F1276" i="6"/>
  <c r="F985" i="6"/>
  <c r="F277" i="6"/>
  <c r="J651" i="6"/>
  <c r="F11" i="6"/>
  <c r="J916" i="6"/>
  <c r="F83" i="6"/>
  <c r="F1177" i="6"/>
  <c r="J325" i="6"/>
  <c r="F1069" i="6"/>
  <c r="F106" i="6"/>
  <c r="F272" i="6"/>
  <c r="J101" i="6"/>
  <c r="F1090" i="6"/>
  <c r="F208" i="6"/>
  <c r="J300" i="6"/>
  <c r="J485" i="6"/>
  <c r="J123" i="6"/>
  <c r="J308" i="6"/>
  <c r="J13" i="6"/>
  <c r="F1348" i="6"/>
  <c r="J1030" i="6"/>
  <c r="J415" i="6"/>
  <c r="J332" i="6"/>
  <c r="J875" i="6"/>
  <c r="F404" i="6"/>
  <c r="F385" i="6"/>
  <c r="F1075" i="6"/>
  <c r="I1344" i="6"/>
  <c r="F558" i="6"/>
  <c r="J550" i="6"/>
  <c r="F1303" i="6"/>
  <c r="J1004" i="6"/>
  <c r="J1019" i="6"/>
  <c r="J740" i="6"/>
  <c r="F131" i="6"/>
  <c r="J333" i="6"/>
  <c r="J382" i="6"/>
  <c r="F798" i="6"/>
  <c r="J1154" i="6"/>
  <c r="J1102" i="6"/>
  <c r="J544" i="6"/>
  <c r="F145" i="6"/>
  <c r="J1324" i="6"/>
  <c r="J20" i="6"/>
  <c r="C1355" i="6"/>
  <c r="F852" i="6"/>
  <c r="J883" i="6"/>
  <c r="J428" i="6"/>
  <c r="J1339" i="6"/>
  <c r="J1168" i="6"/>
  <c r="J744" i="6"/>
  <c r="F1316" i="6"/>
  <c r="J51" i="6"/>
  <c r="F202" i="6"/>
  <c r="J147" i="6"/>
  <c r="I1355" i="6"/>
  <c r="J201" i="6"/>
  <c r="D1005" i="6"/>
  <c r="C1366" i="6"/>
  <c r="J48" i="6"/>
  <c r="F449" i="6"/>
  <c r="F589" i="6"/>
  <c r="C1239" i="6"/>
  <c r="F717" i="6"/>
  <c r="C1077" i="6"/>
  <c r="J83" i="6"/>
  <c r="J624" i="6"/>
  <c r="J997" i="6"/>
  <c r="F609" i="6"/>
  <c r="F16" i="6"/>
  <c r="F1081" i="6"/>
  <c r="J461" i="6"/>
  <c r="F904" i="6"/>
  <c r="J815" i="6"/>
  <c r="J1258" i="6"/>
  <c r="F850" i="6"/>
  <c r="D570" i="6"/>
  <c r="F206" i="6"/>
  <c r="F1001" i="6"/>
  <c r="J871" i="6"/>
  <c r="D1117" i="6"/>
  <c r="J265" i="6"/>
  <c r="J1035" i="6"/>
  <c r="C769" i="6"/>
  <c r="C1068" i="6"/>
  <c r="J1096" i="6"/>
  <c r="J1055" i="6"/>
  <c r="J61" i="6"/>
  <c r="C1354" i="6"/>
  <c r="D853" i="6"/>
  <c r="C1035" i="6"/>
  <c r="J1256" i="6"/>
  <c r="F547" i="6"/>
  <c r="J471" i="6"/>
  <c r="D989" i="6"/>
  <c r="C335" i="6"/>
  <c r="F42" i="6"/>
  <c r="C1140" i="6"/>
  <c r="J15" i="6"/>
  <c r="J357" i="6"/>
  <c r="D1283" i="6"/>
  <c r="J631" i="6"/>
  <c r="D1321" i="6"/>
  <c r="F176" i="6"/>
  <c r="D1338" i="6"/>
  <c r="D1155" i="6"/>
  <c r="D1008" i="6"/>
  <c r="D1355" i="6"/>
  <c r="C636" i="6"/>
  <c r="C814" i="6"/>
  <c r="F1088" i="6"/>
  <c r="C729" i="6"/>
  <c r="C1352" i="6"/>
  <c r="C1258" i="6"/>
  <c r="J63" i="6"/>
  <c r="J971" i="6"/>
  <c r="J575" i="6"/>
  <c r="C1252" i="6"/>
  <c r="C1060" i="6"/>
  <c r="J1356" i="6"/>
  <c r="J1310" i="6"/>
  <c r="J1207" i="6"/>
  <c r="C1211" i="6"/>
  <c r="C1358" i="6"/>
  <c r="D1265" i="6"/>
  <c r="D1259" i="6"/>
  <c r="C1120" i="6"/>
  <c r="C812" i="6"/>
  <c r="C687" i="6"/>
  <c r="C487" i="6"/>
  <c r="C1065" i="6"/>
  <c r="C471" i="6"/>
  <c r="C451" i="6"/>
  <c r="D849" i="6"/>
  <c r="C865" i="6"/>
  <c r="C616" i="6"/>
  <c r="D714" i="6"/>
  <c r="D651" i="6"/>
  <c r="C658" i="6"/>
  <c r="C696" i="6"/>
  <c r="C843" i="6"/>
  <c r="C413" i="6"/>
  <c r="D1196" i="6"/>
  <c r="C900" i="6"/>
  <c r="C207" i="6"/>
  <c r="J355" i="6"/>
  <c r="C352" i="6"/>
  <c r="C957" i="6"/>
  <c r="C828" i="6"/>
  <c r="D1158" i="6"/>
  <c r="C331" i="6"/>
  <c r="C899" i="6"/>
  <c r="D663" i="6"/>
  <c r="C1233" i="6"/>
  <c r="C960" i="6"/>
  <c r="D919" i="6"/>
  <c r="D379" i="6"/>
  <c r="J322" i="6"/>
  <c r="C942" i="6"/>
  <c r="C639" i="6"/>
  <c r="C1088" i="6"/>
  <c r="D1242" i="6"/>
  <c r="C1101" i="6"/>
  <c r="C703" i="6"/>
  <c r="D1204" i="6"/>
  <c r="C982" i="6"/>
  <c r="C1253" i="6"/>
  <c r="D228" i="6"/>
  <c r="C380" i="6"/>
  <c r="D267" i="6"/>
  <c r="C642" i="6"/>
  <c r="C914" i="6"/>
  <c r="J86" i="6"/>
  <c r="D322" i="6"/>
  <c r="D821" i="6"/>
  <c r="C974" i="6"/>
  <c r="C1071" i="6"/>
  <c r="C351" i="6"/>
  <c r="C464" i="6"/>
  <c r="D683" i="6"/>
  <c r="D954" i="6"/>
  <c r="E1308" i="6"/>
  <c r="F112" i="6"/>
  <c r="D661" i="6"/>
  <c r="C715" i="6"/>
  <c r="D272" i="6"/>
  <c r="D595" i="6"/>
  <c r="D751" i="6"/>
  <c r="C213" i="6"/>
  <c r="J196" i="6"/>
  <c r="D1036" i="6"/>
  <c r="D808" i="6"/>
  <c r="D1012" i="6"/>
  <c r="D695" i="6"/>
  <c r="D1153" i="6"/>
  <c r="C382" i="6"/>
  <c r="J178" i="6"/>
  <c r="D964" i="6"/>
  <c r="C221" i="6"/>
  <c r="D940" i="6"/>
  <c r="D597" i="6"/>
  <c r="D578" i="6"/>
  <c r="D1059" i="6"/>
  <c r="F829" i="6"/>
  <c r="D1281" i="6"/>
  <c r="D641" i="6"/>
  <c r="D649" i="6"/>
  <c r="D1199" i="6"/>
  <c r="C509" i="6"/>
  <c r="C313" i="6"/>
  <c r="C12" i="6"/>
  <c r="C1169" i="6"/>
  <c r="C877" i="6"/>
  <c r="C1009" i="6"/>
  <c r="D134" i="6"/>
  <c r="C414" i="6"/>
  <c r="D907" i="6"/>
  <c r="C667" i="6"/>
  <c r="D568" i="6"/>
  <c r="D1066" i="6"/>
  <c r="C161" i="6"/>
  <c r="C366" i="6"/>
  <c r="D520" i="6"/>
  <c r="D44" i="6"/>
  <c r="C231" i="6"/>
  <c r="D125" i="6"/>
  <c r="C89" i="6"/>
  <c r="C302" i="6"/>
  <c r="D456" i="6"/>
  <c r="J1100" i="6"/>
  <c r="C29" i="6"/>
  <c r="C17" i="6"/>
  <c r="D480" i="6"/>
  <c r="D392" i="6"/>
  <c r="C115" i="6"/>
  <c r="C350" i="6"/>
  <c r="D279" i="6"/>
  <c r="D684" i="6"/>
  <c r="D1122" i="6"/>
  <c r="E1339" i="6"/>
  <c r="D475" i="6"/>
  <c r="D604" i="6"/>
  <c r="D500" i="6"/>
  <c r="D832" i="6"/>
  <c r="C438" i="6"/>
  <c r="D352" i="6"/>
  <c r="D561" i="6"/>
  <c r="D198" i="6"/>
  <c r="D345" i="6"/>
  <c r="D702" i="6"/>
  <c r="E1258" i="6"/>
  <c r="D319" i="6"/>
  <c r="C137" i="6"/>
  <c r="D726" i="6"/>
  <c r="C676" i="6"/>
  <c r="D724" i="6"/>
  <c r="C446" i="6"/>
  <c r="C560" i="6"/>
  <c r="D412" i="6"/>
  <c r="D196" i="6"/>
  <c r="D508" i="6"/>
  <c r="D386" i="6"/>
  <c r="D1134" i="6"/>
  <c r="C496" i="6"/>
  <c r="E1231" i="6"/>
  <c r="D557" i="6"/>
  <c r="C32" i="6"/>
  <c r="C391" i="6"/>
  <c r="D69" i="6"/>
  <c r="D364" i="6"/>
  <c r="C9" i="6"/>
  <c r="D408" i="6"/>
  <c r="C253" i="6"/>
  <c r="C30" i="6"/>
  <c r="C1079" i="6"/>
  <c r="C296" i="6"/>
  <c r="D401" i="6"/>
  <c r="C434" i="6"/>
  <c r="D445" i="6"/>
  <c r="D187" i="6"/>
  <c r="D316" i="6"/>
  <c r="C362" i="6"/>
  <c r="C289" i="6"/>
  <c r="D942" i="6"/>
  <c r="C619" i="6"/>
  <c r="E1324" i="6"/>
  <c r="D274" i="6"/>
  <c r="C394" i="6"/>
  <c r="C128" i="6"/>
  <c r="D469" i="6"/>
  <c r="D542" i="6"/>
  <c r="C306" i="6"/>
  <c r="D229" i="6"/>
  <c r="D179" i="6"/>
  <c r="D190" i="6"/>
  <c r="C251" i="6"/>
  <c r="C1115" i="6"/>
  <c r="D181" i="6"/>
  <c r="C361" i="6"/>
  <c r="C58" i="6"/>
  <c r="C286" i="6"/>
  <c r="I1283" i="6"/>
  <c r="C705" i="6"/>
  <c r="D514" i="6"/>
  <c r="D57" i="6"/>
  <c r="C492" i="6"/>
  <c r="C62" i="6"/>
  <c r="C457" i="6"/>
  <c r="F75" i="6"/>
  <c r="C755" i="6"/>
  <c r="D655" i="6"/>
  <c r="E1348" i="6"/>
  <c r="C763" i="6"/>
  <c r="D336" i="6"/>
  <c r="D481" i="6"/>
  <c r="C36" i="6"/>
  <c r="E1273" i="6"/>
  <c r="D136" i="6"/>
  <c r="D211" i="6"/>
  <c r="E1229" i="6"/>
  <c r="C50" i="6"/>
  <c r="I1290" i="6"/>
  <c r="D47" i="6"/>
  <c r="E1285" i="6"/>
  <c r="D71" i="6"/>
  <c r="D158" i="6"/>
  <c r="D497" i="6"/>
  <c r="D227" i="6"/>
  <c r="E1346" i="6"/>
  <c r="E1269" i="6"/>
  <c r="D152" i="6"/>
  <c r="E1243" i="6"/>
  <c r="D75" i="6"/>
  <c r="D242" i="6"/>
  <c r="E1292" i="6"/>
  <c r="D644" i="6"/>
  <c r="C645" i="6"/>
  <c r="D266" i="6"/>
  <c r="E1271" i="6"/>
  <c r="D183" i="6"/>
  <c r="C68" i="6"/>
  <c r="C534" i="6"/>
  <c r="D184" i="6"/>
  <c r="D52" i="6"/>
  <c r="D102" i="6"/>
  <c r="E1369" i="6"/>
  <c r="D553" i="6"/>
  <c r="C453" i="6"/>
  <c r="E1227" i="6"/>
  <c r="D6" i="6"/>
  <c r="E1256" i="6"/>
  <c r="D489" i="6"/>
  <c r="D220" i="6"/>
  <c r="D172" i="6"/>
  <c r="C140" i="6"/>
  <c r="C171" i="6"/>
  <c r="D425" i="6"/>
  <c r="C520" i="6"/>
  <c r="E1294" i="6"/>
  <c r="C84" i="6"/>
  <c r="C174" i="6"/>
  <c r="F634" i="6"/>
  <c r="J1325" i="6"/>
  <c r="J501" i="6"/>
  <c r="J518" i="6"/>
  <c r="C95" i="6"/>
  <c r="J1140" i="6"/>
  <c r="C170" i="6"/>
  <c r="F1372" i="6"/>
  <c r="F498" i="6"/>
  <c r="D22" i="6"/>
  <c r="F837" i="6"/>
  <c r="F635" i="6"/>
  <c r="E1278" i="6"/>
  <c r="F459" i="6"/>
  <c r="J1121" i="6"/>
  <c r="F954" i="6"/>
  <c r="J334" i="6"/>
  <c r="F488" i="6"/>
  <c r="F1166" i="6"/>
  <c r="J314" i="6"/>
  <c r="F1092" i="6"/>
  <c r="I1338" i="6"/>
  <c r="F1117" i="6"/>
  <c r="F851" i="6"/>
  <c r="I1267" i="6"/>
  <c r="I1217" i="6"/>
  <c r="J1254" i="6"/>
  <c r="F1061" i="6"/>
  <c r="J682" i="6"/>
  <c r="I1288" i="6"/>
  <c r="F159" i="6"/>
  <c r="J1249" i="6"/>
  <c r="F1215" i="6"/>
  <c r="I1360" i="6"/>
  <c r="F1065" i="6"/>
  <c r="F783" i="6"/>
  <c r="I1251" i="6"/>
  <c r="J120" i="6"/>
  <c r="F226" i="6"/>
  <c r="I1189" i="6"/>
  <c r="I1210" i="6"/>
  <c r="I1201" i="6"/>
  <c r="I1173" i="6"/>
  <c r="I1164" i="6"/>
  <c r="I1193" i="6"/>
  <c r="E1166" i="6"/>
  <c r="E1208" i="6"/>
  <c r="E1200" i="6"/>
  <c r="E1192" i="6"/>
  <c r="E1184" i="6"/>
  <c r="E1176" i="6"/>
  <c r="I1159" i="6"/>
  <c r="I1157" i="6"/>
  <c r="I10" i="6"/>
  <c r="I18" i="6"/>
  <c r="I26" i="6"/>
  <c r="I34" i="6"/>
  <c r="I42" i="6"/>
  <c r="I50" i="6"/>
  <c r="I58" i="6"/>
  <c r="I66" i="6"/>
  <c r="I74" i="6"/>
  <c r="I82" i="6"/>
  <c r="I90" i="6"/>
  <c r="I98" i="6"/>
  <c r="I106" i="6"/>
  <c r="I114" i="6"/>
  <c r="I122" i="6"/>
  <c r="I130" i="6"/>
  <c r="I138" i="6"/>
  <c r="I146" i="6"/>
  <c r="I154" i="6"/>
  <c r="I162" i="6"/>
  <c r="I170" i="6"/>
  <c r="I178" i="6"/>
  <c r="I186" i="6"/>
  <c r="I194" i="6"/>
  <c r="I202" i="6"/>
  <c r="I210" i="6"/>
  <c r="I218" i="6"/>
  <c r="I226" i="6"/>
  <c r="I234" i="6"/>
  <c r="I242" i="6"/>
  <c r="I250" i="6"/>
  <c r="I258" i="6"/>
  <c r="I266" i="6"/>
  <c r="I274" i="6"/>
  <c r="I282" i="6"/>
  <c r="I290" i="6"/>
  <c r="I298" i="6"/>
  <c r="I306" i="6"/>
  <c r="I314" i="6"/>
  <c r="I322" i="6"/>
  <c r="I330" i="6"/>
  <c r="I338" i="6"/>
  <c r="I346" i="6"/>
  <c r="I354" i="6"/>
  <c r="I362" i="6"/>
  <c r="I370" i="6"/>
  <c r="I378" i="6"/>
  <c r="I386" i="6"/>
  <c r="I394" i="6"/>
  <c r="I402" i="6"/>
  <c r="I410" i="6"/>
  <c r="I418" i="6"/>
  <c r="I426" i="6"/>
  <c r="I434" i="6"/>
  <c r="I442" i="6"/>
  <c r="I450" i="6"/>
  <c r="I458" i="6"/>
  <c r="I466" i="6"/>
  <c r="I474" i="6"/>
  <c r="I482" i="6"/>
  <c r="I490" i="6"/>
  <c r="I498" i="6"/>
  <c r="I506" i="6"/>
  <c r="I514" i="6"/>
  <c r="I522" i="6"/>
  <c r="I530" i="6"/>
  <c r="I538" i="6"/>
  <c r="I549" i="6"/>
  <c r="I558" i="6"/>
  <c r="I567" i="6"/>
  <c r="I576" i="6"/>
  <c r="I587" i="6"/>
  <c r="I595" i="6"/>
  <c r="I605" i="6"/>
  <c r="I614" i="6"/>
  <c r="I624" i="6"/>
  <c r="I636" i="6"/>
  <c r="I646" i="6"/>
  <c r="I658" i="6"/>
  <c r="I669" i="6"/>
  <c r="I680" i="6"/>
  <c r="I690" i="6"/>
  <c r="I699" i="6"/>
  <c r="I712" i="6"/>
  <c r="I726" i="6"/>
  <c r="I742" i="6"/>
  <c r="I758" i="6"/>
  <c r="I771" i="6"/>
  <c r="I788" i="6"/>
  <c r="I801" i="6"/>
  <c r="I1083" i="6"/>
  <c r="I1118" i="6"/>
  <c r="I1150" i="6"/>
  <c r="I733" i="6"/>
  <c r="I1095" i="6"/>
  <c r="I1139" i="6"/>
  <c r="I779" i="6"/>
  <c r="I1013" i="6"/>
  <c r="I1029" i="6"/>
  <c r="I1073" i="6"/>
  <c r="I739" i="6"/>
  <c r="I810" i="6"/>
  <c r="I738" i="6"/>
  <c r="I1012" i="6"/>
  <c r="I1117" i="6"/>
  <c r="I1148" i="6"/>
  <c r="I623" i="6"/>
  <c r="I1103" i="6"/>
  <c r="I1135" i="6"/>
  <c r="I1099" i="6"/>
  <c r="I1053" i="6"/>
  <c r="I1065" i="6"/>
  <c r="I729" i="6"/>
  <c r="I621" i="6"/>
  <c r="I1039" i="6"/>
  <c r="I1064" i="6"/>
  <c r="I716" i="6"/>
  <c r="I598" i="6"/>
  <c r="I1119" i="6"/>
  <c r="I1144" i="6"/>
  <c r="E489" i="6"/>
  <c r="E481" i="6"/>
  <c r="E473" i="6"/>
  <c r="E465" i="6"/>
  <c r="E457" i="6"/>
  <c r="E449" i="6"/>
  <c r="E441" i="6"/>
  <c r="E433" i="6"/>
  <c r="E425" i="6"/>
  <c r="E417" i="6"/>
  <c r="E409" i="6"/>
  <c r="E401" i="6"/>
  <c r="E393" i="6"/>
  <c r="E385" i="6"/>
  <c r="E377" i="6"/>
  <c r="E369" i="6"/>
  <c r="E361" i="6"/>
  <c r="E353" i="6"/>
  <c r="E345" i="6"/>
  <c r="E337" i="6"/>
  <c r="E329" i="6"/>
  <c r="E321" i="6"/>
  <c r="E313" i="6"/>
  <c r="E305" i="6"/>
  <c r="E297" i="6"/>
  <c r="E289" i="6"/>
  <c r="E281" i="6"/>
  <c r="E273" i="6"/>
  <c r="E257" i="6"/>
  <c r="E249" i="6"/>
  <c r="E241" i="6"/>
  <c r="E233" i="6"/>
  <c r="E225" i="6"/>
  <c r="E217" i="6"/>
  <c r="E209" i="6"/>
  <c r="E201" i="6"/>
  <c r="E193" i="6"/>
  <c r="E185" i="6"/>
  <c r="E177" i="6"/>
  <c r="E169" i="6"/>
  <c r="E161" i="6"/>
  <c r="E153" i="6"/>
  <c r="E145" i="6"/>
  <c r="E137" i="6"/>
  <c r="E129" i="6"/>
  <c r="E121" i="6"/>
  <c r="E113" i="6"/>
  <c r="E105" i="6"/>
  <c r="E97" i="6"/>
  <c r="E89" i="6"/>
  <c r="E81" i="6"/>
  <c r="E73" i="6"/>
  <c r="E65" i="6"/>
  <c r="E57" i="6"/>
  <c r="E49" i="6"/>
  <c r="E41" i="6"/>
  <c r="E33" i="6"/>
  <c r="E25" i="6"/>
  <c r="E17" i="6"/>
  <c r="E9" i="6"/>
  <c r="E808" i="6"/>
  <c r="E793" i="6"/>
  <c r="E778" i="6"/>
  <c r="E763" i="6"/>
  <c r="E750" i="6"/>
  <c r="E735" i="6"/>
  <c r="E720" i="6"/>
  <c r="E707" i="6"/>
  <c r="E769" i="6"/>
  <c r="E785" i="6"/>
  <c r="E737" i="6"/>
  <c r="J293" i="6"/>
  <c r="J765" i="6"/>
  <c r="I1260" i="6"/>
  <c r="F152" i="6"/>
  <c r="J665" i="6"/>
  <c r="J1033" i="6"/>
  <c r="F548" i="6"/>
  <c r="F1169" i="6"/>
  <c r="F1066" i="6"/>
  <c r="J1040" i="6"/>
  <c r="F1141" i="6"/>
  <c r="J523" i="6"/>
  <c r="J557" i="6"/>
  <c r="J179" i="6"/>
  <c r="F192" i="6"/>
  <c r="J489" i="6"/>
  <c r="I1226" i="6"/>
  <c r="J1342" i="6"/>
  <c r="F513" i="6"/>
  <c r="J780" i="6"/>
  <c r="F1085" i="6"/>
  <c r="F820" i="6"/>
  <c r="J38" i="6"/>
  <c r="J398" i="6"/>
  <c r="C1273" i="6"/>
  <c r="J66" i="6"/>
  <c r="F370" i="6"/>
  <c r="J220" i="6"/>
  <c r="F195" i="6"/>
  <c r="F1111" i="6"/>
  <c r="J217" i="6"/>
  <c r="F461" i="6"/>
  <c r="F887" i="6"/>
  <c r="C842" i="6"/>
  <c r="J396" i="6"/>
  <c r="D1254" i="6"/>
  <c r="J1147" i="6"/>
  <c r="F1337" i="6"/>
  <c r="J757" i="6"/>
  <c r="F755" i="6"/>
  <c r="F1210" i="6"/>
  <c r="F900" i="6"/>
  <c r="F78" i="6"/>
  <c r="J956" i="6"/>
  <c r="J118" i="6"/>
  <c r="F1179" i="6"/>
  <c r="J346" i="6"/>
  <c r="J312" i="6"/>
  <c r="F53" i="6"/>
  <c r="F1040" i="6"/>
  <c r="D1247" i="6"/>
  <c r="J690" i="6"/>
  <c r="F1308" i="6"/>
  <c r="J143" i="6"/>
  <c r="J60" i="6"/>
  <c r="F1130" i="6"/>
  <c r="J633" i="6"/>
  <c r="F1319" i="6"/>
  <c r="J170" i="6"/>
  <c r="J622" i="6"/>
  <c r="J378" i="6"/>
  <c r="F143" i="6"/>
  <c r="J171" i="6"/>
  <c r="F1305" i="6"/>
  <c r="J1015" i="6"/>
  <c r="J82" i="6"/>
  <c r="J840" i="6"/>
  <c r="J891" i="6"/>
  <c r="F227" i="6"/>
  <c r="F126" i="6"/>
  <c r="D872" i="6"/>
  <c r="F1255" i="6"/>
  <c r="J492" i="6"/>
  <c r="J272" i="6"/>
  <c r="F1148" i="6"/>
  <c r="F146" i="6"/>
  <c r="J1031" i="6"/>
  <c r="J1358" i="6"/>
  <c r="D791" i="6"/>
  <c r="F849" i="6"/>
  <c r="J1222" i="6"/>
  <c r="F921" i="6"/>
  <c r="J642" i="6"/>
  <c r="D918" i="6"/>
  <c r="F816" i="6"/>
  <c r="F784" i="6"/>
  <c r="I1247" i="6"/>
  <c r="F1324" i="6"/>
  <c r="J184" i="6"/>
  <c r="F1317" i="6"/>
  <c r="F706" i="6"/>
  <c r="F508" i="6"/>
  <c r="J1289" i="6"/>
  <c r="F807" i="6"/>
  <c r="F1193" i="6"/>
  <c r="D1127" i="6"/>
  <c r="F408" i="6"/>
  <c r="F1229" i="6"/>
  <c r="F282" i="6"/>
  <c r="F1118" i="6"/>
  <c r="J975" i="6"/>
  <c r="J1057" i="6"/>
  <c r="F489" i="6"/>
  <c r="F392" i="6"/>
  <c r="F623" i="6"/>
  <c r="F929" i="6"/>
  <c r="J745" i="6"/>
  <c r="J512" i="6"/>
  <c r="F1016" i="6"/>
  <c r="F577" i="6"/>
  <c r="J758" i="6"/>
  <c r="F79" i="6"/>
  <c r="J920" i="6"/>
  <c r="J468" i="6"/>
  <c r="F1327" i="6"/>
  <c r="F147" i="6"/>
  <c r="J1076" i="6"/>
  <c r="F994" i="6"/>
  <c r="F605" i="6"/>
  <c r="J408" i="6"/>
  <c r="C1277" i="6"/>
  <c r="F641" i="6"/>
  <c r="J577" i="6"/>
  <c r="C902" i="6"/>
  <c r="J87" i="6"/>
  <c r="J621" i="6"/>
  <c r="J605" i="6"/>
  <c r="F1235" i="6"/>
  <c r="J1020" i="6"/>
  <c r="J578" i="6"/>
  <c r="F334" i="6"/>
  <c r="C830" i="6"/>
  <c r="F922" i="6"/>
  <c r="F1032" i="6"/>
  <c r="J216" i="6"/>
  <c r="F267" i="6"/>
  <c r="J833" i="6"/>
  <c r="F6" i="6"/>
  <c r="J1044" i="6"/>
  <c r="F1232" i="6"/>
  <c r="J14" i="6"/>
  <c r="F460" i="6"/>
  <c r="F969" i="6"/>
  <c r="J33" i="6"/>
  <c r="F978" i="6"/>
  <c r="F538" i="6"/>
  <c r="C1221" i="6"/>
  <c r="J1155" i="6"/>
  <c r="F399" i="6"/>
  <c r="F29" i="6"/>
  <c r="J291" i="6"/>
  <c r="J97" i="6"/>
  <c r="J1234" i="6"/>
  <c r="J104" i="6"/>
  <c r="J1255" i="6"/>
  <c r="J440" i="6"/>
  <c r="I1265" i="6"/>
  <c r="J1047" i="6"/>
  <c r="F597" i="6"/>
  <c r="J641" i="6"/>
  <c r="F63" i="6"/>
  <c r="J146" i="6"/>
  <c r="J384" i="6"/>
  <c r="C904" i="6"/>
  <c r="C1245" i="6"/>
  <c r="J914" i="6"/>
  <c r="J91" i="6"/>
  <c r="J616" i="6"/>
  <c r="F116" i="6"/>
  <c r="J362" i="6"/>
  <c r="J967" i="6"/>
  <c r="D1124" i="6"/>
  <c r="D1332" i="6"/>
  <c r="F67" i="6"/>
  <c r="F812" i="6"/>
  <c r="J1111" i="6"/>
  <c r="J985" i="6"/>
  <c r="C1256" i="6"/>
  <c r="J1151" i="6"/>
  <c r="J922" i="6"/>
  <c r="J92" i="6"/>
  <c r="J456" i="6"/>
  <c r="C685" i="6"/>
  <c r="J979" i="6"/>
  <c r="F137" i="6"/>
  <c r="J771" i="6"/>
  <c r="D1310" i="6"/>
  <c r="J486" i="6"/>
  <c r="J1182" i="6"/>
  <c r="J227" i="6"/>
  <c r="C1197" i="6"/>
  <c r="D897" i="6"/>
  <c r="J1073" i="6"/>
  <c r="F451" i="6"/>
  <c r="C1198" i="6"/>
  <c r="C753" i="6"/>
  <c r="C782" i="6"/>
  <c r="J1315" i="6"/>
  <c r="F651" i="6"/>
  <c r="D1309" i="6"/>
  <c r="C503" i="6"/>
  <c r="C452" i="6"/>
  <c r="J895" i="6"/>
  <c r="F464" i="6"/>
  <c r="F514" i="6"/>
  <c r="F1365" i="6"/>
  <c r="C986" i="6"/>
  <c r="J34" i="6"/>
  <c r="F982" i="6"/>
  <c r="D1096" i="6"/>
  <c r="D674" i="6"/>
  <c r="D1350" i="6"/>
  <c r="C1311" i="6"/>
  <c r="C853" i="6"/>
  <c r="C762" i="6"/>
  <c r="J1297" i="6"/>
  <c r="C611" i="6"/>
  <c r="C1346" i="6"/>
  <c r="J551" i="6"/>
  <c r="J1078" i="6"/>
  <c r="D1103" i="6"/>
  <c r="J761" i="6"/>
  <c r="J439" i="6"/>
  <c r="C881" i="6"/>
  <c r="C1254" i="6"/>
  <c r="C897" i="6"/>
  <c r="F43" i="6"/>
  <c r="F95" i="6"/>
  <c r="C965" i="6"/>
  <c r="C651" i="6"/>
  <c r="D1275" i="6"/>
  <c r="D659" i="6"/>
  <c r="D1324" i="6"/>
  <c r="C1135" i="6"/>
  <c r="C894" i="6"/>
  <c r="C292" i="6"/>
  <c r="J466" i="6"/>
  <c r="C1215" i="6"/>
  <c r="D601" i="6"/>
  <c r="D776" i="6"/>
  <c r="C907" i="6"/>
  <c r="C1122" i="6"/>
  <c r="F1198" i="6"/>
  <c r="D678" i="6"/>
  <c r="C1180" i="6"/>
  <c r="D686" i="6"/>
  <c r="C356" i="6"/>
  <c r="F1293" i="6"/>
  <c r="C1132" i="6"/>
  <c r="D1017" i="6"/>
  <c r="C702" i="6"/>
  <c r="C1323" i="6"/>
  <c r="C923" i="6"/>
  <c r="C1056" i="6"/>
  <c r="F1280" i="6"/>
  <c r="D593" i="6"/>
  <c r="D1288" i="6"/>
  <c r="D938" i="6"/>
  <c r="C1337" i="6"/>
  <c r="C508" i="6"/>
  <c r="D843" i="6"/>
  <c r="F44" i="6"/>
  <c r="D850" i="6"/>
  <c r="C686" i="6"/>
  <c r="C321" i="6"/>
  <c r="D861" i="6"/>
  <c r="D823" i="6"/>
  <c r="C241" i="6"/>
  <c r="C1141" i="6"/>
  <c r="C874" i="6"/>
  <c r="C1159" i="6"/>
  <c r="C1016" i="6"/>
  <c r="C1004" i="6"/>
  <c r="C285" i="6"/>
  <c r="C1098" i="6"/>
  <c r="C813" i="6"/>
  <c r="C1047" i="6"/>
  <c r="D564" i="6"/>
  <c r="D1370" i="6"/>
  <c r="D454" i="6"/>
  <c r="D61" i="6"/>
  <c r="D1156" i="6"/>
  <c r="C1006" i="6"/>
  <c r="C935" i="6"/>
  <c r="C846" i="6"/>
  <c r="J1041" i="6"/>
  <c r="C554" i="6"/>
  <c r="D610" i="6"/>
  <c r="C850" i="6"/>
  <c r="D1273" i="6"/>
  <c r="D1020" i="6"/>
  <c r="C208" i="6"/>
  <c r="C371" i="6"/>
  <c r="D405" i="6"/>
  <c r="C190" i="6"/>
  <c r="J627" i="6"/>
  <c r="D289" i="6"/>
  <c r="D1287" i="6"/>
  <c r="C791" i="6"/>
  <c r="C1232" i="6"/>
  <c r="C404" i="6"/>
  <c r="D496" i="6"/>
  <c r="D585" i="6"/>
  <c r="D1148" i="6"/>
  <c r="D1216" i="6"/>
  <c r="D341" i="6"/>
  <c r="C1156" i="6"/>
  <c r="D594" i="6"/>
  <c r="D315" i="6"/>
  <c r="C713" i="6"/>
  <c r="D888" i="6"/>
  <c r="D650" i="6"/>
  <c r="D1205" i="6"/>
  <c r="C783" i="6"/>
  <c r="C1321" i="6"/>
  <c r="D743" i="6"/>
  <c r="C603" i="6"/>
  <c r="C1162" i="6"/>
  <c r="D1018" i="6"/>
  <c r="C728" i="6"/>
  <c r="D735" i="6"/>
  <c r="D840" i="6"/>
  <c r="C536" i="6"/>
  <c r="D323" i="6"/>
  <c r="D426" i="6"/>
  <c r="D285" i="6"/>
  <c r="C433" i="6"/>
  <c r="I1322" i="6"/>
  <c r="D498" i="6"/>
  <c r="E1312" i="6"/>
  <c r="C267" i="6"/>
  <c r="C962" i="6"/>
  <c r="C369" i="6"/>
  <c r="E1347" i="6"/>
  <c r="D434" i="6"/>
  <c r="C514" i="6"/>
  <c r="C898" i="6"/>
  <c r="C85" i="6"/>
  <c r="I1331" i="6"/>
  <c r="C248" i="6"/>
  <c r="C571" i="6"/>
  <c r="C718" i="6"/>
  <c r="D896" i="6"/>
  <c r="C502" i="6"/>
  <c r="D416" i="6"/>
  <c r="C280" i="6"/>
  <c r="D142" i="6"/>
  <c r="C714" i="6"/>
  <c r="D734" i="6"/>
  <c r="D1230" i="6"/>
  <c r="C671" i="6"/>
  <c r="C188" i="6"/>
  <c r="C259" i="6"/>
  <c r="C187" i="6"/>
  <c r="C431" i="6"/>
  <c r="D959" i="6"/>
  <c r="D616" i="6"/>
  <c r="D287" i="6"/>
  <c r="E1307" i="6"/>
  <c r="D46" i="6"/>
  <c r="D658" i="6"/>
  <c r="D518" i="6"/>
  <c r="D523" i="6"/>
  <c r="C365" i="6"/>
  <c r="D293" i="6"/>
  <c r="F823" i="6"/>
  <c r="C194" i="6"/>
  <c r="C476" i="6"/>
  <c r="D529" i="6"/>
  <c r="C301" i="6"/>
  <c r="C203" i="6"/>
  <c r="D438" i="6"/>
  <c r="F1340" i="6"/>
  <c r="C1003" i="6"/>
  <c r="C311" i="6"/>
  <c r="D455" i="6"/>
  <c r="D466" i="6"/>
  <c r="D76" i="6"/>
  <c r="C109" i="6"/>
  <c r="E1266" i="6"/>
  <c r="D339" i="6"/>
  <c r="D1021" i="6"/>
  <c r="D66" i="6"/>
  <c r="D738" i="6"/>
  <c r="E1215" i="6"/>
  <c r="C117" i="6"/>
  <c r="F1072" i="6"/>
  <c r="C420" i="6"/>
  <c r="D547" i="6"/>
  <c r="D337" i="6"/>
  <c r="C370" i="6"/>
  <c r="D311" i="6"/>
  <c r="D365" i="6"/>
  <c r="I1227" i="6"/>
  <c r="C336" i="6"/>
  <c r="D431" i="6"/>
  <c r="D185" i="6"/>
  <c r="E1234" i="6"/>
  <c r="D468" i="6"/>
  <c r="D81" i="6"/>
  <c r="C91" i="6"/>
  <c r="D335" i="6"/>
  <c r="D688" i="6"/>
  <c r="D515" i="6"/>
  <c r="D41" i="6"/>
  <c r="D652" i="6"/>
  <c r="D260" i="6"/>
  <c r="C184" i="6"/>
  <c r="C490" i="6"/>
  <c r="C936" i="6"/>
  <c r="C625" i="6"/>
  <c r="C297" i="6"/>
  <c r="C245" i="6"/>
  <c r="D766" i="6"/>
  <c r="D929" i="6"/>
  <c r="D1039" i="6"/>
  <c r="C872" i="6"/>
  <c r="C561" i="6"/>
  <c r="C494" i="6"/>
  <c r="D524" i="6"/>
  <c r="E1218" i="6"/>
  <c r="C122" i="6"/>
  <c r="C182" i="6"/>
  <c r="E1305" i="6"/>
  <c r="F640" i="6"/>
  <c r="C183" i="6"/>
  <c r="E1277" i="6"/>
  <c r="E1253" i="6"/>
  <c r="D234" i="6"/>
  <c r="D83" i="6"/>
  <c r="E1245" i="6"/>
  <c r="E1250" i="6"/>
  <c r="C175" i="6"/>
  <c r="C181" i="6"/>
  <c r="E1371" i="6"/>
  <c r="E1261" i="6"/>
  <c r="E1274" i="6"/>
  <c r="D176" i="6"/>
  <c r="E1279" i="6"/>
  <c r="E1358" i="6"/>
  <c r="D369" i="6"/>
  <c r="F1070" i="6"/>
  <c r="C168" i="6"/>
  <c r="E1344" i="6"/>
  <c r="D246" i="6"/>
  <c r="D250" i="6"/>
  <c r="D191" i="6"/>
  <c r="C45" i="6"/>
  <c r="D698" i="6"/>
  <c r="E1330" i="6"/>
  <c r="D174" i="6"/>
  <c r="D115" i="6"/>
  <c r="D175" i="6"/>
  <c r="E1313" i="6"/>
  <c r="E1219" i="6"/>
  <c r="E1214" i="6"/>
  <c r="D382" i="6"/>
  <c r="C151" i="6"/>
  <c r="C177" i="6"/>
  <c r="D168" i="6"/>
  <c r="I1249" i="6"/>
  <c r="D318" i="6"/>
  <c r="D206" i="6"/>
  <c r="C325" i="6"/>
  <c r="C96" i="6"/>
  <c r="C144" i="6"/>
  <c r="E1221" i="6"/>
  <c r="I1348" i="6"/>
  <c r="F246" i="6"/>
  <c r="C159" i="6"/>
  <c r="F1286" i="6"/>
  <c r="F719" i="6"/>
  <c r="F844" i="6"/>
  <c r="C31" i="6"/>
  <c r="F1253" i="6"/>
  <c r="F1114" i="6"/>
  <c r="I1352" i="6"/>
  <c r="J782" i="6"/>
  <c r="F471" i="6"/>
  <c r="I1221" i="6"/>
  <c r="I1271" i="6"/>
  <c r="E1240" i="6"/>
  <c r="I1258" i="6"/>
  <c r="J80" i="6"/>
  <c r="J262" i="6"/>
  <c r="I1321" i="6"/>
  <c r="F1301" i="6"/>
  <c r="C39" i="6"/>
  <c r="I1284" i="6"/>
  <c r="F907" i="6"/>
  <c r="F565" i="6"/>
  <c r="F995" i="6"/>
  <c r="J286" i="6"/>
  <c r="E1309" i="6"/>
  <c r="J1366" i="6"/>
  <c r="C163" i="6"/>
  <c r="F557" i="6"/>
  <c r="C99" i="6"/>
  <c r="F944" i="6"/>
  <c r="C35" i="6"/>
  <c r="I1245" i="6"/>
  <c r="F1254" i="6"/>
  <c r="E1303" i="6"/>
  <c r="F394" i="6"/>
  <c r="J959" i="6"/>
  <c r="I1174" i="6"/>
  <c r="I1195" i="6"/>
  <c r="I1166" i="6"/>
  <c r="I1192" i="6"/>
  <c r="I1169" i="6"/>
  <c r="I1197" i="6"/>
  <c r="I1165" i="6"/>
  <c r="E1164" i="6"/>
  <c r="E1206" i="6"/>
  <c r="E1198" i="6"/>
  <c r="E1190" i="6"/>
  <c r="E1182" i="6"/>
  <c r="E1174" i="6"/>
  <c r="I1161" i="6"/>
  <c r="I1079" i="6"/>
  <c r="I12" i="6"/>
  <c r="I20" i="6"/>
  <c r="I28" i="6"/>
  <c r="I36" i="6"/>
  <c r="I44" i="6"/>
  <c r="I52" i="6"/>
  <c r="I60" i="6"/>
  <c r="I68" i="6"/>
  <c r="I76" i="6"/>
  <c r="I84" i="6"/>
  <c r="I92" i="6"/>
  <c r="I100" i="6"/>
  <c r="I108" i="6"/>
  <c r="I116" i="6"/>
  <c r="I124" i="6"/>
  <c r="I132" i="6"/>
  <c r="I140" i="6"/>
  <c r="I148" i="6"/>
  <c r="I156" i="6"/>
  <c r="I164" i="6"/>
  <c r="I172" i="6"/>
  <c r="I180" i="6"/>
  <c r="I188" i="6"/>
  <c r="I196" i="6"/>
  <c r="I204" i="6"/>
  <c r="I212" i="6"/>
  <c r="I220" i="6"/>
  <c r="I228" i="6"/>
  <c r="I236" i="6"/>
  <c r="I244" i="6"/>
  <c r="I252" i="6"/>
  <c r="I260" i="6"/>
  <c r="I268" i="6"/>
  <c r="I276" i="6"/>
  <c r="I284" i="6"/>
  <c r="I292" i="6"/>
  <c r="I300" i="6"/>
  <c r="I308" i="6"/>
  <c r="I316" i="6"/>
  <c r="I324" i="6"/>
  <c r="I332" i="6"/>
  <c r="I340" i="6"/>
  <c r="I348" i="6"/>
  <c r="I356" i="6"/>
  <c r="I364" i="6"/>
  <c r="I372" i="6"/>
  <c r="I380" i="6"/>
  <c r="I388" i="6"/>
  <c r="I396" i="6"/>
  <c r="I404" i="6"/>
  <c r="I412" i="6"/>
  <c r="I420" i="6"/>
  <c r="I428" i="6"/>
  <c r="I436" i="6"/>
  <c r="I444" i="6"/>
  <c r="I452" i="6"/>
  <c r="I460" i="6"/>
  <c r="I468" i="6"/>
  <c r="I476" i="6"/>
  <c r="I484" i="6"/>
  <c r="I492" i="6"/>
  <c r="I500" i="6"/>
  <c r="I508" i="6"/>
  <c r="I516" i="6"/>
  <c r="I524" i="6"/>
  <c r="I532" i="6"/>
  <c r="I541" i="6"/>
  <c r="I551" i="6"/>
  <c r="I560" i="6"/>
  <c r="I569" i="6"/>
  <c r="I579" i="6"/>
  <c r="I589" i="6"/>
  <c r="I597" i="6"/>
  <c r="I607" i="6"/>
  <c r="I616" i="6"/>
  <c r="I627" i="6"/>
  <c r="I638" i="6"/>
  <c r="I649" i="6"/>
  <c r="I660" i="6"/>
  <c r="I672" i="6"/>
  <c r="I683" i="6"/>
  <c r="I692" i="6"/>
  <c r="I702" i="6"/>
  <c r="I715" i="6"/>
  <c r="I730" i="6"/>
  <c r="I745" i="6"/>
  <c r="I762" i="6"/>
  <c r="I777" i="6"/>
  <c r="I792" i="6"/>
  <c r="I808" i="6"/>
  <c r="I1096" i="6"/>
  <c r="I1114" i="6"/>
  <c r="I1155" i="6"/>
  <c r="I661" i="6"/>
  <c r="I1111" i="6"/>
  <c r="I1149" i="6"/>
  <c r="I747" i="6"/>
  <c r="I1007" i="6"/>
  <c r="I1043" i="6"/>
  <c r="I1061" i="6"/>
  <c r="I708" i="6"/>
  <c r="I778" i="6"/>
  <c r="I725" i="6"/>
  <c r="I1087" i="6"/>
  <c r="I1136" i="6"/>
  <c r="I809" i="6"/>
  <c r="I1011" i="6"/>
  <c r="I1108" i="6"/>
  <c r="I1130" i="6"/>
  <c r="I1091" i="6"/>
  <c r="I1048" i="6"/>
  <c r="I781" i="6"/>
  <c r="I711" i="6"/>
  <c r="I1017" i="6"/>
  <c r="I1034" i="6"/>
  <c r="I807" i="6"/>
  <c r="I676" i="6"/>
  <c r="I1084" i="6"/>
  <c r="I1132" i="6"/>
  <c r="I1156" i="6"/>
  <c r="E487" i="6"/>
  <c r="E479" i="6"/>
  <c r="E471" i="6"/>
  <c r="E463" i="6"/>
  <c r="E455" i="6"/>
  <c r="E447" i="6"/>
  <c r="E439" i="6"/>
  <c r="E431" i="6"/>
  <c r="E423" i="6"/>
  <c r="E415" i="6"/>
  <c r="E407" i="6"/>
  <c r="E399" i="6"/>
  <c r="E391" i="6"/>
  <c r="E383" i="6"/>
  <c r="E375" i="6"/>
  <c r="E367" i="6"/>
  <c r="E359" i="6"/>
  <c r="E351" i="6"/>
  <c r="E343" i="6"/>
  <c r="E335" i="6"/>
  <c r="E327" i="6"/>
  <c r="E319" i="6"/>
  <c r="E311" i="6"/>
  <c r="E303" i="6"/>
  <c r="E295" i="6"/>
  <c r="E287" i="6"/>
  <c r="E279" i="6"/>
  <c r="E271" i="6"/>
  <c r="E255" i="6"/>
  <c r="E247" i="6"/>
  <c r="E239" i="6"/>
  <c r="E231" i="6"/>
  <c r="E223" i="6"/>
  <c r="E215" i="6"/>
  <c r="E207" i="6"/>
  <c r="E199" i="6"/>
  <c r="E191" i="6"/>
  <c r="E183" i="6"/>
  <c r="E175" i="6"/>
  <c r="E167" i="6"/>
  <c r="E159" i="6"/>
  <c r="E151" i="6"/>
  <c r="E143" i="6"/>
  <c r="E135" i="6"/>
  <c r="E127" i="6"/>
  <c r="E119" i="6"/>
  <c r="E111" i="6"/>
  <c r="E103" i="6"/>
  <c r="E95" i="6"/>
  <c r="E87" i="6"/>
  <c r="E79" i="6"/>
  <c r="E71" i="6"/>
  <c r="E63" i="6"/>
  <c r="E55" i="6"/>
  <c r="E47" i="6"/>
  <c r="E39" i="6"/>
  <c r="E31" i="6"/>
  <c r="E23" i="6"/>
  <c r="E15" i="6"/>
  <c r="E7" i="6"/>
  <c r="E804" i="6"/>
  <c r="E790" i="6"/>
  <c r="E776" i="6"/>
  <c r="E759" i="6"/>
  <c r="E746" i="6"/>
  <c r="E732" i="6"/>
  <c r="E716" i="6"/>
  <c r="E703" i="6"/>
  <c r="E814" i="6"/>
  <c r="E753" i="6"/>
  <c r="E775" i="6"/>
  <c r="E723" i="6"/>
  <c r="F859" i="6"/>
  <c r="F171" i="6"/>
  <c r="J124" i="6"/>
  <c r="J44" i="6"/>
  <c r="F916" i="6"/>
  <c r="I1361" i="6"/>
  <c r="J930" i="6"/>
  <c r="J494" i="6"/>
  <c r="F1234" i="6"/>
  <c r="F999" i="6"/>
  <c r="F232" i="6"/>
  <c r="F419" i="6"/>
  <c r="J1338" i="6"/>
  <c r="F8" i="6"/>
  <c r="F248" i="6"/>
  <c r="F129" i="6"/>
  <c r="F988" i="6"/>
  <c r="J490" i="6"/>
  <c r="J904" i="6"/>
  <c r="F877" i="6"/>
  <c r="F1297" i="6"/>
  <c r="F189" i="6"/>
  <c r="J984" i="6"/>
  <c r="J374" i="6"/>
  <c r="J1029" i="6"/>
  <c r="J861" i="6"/>
  <c r="C825" i="6"/>
  <c r="F983" i="6"/>
  <c r="D334" i="6"/>
  <c r="J1005" i="6"/>
  <c r="F389" i="6"/>
  <c r="J298" i="6"/>
  <c r="F756" i="6"/>
  <c r="F10" i="6"/>
  <c r="F1269" i="6"/>
  <c r="J527" i="6"/>
  <c r="J284" i="6"/>
  <c r="F49" i="6"/>
  <c r="F979" i="6"/>
  <c r="J946" i="6"/>
  <c r="J103" i="6"/>
  <c r="D820" i="6"/>
  <c r="F173" i="6"/>
  <c r="J113" i="6"/>
  <c r="J847" i="6"/>
  <c r="J1160" i="6"/>
  <c r="D825" i="6"/>
  <c r="F357" i="6"/>
  <c r="J1171" i="6"/>
  <c r="J1355" i="6"/>
  <c r="F590" i="6"/>
  <c r="J903" i="6"/>
  <c r="F473" i="6"/>
  <c r="J683" i="6"/>
  <c r="F573" i="6"/>
  <c r="C1235" i="6"/>
  <c r="J383" i="6"/>
  <c r="J918" i="6"/>
  <c r="J248" i="6"/>
  <c r="J1266" i="6"/>
  <c r="I1281" i="6"/>
  <c r="F7" i="6"/>
  <c r="D886" i="6"/>
  <c r="J1298" i="6"/>
  <c r="F571" i="6"/>
  <c r="C1344" i="6"/>
  <c r="J511" i="6"/>
  <c r="C1194" i="6"/>
  <c r="D687" i="6"/>
  <c r="F37" i="6"/>
  <c r="F234" i="6"/>
  <c r="F511" i="6"/>
  <c r="C441" i="6"/>
  <c r="I1287" i="6"/>
  <c r="F440" i="6"/>
  <c r="D1358" i="6"/>
  <c r="J134" i="6"/>
  <c r="J1063" i="6"/>
  <c r="J580" i="6"/>
  <c r="C1219" i="6"/>
  <c r="C890" i="6"/>
  <c r="J1106" i="6"/>
  <c r="J307" i="6"/>
  <c r="D1305" i="6"/>
  <c r="C820" i="6"/>
  <c r="D630" i="6"/>
  <c r="D533" i="6"/>
  <c r="C1330" i="6"/>
  <c r="D1330" i="6"/>
  <c r="J535" i="6"/>
  <c r="C1196" i="6"/>
  <c r="C1250" i="6"/>
  <c r="J716" i="6"/>
  <c r="D882" i="6"/>
  <c r="D393" i="6"/>
  <c r="J88" i="6"/>
  <c r="J549" i="6"/>
  <c r="D244" i="6"/>
  <c r="C966" i="6"/>
  <c r="C1304" i="6"/>
  <c r="C943" i="6"/>
  <c r="C864" i="6"/>
  <c r="D297" i="6"/>
  <c r="C1025" i="6"/>
  <c r="D1174" i="6"/>
  <c r="C600" i="6"/>
  <c r="D304" i="6"/>
  <c r="C1105" i="6"/>
  <c r="C976" i="6"/>
  <c r="D241" i="6"/>
  <c r="D727" i="6"/>
  <c r="C1312" i="6"/>
  <c r="C1364" i="6"/>
  <c r="D638" i="6"/>
  <c r="C684" i="6"/>
  <c r="C1345" i="6"/>
  <c r="D805" i="6"/>
  <c r="C563" i="6"/>
  <c r="C499" i="6"/>
  <c r="C1367" i="6"/>
  <c r="C1360" i="6"/>
  <c r="D502" i="6"/>
  <c r="D482" i="6"/>
  <c r="D1249" i="6"/>
  <c r="C1310" i="6"/>
  <c r="D939" i="6"/>
  <c r="C771" i="6"/>
  <c r="D1128" i="6"/>
  <c r="C1241" i="6"/>
  <c r="D1102" i="6"/>
  <c r="D462" i="6"/>
  <c r="C1353" i="6"/>
  <c r="C1074" i="6"/>
  <c r="C480" i="6"/>
  <c r="C327" i="6"/>
  <c r="D450" i="6"/>
  <c r="C1212" i="6"/>
  <c r="C655" i="6"/>
  <c r="C1113" i="6"/>
  <c r="D762" i="6"/>
  <c r="D730" i="6"/>
  <c r="D1233" i="6"/>
  <c r="C447" i="6"/>
  <c r="C749" i="6"/>
  <c r="C778" i="6"/>
  <c r="C1260" i="6"/>
  <c r="C224" i="6"/>
  <c r="J482" i="6"/>
  <c r="D1197" i="6"/>
  <c r="D1359" i="6"/>
  <c r="C883" i="6"/>
  <c r="D950" i="6"/>
  <c r="F71" i="6"/>
  <c r="C1124" i="6"/>
  <c r="D763" i="6"/>
  <c r="C911" i="6"/>
  <c r="C694" i="6"/>
  <c r="C1244" i="6"/>
  <c r="C1284" i="6"/>
  <c r="C1063" i="6"/>
  <c r="D668" i="6"/>
  <c r="D819" i="6"/>
  <c r="C449" i="6"/>
  <c r="C1185" i="6"/>
  <c r="E1267" i="6"/>
  <c r="C1167" i="6"/>
  <c r="C587" i="6"/>
  <c r="C1034" i="6"/>
  <c r="C337" i="6"/>
  <c r="D1082" i="6"/>
  <c r="C373" i="6"/>
  <c r="F835" i="6"/>
  <c r="J1225" i="6"/>
  <c r="J947" i="6"/>
  <c r="F868" i="6"/>
  <c r="F1368" i="6"/>
  <c r="F1025" i="6"/>
  <c r="J1165" i="6"/>
  <c r="F20" i="6"/>
  <c r="F155" i="6"/>
  <c r="J321" i="6"/>
  <c r="F720" i="6"/>
  <c r="J1330" i="6"/>
  <c r="F526" i="6"/>
  <c r="J846" i="6"/>
  <c r="J657" i="6"/>
  <c r="J626" i="6"/>
  <c r="J275" i="6"/>
  <c r="F21" i="6"/>
  <c r="J1198" i="6"/>
  <c r="F1043" i="6"/>
  <c r="J533" i="6"/>
  <c r="F1020" i="6"/>
  <c r="F838" i="6"/>
  <c r="J470" i="6"/>
  <c r="J836" i="6"/>
  <c r="F452" i="6"/>
  <c r="I1328" i="6"/>
  <c r="F758" i="6"/>
  <c r="J934" i="6"/>
  <c r="J1354" i="6"/>
  <c r="F785" i="6"/>
  <c r="F716" i="6"/>
  <c r="J769" i="6"/>
  <c r="J207" i="6"/>
  <c r="F1115" i="6"/>
  <c r="F700" i="6"/>
  <c r="J1082" i="6"/>
  <c r="J1193" i="6"/>
  <c r="C1054" i="6"/>
  <c r="F181" i="6"/>
  <c r="J800" i="6"/>
  <c r="C1181" i="6"/>
  <c r="J84" i="6"/>
  <c r="J16" i="6"/>
  <c r="F1357" i="6"/>
  <c r="J777" i="6"/>
  <c r="C1093" i="6"/>
  <c r="F422" i="6"/>
  <c r="D1313" i="6"/>
  <c r="D909" i="6"/>
  <c r="J324" i="6"/>
  <c r="J455" i="6"/>
  <c r="F336" i="6"/>
  <c r="D1169" i="6"/>
  <c r="J1183" i="6"/>
  <c r="J795" i="6"/>
  <c r="F746" i="6"/>
  <c r="J296" i="6"/>
  <c r="F26" i="6"/>
  <c r="J1209" i="6"/>
  <c r="F347" i="6"/>
  <c r="J813" i="6"/>
  <c r="C1309" i="6"/>
  <c r="J676" i="6"/>
  <c r="J1296" i="6"/>
  <c r="C661" i="6"/>
  <c r="F158" i="6"/>
  <c r="C1136" i="6"/>
  <c r="F975" i="6"/>
  <c r="J1223" i="6"/>
  <c r="D471" i="6"/>
  <c r="C924" i="6"/>
  <c r="F447" i="6"/>
  <c r="J1158" i="6"/>
  <c r="J514" i="6"/>
  <c r="D1003" i="6"/>
  <c r="C1190" i="6"/>
  <c r="C1094" i="6"/>
  <c r="J1233" i="6"/>
  <c r="F743" i="6"/>
  <c r="C1341" i="6"/>
  <c r="F474" i="6"/>
  <c r="F433" i="6"/>
  <c r="D991" i="6"/>
  <c r="C519" i="6"/>
  <c r="J708" i="6"/>
  <c r="D577" i="6"/>
  <c r="C1187" i="6"/>
  <c r="D903" i="6"/>
  <c r="D1133" i="6"/>
  <c r="D794" i="6"/>
  <c r="F891" i="6"/>
  <c r="C958" i="6"/>
  <c r="D1256" i="6"/>
  <c r="J1303" i="6"/>
  <c r="D1191" i="6"/>
  <c r="J754" i="6"/>
  <c r="J1322" i="6"/>
  <c r="D787" i="6"/>
  <c r="D1286" i="6"/>
  <c r="C484" i="6"/>
  <c r="D1229" i="6"/>
  <c r="D969" i="6"/>
  <c r="D1340" i="6"/>
  <c r="C815" i="6"/>
  <c r="C788" i="6"/>
  <c r="C528" i="6"/>
  <c r="J130" i="6"/>
  <c r="J910" i="6"/>
  <c r="D777" i="6"/>
  <c r="D519" i="6"/>
  <c r="F536" i="6"/>
  <c r="D1346" i="6"/>
  <c r="C1201" i="6"/>
  <c r="C779" i="6"/>
  <c r="C989" i="6"/>
  <c r="C653" i="6"/>
  <c r="D559" i="6"/>
  <c r="C268" i="6"/>
  <c r="F276" i="6"/>
  <c r="D1342" i="6"/>
  <c r="C1160" i="6"/>
  <c r="D665" i="6"/>
  <c r="C463" i="6"/>
  <c r="C1296" i="6"/>
  <c r="D916" i="6"/>
  <c r="D371" i="6"/>
  <c r="D1226" i="6"/>
  <c r="C740" i="6"/>
  <c r="D844" i="6"/>
  <c r="C435" i="6"/>
  <c r="C1269" i="6"/>
  <c r="D971" i="6"/>
  <c r="C1139" i="6"/>
  <c r="D1356" i="6"/>
  <c r="D1166" i="6"/>
  <c r="C978" i="6"/>
  <c r="D1337" i="6"/>
  <c r="C1017" i="6"/>
  <c r="D691" i="6"/>
  <c r="D1114" i="6"/>
  <c r="C1369" i="6"/>
  <c r="D1091" i="6"/>
  <c r="C1070" i="6"/>
  <c r="D705" i="6"/>
  <c r="D757" i="6"/>
  <c r="C497" i="6"/>
  <c r="J68" i="6"/>
  <c r="D1123" i="6"/>
  <c r="C518" i="6"/>
  <c r="D1019" i="6"/>
  <c r="D565" i="6"/>
  <c r="C411" i="6"/>
  <c r="D671" i="6"/>
  <c r="D1162" i="6"/>
  <c r="C531" i="6"/>
  <c r="C477" i="6"/>
  <c r="C1316" i="6"/>
  <c r="C946" i="6"/>
  <c r="J558" i="6"/>
  <c r="D1142" i="6"/>
  <c r="J1191" i="6"/>
  <c r="D995" i="6"/>
  <c r="C596" i="6"/>
  <c r="D953" i="6"/>
  <c r="C892" i="6"/>
  <c r="D992" i="6"/>
  <c r="C1099" i="6"/>
  <c r="D377" i="6"/>
  <c r="C482" i="6"/>
  <c r="J1188" i="6"/>
  <c r="F857" i="6"/>
  <c r="F1107" i="6"/>
  <c r="F1287" i="6"/>
  <c r="F1213" i="6"/>
  <c r="J560" i="6"/>
  <c r="J559" i="6"/>
  <c r="J639" i="6"/>
  <c r="F1131" i="6"/>
  <c r="F1222" i="6"/>
  <c r="F382" i="6"/>
  <c r="F740" i="6"/>
  <c r="J620" i="6"/>
  <c r="J157" i="6"/>
  <c r="J303" i="6"/>
  <c r="F1029" i="6"/>
  <c r="J873" i="6"/>
  <c r="J154" i="6"/>
  <c r="F403" i="6"/>
  <c r="F754" i="6"/>
  <c r="F318" i="6"/>
  <c r="J1037" i="6"/>
  <c r="I1314" i="6"/>
  <c r="J1164" i="6"/>
  <c r="F839" i="6"/>
  <c r="J183" i="6"/>
  <c r="F279" i="6"/>
  <c r="F85" i="6"/>
  <c r="J552" i="6"/>
  <c r="C1045" i="6"/>
  <c r="F1128" i="6"/>
  <c r="F790" i="6"/>
  <c r="F338" i="6"/>
  <c r="J236" i="6"/>
  <c r="F1055" i="6"/>
  <c r="F82" i="6"/>
  <c r="F588" i="6"/>
  <c r="J504" i="6"/>
  <c r="D1195" i="6"/>
  <c r="J1180" i="6"/>
  <c r="J152" i="6"/>
  <c r="J854" i="6"/>
  <c r="J232" i="6"/>
  <c r="J483" i="6"/>
  <c r="F353" i="6"/>
  <c r="J1347" i="6"/>
  <c r="J244" i="6"/>
  <c r="F210" i="6"/>
  <c r="F924" i="6"/>
  <c r="I1363" i="6"/>
  <c r="J973" i="6"/>
  <c r="F406" i="6"/>
  <c r="F549" i="6"/>
  <c r="F722" i="6"/>
  <c r="J921" i="6"/>
  <c r="F582" i="6"/>
  <c r="F360" i="6"/>
  <c r="D1151" i="6"/>
  <c r="J211" i="6"/>
  <c r="J911" i="6"/>
  <c r="F957" i="6"/>
  <c r="D1074" i="6"/>
  <c r="D753" i="6"/>
  <c r="J189" i="6"/>
  <c r="F436" i="6"/>
  <c r="J422" i="6"/>
  <c r="J702" i="6"/>
  <c r="J563" i="6"/>
  <c r="J787" i="6"/>
  <c r="F682" i="6"/>
  <c r="F696" i="6"/>
  <c r="J818" i="6"/>
  <c r="F1334" i="6"/>
  <c r="J204" i="6"/>
  <c r="F1053" i="6"/>
  <c r="F59" i="6"/>
  <c r="F325" i="6"/>
  <c r="C790" i="6"/>
  <c r="C1046" i="6"/>
  <c r="F1279" i="6"/>
  <c r="J222" i="6"/>
  <c r="J756" i="6"/>
  <c r="F1238" i="6"/>
  <c r="D1311" i="6"/>
  <c r="J1059" i="6"/>
  <c r="C1103" i="6"/>
  <c r="C929" i="6"/>
  <c r="J451" i="6"/>
  <c r="J279" i="6"/>
  <c r="D407" i="6"/>
  <c r="J128" i="6"/>
  <c r="J1194" i="6"/>
  <c r="J886" i="6"/>
  <c r="J174" i="6"/>
  <c r="J644" i="6"/>
  <c r="J957" i="6"/>
  <c r="D1319" i="6"/>
  <c r="J367" i="6"/>
  <c r="F274" i="6"/>
  <c r="D1184" i="6"/>
  <c r="J52" i="6"/>
  <c r="J203" i="6"/>
  <c r="C1134" i="6"/>
  <c r="D1348" i="6"/>
  <c r="D1264" i="6"/>
  <c r="D968" i="6"/>
  <c r="C884" i="6"/>
  <c r="C618" i="6"/>
  <c r="J853" i="6"/>
  <c r="J1039" i="6"/>
  <c r="J459" i="6"/>
  <c r="J389" i="6"/>
  <c r="C1042" i="6"/>
  <c r="C862" i="6"/>
  <c r="F430" i="6"/>
  <c r="D504" i="6"/>
  <c r="C1149" i="6"/>
  <c r="C733" i="6"/>
  <c r="D786" i="6"/>
  <c r="C113" i="6"/>
  <c r="C847" i="6"/>
  <c r="C588" i="6"/>
  <c r="C523" i="6"/>
  <c r="D1105" i="6"/>
  <c r="D1081" i="6"/>
  <c r="D263" i="6"/>
  <c r="C941" i="6"/>
  <c r="D951" i="6"/>
  <c r="D865" i="6"/>
  <c r="C1010" i="6"/>
  <c r="D1072" i="6"/>
  <c r="C21" i="6"/>
  <c r="D884" i="6"/>
  <c r="C1050" i="6"/>
  <c r="D975" i="6"/>
  <c r="D240" i="6"/>
  <c r="C232" i="6"/>
  <c r="C348" i="6"/>
  <c r="C540" i="6"/>
  <c r="C732" i="6"/>
  <c r="D906" i="6"/>
  <c r="C990" i="6"/>
  <c r="C738" i="6"/>
  <c r="C273" i="6"/>
  <c r="D1306" i="6"/>
  <c r="C61" i="6"/>
  <c r="C955" i="6"/>
  <c r="D245" i="6"/>
  <c r="C1270" i="6"/>
  <c r="C754" i="6"/>
  <c r="D983" i="6"/>
  <c r="D643" i="6"/>
  <c r="C1193" i="6"/>
  <c r="C269" i="6"/>
  <c r="D887" i="6"/>
  <c r="D851" i="6"/>
  <c r="C1013" i="6"/>
  <c r="C1146" i="6"/>
  <c r="C345" i="6"/>
  <c r="C75" i="6"/>
  <c r="C395" i="6"/>
  <c r="D696" i="6"/>
  <c r="C1142" i="6"/>
  <c r="C798" i="6"/>
  <c r="C1012" i="6"/>
  <c r="D774" i="6"/>
  <c r="D911" i="6"/>
  <c r="D934" i="6"/>
  <c r="D161" i="6"/>
  <c r="I1368" i="6"/>
  <c r="C573" i="6"/>
  <c r="C795" i="6"/>
  <c r="D216" i="6"/>
  <c r="D320" i="6"/>
  <c r="D477" i="6"/>
  <c r="C506" i="6"/>
  <c r="C550" i="6"/>
  <c r="E1343" i="6"/>
  <c r="D1014" i="6"/>
  <c r="D1087" i="6"/>
  <c r="D406" i="6"/>
  <c r="D728" i="6"/>
  <c r="C278" i="6"/>
  <c r="C214" i="6"/>
  <c r="C770" i="6"/>
  <c r="C493" i="6"/>
  <c r="F14" i="6"/>
  <c r="D411" i="6"/>
  <c r="C643" i="6"/>
  <c r="C236" i="6"/>
  <c r="D994" i="6"/>
  <c r="C598" i="6"/>
  <c r="C123" i="6"/>
  <c r="D256" i="6"/>
  <c r="D239" i="6"/>
  <c r="D325" i="6"/>
  <c r="D305" i="6"/>
  <c r="I1233" i="6"/>
  <c r="D621" i="6"/>
  <c r="I1358" i="6"/>
  <c r="D472" i="6"/>
  <c r="C491" i="6"/>
  <c r="C1143" i="6"/>
  <c r="D767" i="6"/>
  <c r="D27" i="6"/>
  <c r="D509" i="6"/>
  <c r="C522" i="6"/>
  <c r="D1106" i="6"/>
  <c r="C454" i="6"/>
  <c r="D391" i="6"/>
  <c r="D233" i="6"/>
  <c r="C341" i="6"/>
  <c r="D238" i="6"/>
  <c r="C875" i="6"/>
  <c r="C513" i="6"/>
  <c r="D612" i="6"/>
  <c r="D532" i="6"/>
  <c r="D1086" i="6"/>
  <c r="C169" i="6"/>
  <c r="C303" i="6"/>
  <c r="D223" i="6"/>
  <c r="D528" i="6"/>
  <c r="C330" i="6"/>
  <c r="E1306" i="6"/>
  <c r="D814" i="6"/>
  <c r="E1329" i="6"/>
  <c r="D464" i="6"/>
  <c r="D120" i="6"/>
  <c r="D667" i="6"/>
  <c r="C541" i="6"/>
  <c r="D117" i="6"/>
  <c r="C609" i="6"/>
  <c r="D351" i="6"/>
  <c r="C1100" i="6"/>
  <c r="D443" i="6"/>
  <c r="C501" i="6"/>
  <c r="C211" i="6"/>
  <c r="D286" i="6"/>
  <c r="F1113" i="6"/>
  <c r="E1257" i="6"/>
  <c r="C46" i="6"/>
  <c r="D135" i="6"/>
  <c r="C156" i="6"/>
  <c r="D139" i="6"/>
  <c r="D163" i="6"/>
  <c r="D51" i="6"/>
  <c r="F1119" i="6"/>
  <c r="C41" i="6"/>
  <c r="C139" i="6"/>
  <c r="C119" i="6"/>
  <c r="C146" i="6"/>
  <c r="C43" i="6"/>
  <c r="E1217" i="6"/>
  <c r="C402" i="6"/>
  <c r="E1302" i="6"/>
  <c r="J837" i="6"/>
  <c r="C78" i="6"/>
  <c r="E1365" i="6"/>
  <c r="C112" i="6"/>
  <c r="C206" i="6"/>
  <c r="E1290" i="6"/>
  <c r="C470" i="6"/>
  <c r="D302" i="6"/>
  <c r="C51" i="6"/>
  <c r="C82" i="6"/>
  <c r="D192" i="6"/>
  <c r="C54" i="6"/>
  <c r="E1238" i="6"/>
  <c r="E1288" i="6"/>
  <c r="D479" i="6"/>
  <c r="E1293" i="6"/>
  <c r="D258" i="6"/>
  <c r="C179" i="6"/>
  <c r="F316" i="6"/>
  <c r="J623" i="6"/>
  <c r="F1258" i="6"/>
  <c r="J454" i="6"/>
  <c r="D131" i="6"/>
  <c r="F1172" i="6"/>
  <c r="D67" i="6"/>
  <c r="F958" i="6"/>
  <c r="F344" i="6"/>
  <c r="F1214" i="6"/>
  <c r="J1363" i="6"/>
  <c r="F527" i="6"/>
  <c r="C230" i="6"/>
  <c r="F1161" i="6"/>
  <c r="F487" i="6"/>
  <c r="C102" i="6"/>
  <c r="F1150" i="6"/>
  <c r="E1311" i="6"/>
  <c r="I1371" i="6"/>
  <c r="J1323" i="6"/>
  <c r="I1257" i="6"/>
  <c r="F1345" i="6"/>
  <c r="F1310" i="6"/>
  <c r="F908" i="6"/>
  <c r="C98" i="6"/>
  <c r="F1094" i="6"/>
  <c r="E1352" i="6"/>
  <c r="F792" i="6"/>
  <c r="F1157" i="6"/>
  <c r="I1200" i="6"/>
  <c r="I1214" i="6"/>
  <c r="I1180" i="6"/>
  <c r="I1205" i="6"/>
  <c r="E1163" i="6"/>
  <c r="E1209" i="6"/>
  <c r="E1197" i="6"/>
  <c r="E1187" i="6"/>
  <c r="E1177" i="6"/>
  <c r="J696" i="6"/>
  <c r="F450" i="6"/>
  <c r="I1362" i="6"/>
  <c r="F1328" i="6"/>
  <c r="J175" i="6"/>
  <c r="F661" i="6"/>
  <c r="F729" i="6"/>
  <c r="J545" i="6"/>
  <c r="F1096" i="6"/>
  <c r="F359" i="6"/>
  <c r="J673" i="6"/>
  <c r="F339" i="6"/>
  <c r="F750" i="6"/>
  <c r="J331" i="6"/>
  <c r="J1007" i="6"/>
  <c r="J660" i="6"/>
  <c r="J136" i="6"/>
  <c r="D1317" i="6"/>
  <c r="F89" i="6"/>
  <c r="J576" i="6"/>
  <c r="C1210" i="6"/>
  <c r="J695" i="6"/>
  <c r="J438" i="6"/>
  <c r="J361" i="6"/>
  <c r="J62" i="6"/>
  <c r="J121" i="6"/>
  <c r="J1118" i="6"/>
  <c r="J926" i="6"/>
  <c r="J294" i="6"/>
  <c r="J968" i="6"/>
  <c r="I1334" i="6"/>
  <c r="F475" i="6"/>
  <c r="C1361" i="6"/>
  <c r="C774" i="6"/>
  <c r="C922" i="6"/>
  <c r="F1004" i="6"/>
  <c r="J1184" i="6"/>
  <c r="J878" i="6"/>
  <c r="D1268" i="6"/>
  <c r="J721" i="6"/>
  <c r="I1365" i="6"/>
  <c r="J806" i="6"/>
  <c r="C956" i="6"/>
  <c r="J55" i="6"/>
  <c r="F205" i="6"/>
  <c r="D985" i="6"/>
  <c r="J762" i="6"/>
  <c r="J142" i="6"/>
  <c r="C869" i="6"/>
  <c r="F554" i="6"/>
  <c r="J221" i="6"/>
  <c r="D1314" i="6"/>
  <c r="J1302" i="6"/>
  <c r="F305" i="6"/>
  <c r="D1004" i="6"/>
  <c r="J1228" i="6"/>
  <c r="J797" i="6"/>
  <c r="D707" i="6"/>
  <c r="D1223" i="6"/>
  <c r="C719" i="6"/>
  <c r="D1231" i="6"/>
  <c r="D1225" i="6"/>
  <c r="F822" i="6"/>
  <c r="J472" i="6"/>
  <c r="C910" i="6"/>
  <c r="F409" i="6"/>
  <c r="J584" i="6"/>
  <c r="J703" i="6"/>
  <c r="C479" i="6"/>
  <c r="C652" i="6"/>
  <c r="C704" i="6"/>
  <c r="J452" i="6"/>
  <c r="D1025" i="6"/>
  <c r="J327" i="6"/>
  <c r="D1175" i="6"/>
  <c r="D1149" i="6"/>
  <c r="D586" i="6"/>
  <c r="C808" i="6"/>
  <c r="D703" i="6"/>
  <c r="C460" i="6"/>
  <c r="D126" i="6"/>
  <c r="C1078" i="6"/>
  <c r="C1236" i="6"/>
  <c r="D501" i="6"/>
  <c r="D883" i="6"/>
  <c r="C759" i="6"/>
  <c r="D672" i="6"/>
  <c r="C620" i="6"/>
  <c r="C577" i="6"/>
  <c r="C145" i="6"/>
  <c r="D1079" i="6"/>
  <c r="D713" i="6"/>
  <c r="C104" i="6"/>
  <c r="C806" i="6"/>
  <c r="C804" i="6"/>
  <c r="D1038" i="6"/>
  <c r="C1129" i="6"/>
  <c r="D875" i="6"/>
  <c r="D709" i="6"/>
  <c r="D833" i="6"/>
  <c r="C1024" i="6"/>
  <c r="D1221" i="6"/>
  <c r="D1055" i="6"/>
  <c r="D204" i="6"/>
  <c r="D1349" i="6"/>
  <c r="C1237" i="6"/>
  <c r="D1043" i="6"/>
  <c r="D1179" i="6"/>
  <c r="I1220" i="6"/>
  <c r="C1041" i="6"/>
  <c r="D599" i="6"/>
  <c r="C933" i="6"/>
  <c r="D1073" i="6"/>
  <c r="C765" i="6"/>
  <c r="D864" i="6"/>
  <c r="C1265" i="6"/>
  <c r="D998" i="6"/>
  <c r="D816" i="6"/>
  <c r="D822" i="6"/>
  <c r="D368" i="6"/>
  <c r="D803" i="6"/>
  <c r="D526" i="6"/>
  <c r="D329" i="6"/>
  <c r="D221" i="6"/>
  <c r="C114" i="6"/>
  <c r="D847" i="6"/>
  <c r="C504" i="6"/>
  <c r="D544" i="6"/>
  <c r="D257" i="6"/>
  <c r="C204" i="6"/>
  <c r="C305" i="6"/>
  <c r="C65" i="6"/>
  <c r="J864" i="6"/>
  <c r="C195" i="6"/>
  <c r="D506" i="6"/>
  <c r="C557" i="6"/>
  <c r="C205" i="6"/>
  <c r="I1295" i="6"/>
  <c r="D922" i="6"/>
  <c r="D1023" i="6"/>
  <c r="E1332" i="6"/>
  <c r="C209" i="6"/>
  <c r="F955" i="6"/>
  <c r="C385" i="6"/>
  <c r="C314" i="6"/>
  <c r="D389" i="6"/>
  <c r="D213" i="6"/>
  <c r="C111" i="6"/>
  <c r="D309" i="6"/>
  <c r="D492" i="6"/>
  <c r="D237" i="6"/>
  <c r="D275" i="6"/>
  <c r="D178" i="6"/>
  <c r="D831" i="6"/>
  <c r="C562" i="6"/>
  <c r="C172" i="6"/>
  <c r="D430" i="6"/>
  <c r="D467" i="6"/>
  <c r="D890" i="6"/>
  <c r="C498" i="6"/>
  <c r="E1264" i="6"/>
  <c r="D380" i="6"/>
  <c r="C542" i="6"/>
  <c r="C25" i="6"/>
  <c r="D461" i="6"/>
  <c r="C74" i="6"/>
  <c r="D429" i="6"/>
  <c r="C192" i="6"/>
  <c r="D563" i="6"/>
  <c r="C263" i="6"/>
  <c r="D124" i="6"/>
  <c r="D592" i="6"/>
  <c r="D201" i="6"/>
  <c r="D418" i="6"/>
  <c r="D611" i="6"/>
  <c r="D548" i="6"/>
  <c r="C216" i="6"/>
  <c r="D73" i="6"/>
  <c r="C743" i="6"/>
  <c r="D478" i="6"/>
  <c r="C556" i="6"/>
  <c r="D446" i="6"/>
  <c r="C69" i="6"/>
  <c r="D770" i="6"/>
  <c r="D765" i="6"/>
  <c r="D1126" i="6"/>
  <c r="D101" i="6"/>
  <c r="E1325" i="6"/>
  <c r="C575" i="6"/>
  <c r="C377" i="6"/>
  <c r="D410" i="6"/>
  <c r="E1363" i="6"/>
  <c r="C329" i="6"/>
  <c r="C202" i="6"/>
  <c r="C90" i="6"/>
  <c r="I1300" i="6"/>
  <c r="F183" i="6"/>
  <c r="E1254" i="6"/>
  <c r="E1237" i="6"/>
  <c r="I1232" i="6"/>
  <c r="F726" i="6"/>
  <c r="D93" i="6"/>
  <c r="C393" i="6"/>
  <c r="C59" i="6"/>
  <c r="J1272" i="6"/>
  <c r="C63" i="6"/>
  <c r="D156" i="6"/>
  <c r="C70" i="6"/>
  <c r="D188" i="6"/>
  <c r="D180" i="6"/>
  <c r="D254" i="6"/>
  <c r="E1349" i="6"/>
  <c r="D107" i="6"/>
  <c r="C398" i="6"/>
  <c r="D194" i="6"/>
  <c r="D94" i="6"/>
  <c r="D712" i="6"/>
  <c r="E1236" i="6"/>
  <c r="D14" i="6"/>
  <c r="D39" i="6"/>
  <c r="D388" i="6"/>
  <c r="D42" i="6"/>
  <c r="I1275" i="6"/>
  <c r="D200" i="6"/>
  <c r="D549" i="6"/>
  <c r="I1342" i="6"/>
  <c r="C262" i="6"/>
  <c r="C83" i="6"/>
  <c r="F190" i="6"/>
  <c r="D214" i="6"/>
  <c r="J653" i="6"/>
  <c r="I1370" i="6"/>
  <c r="D86" i="6"/>
  <c r="F306" i="6"/>
  <c r="C106" i="6"/>
  <c r="F727" i="6"/>
  <c r="E1368" i="6"/>
  <c r="I1372" i="6"/>
  <c r="J874" i="6"/>
  <c r="I1272" i="6"/>
  <c r="D146" i="6"/>
  <c r="C103" i="6"/>
  <c r="F760" i="6"/>
  <c r="F702" i="6"/>
  <c r="F943" i="6"/>
  <c r="E1360" i="6"/>
  <c r="F379" i="6"/>
  <c r="E1232" i="6"/>
  <c r="J942" i="6"/>
  <c r="C226" i="6"/>
  <c r="D154" i="6"/>
  <c r="J481" i="6"/>
  <c r="F156" i="6"/>
  <c r="F15" i="6"/>
  <c r="C34" i="6"/>
  <c r="F617" i="6"/>
  <c r="F180" i="6"/>
  <c r="I1199" i="6"/>
  <c r="I1206" i="6"/>
  <c r="I1175" i="6"/>
  <c r="I1186" i="6"/>
  <c r="E1168" i="6"/>
  <c r="E1207" i="6"/>
  <c r="E1196" i="6"/>
  <c r="E1186" i="6"/>
  <c r="E1175" i="6"/>
  <c r="E1159" i="6"/>
  <c r="I11" i="6"/>
  <c r="I22" i="6"/>
  <c r="I32" i="6"/>
  <c r="I43" i="6"/>
  <c r="I54" i="6"/>
  <c r="I64" i="6"/>
  <c r="I75" i="6"/>
  <c r="I86" i="6"/>
  <c r="I96" i="6"/>
  <c r="I107" i="6"/>
  <c r="I118" i="6"/>
  <c r="I128" i="6"/>
  <c r="I139" i="6"/>
  <c r="I150" i="6"/>
  <c r="I160" i="6"/>
  <c r="I171" i="6"/>
  <c r="I182" i="6"/>
  <c r="I192" i="6"/>
  <c r="I203" i="6"/>
  <c r="I214" i="6"/>
  <c r="I224" i="6"/>
  <c r="I235" i="6"/>
  <c r="I246" i="6"/>
  <c r="I256" i="6"/>
  <c r="I267" i="6"/>
  <c r="I278" i="6"/>
  <c r="I288" i="6"/>
  <c r="I299" i="6"/>
  <c r="I310" i="6"/>
  <c r="I320" i="6"/>
  <c r="I331" i="6"/>
  <c r="I342" i="6"/>
  <c r="I352" i="6"/>
  <c r="I363" i="6"/>
  <c r="I374" i="6"/>
  <c r="I384" i="6"/>
  <c r="I395" i="6"/>
  <c r="I406" i="6"/>
  <c r="I416" i="6"/>
  <c r="I427" i="6"/>
  <c r="I438" i="6"/>
  <c r="I448" i="6"/>
  <c r="I459" i="6"/>
  <c r="I470" i="6"/>
  <c r="I480" i="6"/>
  <c r="I491" i="6"/>
  <c r="I502" i="6"/>
  <c r="I512" i="6"/>
  <c r="I523" i="6"/>
  <c r="I534" i="6"/>
  <c r="I545" i="6"/>
  <c r="I559" i="6"/>
  <c r="I571" i="6"/>
  <c r="I584" i="6"/>
  <c r="I596" i="6"/>
  <c r="I610" i="6"/>
  <c r="I620" i="6"/>
  <c r="I637" i="6"/>
  <c r="I652" i="6"/>
  <c r="I666" i="6"/>
  <c r="I682" i="6"/>
  <c r="I695" i="6"/>
  <c r="I709" i="6"/>
  <c r="I728" i="6"/>
  <c r="I750" i="6"/>
  <c r="I769" i="6"/>
  <c r="I790" i="6"/>
  <c r="I813" i="6"/>
  <c r="I1105" i="6"/>
  <c r="I1074" i="6"/>
  <c r="I565" i="6"/>
  <c r="I1131" i="6"/>
  <c r="I767" i="6"/>
  <c r="J508" i="6"/>
  <c r="J404" i="6"/>
  <c r="F1139" i="6"/>
  <c r="F1176" i="6"/>
  <c r="J944" i="6"/>
  <c r="C1315" i="6"/>
  <c r="F308" i="6"/>
  <c r="J1331" i="6"/>
  <c r="J58" i="6"/>
  <c r="J213" i="6"/>
  <c r="F574" i="6"/>
  <c r="F302" i="6"/>
  <c r="D1255" i="6"/>
  <c r="F768" i="6"/>
  <c r="F600" i="6"/>
  <c r="F1183" i="6"/>
  <c r="J741" i="6"/>
  <c r="C1291" i="6"/>
  <c r="F1237" i="6"/>
  <c r="J1052" i="6"/>
  <c r="F1304" i="6"/>
  <c r="J805" i="6"/>
  <c r="J960" i="6"/>
  <c r="J75" i="6"/>
  <c r="F9" i="6"/>
  <c r="J941" i="6"/>
  <c r="F882" i="6"/>
  <c r="J339" i="6"/>
  <c r="J328" i="6"/>
  <c r="F1089" i="6"/>
  <c r="J865" i="6"/>
  <c r="J292" i="6"/>
  <c r="C1290" i="6"/>
  <c r="J1108" i="6"/>
  <c r="D764" i="6"/>
  <c r="F910" i="6"/>
  <c r="J1216" i="6"/>
  <c r="C829" i="6"/>
  <c r="C1173" i="6"/>
  <c r="J345" i="6"/>
  <c r="J340" i="6"/>
  <c r="C692" i="6"/>
  <c r="J1372" i="6"/>
  <c r="D1104" i="6"/>
  <c r="J933" i="6"/>
  <c r="D976" i="6"/>
  <c r="F58" i="6"/>
  <c r="J867" i="6"/>
  <c r="D788" i="6"/>
  <c r="F376" i="6"/>
  <c r="F572" i="6"/>
  <c r="D1336" i="6"/>
  <c r="J583" i="6"/>
  <c r="J135" i="6"/>
  <c r="D1176" i="6"/>
  <c r="I1238" i="6"/>
  <c r="J42" i="6"/>
  <c r="E1372" i="6"/>
  <c r="D881" i="6"/>
  <c r="D236" i="6"/>
  <c r="D739" i="6"/>
  <c r="J165" i="6"/>
  <c r="I1240" i="6"/>
  <c r="D1076" i="6"/>
  <c r="F595" i="6"/>
  <c r="J1237" i="6"/>
  <c r="C355" i="6"/>
  <c r="D972" i="6"/>
  <c r="J484" i="6"/>
  <c r="C375" i="6"/>
  <c r="C971" i="6"/>
  <c r="C750" i="6"/>
  <c r="C1048" i="6"/>
  <c r="F521" i="6"/>
  <c r="D748" i="6"/>
  <c r="C332" i="6"/>
  <c r="C1123" i="6"/>
  <c r="D694" i="6"/>
  <c r="C507" i="6"/>
  <c r="D602" i="6"/>
  <c r="D1194" i="6"/>
  <c r="C1300" i="6"/>
  <c r="C891" i="6"/>
  <c r="C430" i="6"/>
  <c r="D729" i="6"/>
  <c r="C1008" i="6"/>
  <c r="C695" i="6"/>
  <c r="C316" i="6"/>
  <c r="D914" i="6"/>
  <c r="F1250" i="6"/>
  <c r="D343" i="6"/>
  <c r="D746" i="6"/>
  <c r="C1246" i="6"/>
  <c r="D1157" i="6"/>
  <c r="C727" i="6"/>
  <c r="C390" i="6"/>
  <c r="C1263" i="6"/>
  <c r="D413" i="6"/>
  <c r="C993" i="6"/>
  <c r="C856" i="6"/>
  <c r="C1223" i="6"/>
  <c r="C938" i="6"/>
  <c r="C919" i="6"/>
  <c r="D862" i="6"/>
  <c r="C1371" i="6"/>
  <c r="C1200" i="6"/>
  <c r="D554" i="6"/>
  <c r="C679" i="6"/>
  <c r="D1294" i="6"/>
  <c r="C665" i="6"/>
  <c r="C426" i="6"/>
  <c r="D487" i="6"/>
  <c r="D1152" i="6"/>
  <c r="C1052" i="6"/>
  <c r="D755" i="6"/>
  <c r="D1052" i="6"/>
  <c r="F517" i="6"/>
  <c r="C677" i="6"/>
  <c r="C858" i="6"/>
  <c r="F391" i="6"/>
  <c r="D1154" i="6"/>
  <c r="C1026" i="6"/>
  <c r="C138" i="6"/>
  <c r="C474" i="6"/>
  <c r="J987" i="6"/>
  <c r="D990" i="6"/>
  <c r="C309" i="6"/>
  <c r="C353" i="6"/>
  <c r="C581" i="6"/>
  <c r="C308" i="6"/>
  <c r="D806" i="6"/>
  <c r="D29" i="6"/>
  <c r="E1289" i="6"/>
  <c r="D826" i="6"/>
  <c r="C708" i="6"/>
  <c r="D49" i="6"/>
  <c r="C121" i="6"/>
  <c r="E1328" i="6"/>
  <c r="D513" i="6"/>
  <c r="D362" i="6"/>
  <c r="D1058" i="6"/>
  <c r="C129" i="6"/>
  <c r="D996" i="6"/>
  <c r="D473" i="6"/>
  <c r="D556" i="6"/>
  <c r="D476" i="6"/>
  <c r="C333" i="6"/>
  <c r="D932" i="6"/>
  <c r="C564" i="6"/>
  <c r="C310" i="6"/>
  <c r="C134" i="6"/>
  <c r="D708" i="6"/>
  <c r="C23" i="6"/>
  <c r="D255" i="6"/>
  <c r="C81" i="6"/>
  <c r="D277" i="6"/>
  <c r="D444" i="6"/>
  <c r="C408" i="6"/>
  <c r="D441" i="6"/>
  <c r="C219" i="6"/>
  <c r="D555" i="6"/>
  <c r="F343" i="6"/>
  <c r="E1354" i="6"/>
  <c r="C1192" i="6"/>
  <c r="D360" i="6"/>
  <c r="D375" i="6"/>
  <c r="D209" i="6"/>
  <c r="C669" i="6"/>
  <c r="C44" i="6"/>
  <c r="C217" i="6"/>
  <c r="D666" i="6"/>
  <c r="D363" i="6"/>
  <c r="C135" i="6"/>
  <c r="C691" i="6"/>
  <c r="D878" i="6"/>
  <c r="D573" i="6"/>
  <c r="D716" i="6"/>
  <c r="C133" i="6"/>
  <c r="C93" i="6"/>
  <c r="C629" i="6"/>
  <c r="C622" i="6"/>
  <c r="D219" i="6"/>
  <c r="C198" i="6"/>
  <c r="C613" i="6"/>
  <c r="C1051" i="6"/>
  <c r="D451" i="6"/>
  <c r="D340" i="6"/>
  <c r="E1275" i="6"/>
  <c r="D675" i="6"/>
  <c r="D1234" i="6"/>
  <c r="D53" i="6"/>
  <c r="C545" i="6"/>
  <c r="C456" i="6"/>
  <c r="I1248" i="6"/>
  <c r="D199" i="6"/>
  <c r="D30" i="6"/>
  <c r="E1239" i="6"/>
  <c r="I1347" i="6"/>
  <c r="F1218" i="6"/>
  <c r="I1356" i="6"/>
  <c r="E1304" i="6"/>
  <c r="D427" i="6"/>
  <c r="D958" i="6"/>
  <c r="I1270" i="6"/>
  <c r="C27" i="6"/>
  <c r="E1327" i="6"/>
  <c r="E1263" i="6"/>
  <c r="F1265" i="6"/>
  <c r="C526" i="6"/>
  <c r="E1335" i="6"/>
  <c r="D160" i="6"/>
  <c r="D28" i="6"/>
  <c r="D510" i="6"/>
  <c r="D640" i="6"/>
  <c r="D114" i="6"/>
  <c r="I1369" i="6"/>
  <c r="E1299" i="6"/>
  <c r="C130" i="6"/>
  <c r="E1298" i="6"/>
  <c r="E1272" i="6"/>
  <c r="F219" i="6"/>
  <c r="C160" i="6"/>
  <c r="D10" i="6"/>
  <c r="C469" i="6"/>
  <c r="D448" i="6"/>
  <c r="C164" i="6"/>
  <c r="E1230" i="6"/>
  <c r="E1286" i="6"/>
  <c r="F1014" i="6"/>
  <c r="F967" i="6"/>
  <c r="F77" i="6"/>
  <c r="F265" i="6"/>
  <c r="J1013" i="6"/>
  <c r="F255" i="6"/>
  <c r="F1205" i="6"/>
  <c r="J681" i="6"/>
  <c r="C42" i="6"/>
  <c r="J301" i="6"/>
  <c r="E1317" i="6"/>
  <c r="J1093" i="6"/>
  <c r="I1317" i="6"/>
  <c r="D127" i="6"/>
  <c r="F710" i="6"/>
  <c r="D18" i="6"/>
  <c r="J1153" i="6"/>
  <c r="C38" i="6"/>
  <c r="F329" i="6"/>
  <c r="C290" i="6"/>
  <c r="J857" i="6"/>
  <c r="F1311" i="6"/>
  <c r="I1305" i="6"/>
  <c r="F1353" i="6"/>
  <c r="F86" i="6"/>
  <c r="F380" i="6"/>
  <c r="F149" i="6"/>
  <c r="F566" i="6"/>
  <c r="I1177" i="6"/>
  <c r="I1202" i="6"/>
  <c r="I1208" i="6"/>
  <c r="I1171" i="6"/>
  <c r="I1198" i="6"/>
  <c r="E1167" i="6"/>
  <c r="E1205" i="6"/>
  <c r="E1195" i="6"/>
  <c r="E1185" i="6"/>
  <c r="E1173" i="6"/>
  <c r="J1048" i="6"/>
  <c r="J750" i="6"/>
  <c r="F505" i="6"/>
  <c r="J191" i="6"/>
  <c r="F1034" i="6"/>
  <c r="F927" i="6"/>
  <c r="D670" i="6"/>
  <c r="J462" i="6"/>
  <c r="F134" i="6"/>
  <c r="J335" i="6"/>
  <c r="J1229" i="6"/>
  <c r="J253" i="6"/>
  <c r="C1191" i="6"/>
  <c r="C1207" i="6"/>
  <c r="F815" i="6"/>
  <c r="F550" i="6"/>
  <c r="F364" i="6"/>
  <c r="J177" i="6"/>
  <c r="I1264" i="6"/>
  <c r="F663" i="6"/>
  <c r="C716" i="6"/>
  <c r="F1154" i="6"/>
  <c r="J498" i="6"/>
  <c r="F1073" i="6"/>
  <c r="J592" i="6"/>
  <c r="F874" i="6"/>
  <c r="J187" i="6"/>
  <c r="D997" i="6"/>
  <c r="C675" i="6"/>
  <c r="J826" i="6"/>
  <c r="C1320" i="6"/>
  <c r="J970" i="6"/>
  <c r="C646" i="6"/>
  <c r="F865" i="6"/>
  <c r="J804" i="6"/>
  <c r="F773" i="6"/>
  <c r="C1182" i="6"/>
  <c r="F235" i="6"/>
  <c r="F352" i="6"/>
  <c r="F287" i="6"/>
  <c r="C1279" i="6"/>
  <c r="J365" i="6"/>
  <c r="J235" i="6"/>
  <c r="D1141" i="6"/>
  <c r="D624" i="6"/>
  <c r="D282" i="6"/>
  <c r="C448" i="6"/>
  <c r="D1132" i="6"/>
  <c r="D1121" i="6"/>
  <c r="D1170" i="6"/>
  <c r="D704" i="6"/>
  <c r="D615" i="6"/>
  <c r="D1341" i="6"/>
  <c r="C249" i="6"/>
  <c r="D1354" i="6"/>
  <c r="C925" i="6"/>
  <c r="C1133" i="6"/>
  <c r="D977" i="6"/>
  <c r="D741" i="6"/>
  <c r="D772" i="6"/>
  <c r="D1304" i="6"/>
  <c r="C291" i="6"/>
  <c r="D1202" i="6"/>
  <c r="D403" i="6"/>
  <c r="C796" i="6"/>
  <c r="C668" i="6"/>
  <c r="D863" i="6"/>
  <c r="C641" i="6"/>
  <c r="C1014" i="6"/>
  <c r="D984" i="6"/>
  <c r="C1292" i="6"/>
  <c r="C866" i="6"/>
  <c r="C1163" i="6"/>
  <c r="D917" i="6"/>
  <c r="D632" i="6"/>
  <c r="C972" i="6"/>
  <c r="C568" i="6"/>
  <c r="D384" i="6"/>
  <c r="D987" i="6"/>
  <c r="D534" i="6"/>
  <c r="E1216" i="6"/>
  <c r="D295" i="6"/>
  <c r="C201" i="6"/>
  <c r="D859" i="6"/>
  <c r="E1235" i="6"/>
  <c r="D328" i="6"/>
  <c r="C831" i="6"/>
  <c r="C378" i="6"/>
  <c r="D664" i="6"/>
  <c r="D367" i="6"/>
  <c r="C374" i="6"/>
  <c r="D80" i="6"/>
  <c r="D758" i="6"/>
  <c r="D1198" i="6"/>
  <c r="E1323" i="6"/>
  <c r="D20" i="6"/>
  <c r="D232" i="6"/>
  <c r="D64" i="6"/>
  <c r="C173" i="6"/>
  <c r="C11" i="6"/>
  <c r="C124" i="6"/>
  <c r="D740" i="6"/>
  <c r="D798" i="6"/>
  <c r="C553" i="6"/>
  <c r="D1150" i="6"/>
  <c r="C863" i="6"/>
  <c r="D58" i="6"/>
  <c r="C233" i="6"/>
  <c r="C951" i="6"/>
  <c r="D333" i="6"/>
  <c r="E1357" i="6"/>
  <c r="C887" i="6"/>
  <c r="C265" i="6"/>
  <c r="E1318" i="6"/>
  <c r="D55" i="6"/>
  <c r="C472" i="6"/>
  <c r="C77" i="6"/>
  <c r="D116" i="6"/>
  <c r="D398" i="6"/>
  <c r="D356" i="6"/>
  <c r="D164" i="6"/>
  <c r="D106" i="6"/>
  <c r="E1265" i="6"/>
  <c r="D159" i="6"/>
  <c r="D138" i="6"/>
  <c r="C19" i="6"/>
  <c r="C530" i="6"/>
  <c r="D155" i="6"/>
  <c r="E1345" i="6"/>
  <c r="C196" i="6"/>
  <c r="D259" i="6"/>
  <c r="J1357" i="6"/>
  <c r="E1282" i="6"/>
  <c r="D516" i="6"/>
  <c r="C127" i="6"/>
  <c r="D452" i="6"/>
  <c r="D38" i="6"/>
  <c r="C533" i="6"/>
  <c r="C389" i="6"/>
  <c r="C250" i="6"/>
  <c r="D171" i="6"/>
  <c r="D262" i="6"/>
  <c r="E1301" i="6"/>
  <c r="F709" i="6"/>
  <c r="I1291" i="6"/>
  <c r="F414" i="6"/>
  <c r="F1010" i="6"/>
  <c r="J1352" i="6"/>
  <c r="F412" i="6"/>
  <c r="D210" i="6"/>
  <c r="J694" i="6"/>
  <c r="F782" i="6"/>
  <c r="J1162" i="6"/>
  <c r="F607" i="6"/>
  <c r="F311" i="6"/>
  <c r="F778" i="6"/>
  <c r="F1120" i="6"/>
  <c r="F1249" i="6"/>
  <c r="F1220" i="6"/>
  <c r="F1045" i="6"/>
  <c r="I1181" i="6"/>
  <c r="J426" i="6"/>
  <c r="J442" i="6"/>
  <c r="F363" i="6"/>
  <c r="F938" i="6"/>
  <c r="F846" i="6"/>
  <c r="F1201" i="6"/>
  <c r="F288" i="6"/>
  <c r="F766" i="6"/>
  <c r="J449" i="6"/>
  <c r="F1243" i="6"/>
  <c r="J884" i="6"/>
  <c r="J1120" i="6"/>
  <c r="F934" i="6"/>
  <c r="F1224" i="6"/>
  <c r="J948" i="6"/>
  <c r="F1082" i="6"/>
  <c r="F593" i="6"/>
  <c r="F496" i="6"/>
  <c r="D860" i="6"/>
  <c r="J1279" i="6"/>
  <c r="J503" i="6"/>
  <c r="J416" i="6"/>
  <c r="D908" i="6"/>
  <c r="J267" i="6"/>
  <c r="F278" i="6"/>
  <c r="F290" i="6"/>
  <c r="J650" i="6"/>
  <c r="F677" i="6"/>
  <c r="C1158" i="6"/>
  <c r="J963" i="6"/>
  <c r="C1326" i="6"/>
  <c r="I1353" i="6"/>
  <c r="D901" i="6"/>
  <c r="J509" i="6"/>
  <c r="C664" i="6"/>
  <c r="C857" i="6"/>
  <c r="C535" i="6"/>
  <c r="C975" i="6"/>
  <c r="C1038" i="6"/>
  <c r="D745" i="6"/>
  <c r="F365" i="6"/>
  <c r="F1138" i="6"/>
  <c r="C764" i="6"/>
  <c r="C1043" i="6"/>
  <c r="C1090" i="6"/>
  <c r="D642" i="6"/>
  <c r="C959" i="6"/>
  <c r="D1093" i="6"/>
  <c r="D562" i="6"/>
  <c r="D963" i="6"/>
  <c r="D933" i="6"/>
  <c r="C1032" i="6"/>
  <c r="D961" i="6"/>
  <c r="C1178" i="6"/>
  <c r="C912" i="6"/>
  <c r="D1049" i="6"/>
  <c r="D812" i="6"/>
  <c r="D1078" i="6"/>
  <c r="C1153" i="6"/>
  <c r="D761" i="6"/>
  <c r="D1171" i="6"/>
  <c r="D629" i="6"/>
  <c r="D298" i="6"/>
  <c r="D880" i="6"/>
  <c r="C584" i="6"/>
  <c r="C746" i="6"/>
  <c r="D409" i="6"/>
  <c r="D871" i="6"/>
  <c r="C802" i="6"/>
  <c r="D915" i="6"/>
  <c r="D1061" i="6"/>
  <c r="D800" i="6"/>
  <c r="C551" i="6"/>
  <c r="C1299" i="6"/>
  <c r="D1069" i="6"/>
  <c r="C1087" i="6"/>
  <c r="D280" i="6"/>
  <c r="C328" i="6"/>
  <c r="C318" i="6"/>
  <c r="D177" i="6"/>
  <c r="C26" i="6"/>
  <c r="C440" i="6"/>
  <c r="C525" i="6"/>
  <c r="D313" i="6"/>
  <c r="C13" i="6"/>
  <c r="C461" i="6"/>
  <c r="D495" i="6"/>
  <c r="D620" i="6"/>
  <c r="D314" i="6"/>
  <c r="D842" i="6"/>
  <c r="D128" i="6"/>
  <c r="C53" i="6"/>
  <c r="C601" i="6"/>
  <c r="D552" i="6"/>
  <c r="D68" i="6"/>
  <c r="I1336" i="6"/>
  <c r="E1337" i="6"/>
  <c r="D85" i="6"/>
  <c r="D133" i="6"/>
  <c r="D525" i="6"/>
  <c r="D493" i="6"/>
  <c r="D931" i="6"/>
  <c r="C275" i="6"/>
  <c r="D344" i="6"/>
  <c r="C458" i="6"/>
  <c r="D95" i="6"/>
  <c r="C304" i="6"/>
  <c r="D145" i="6"/>
  <c r="C811" i="6"/>
  <c r="D208" i="6"/>
  <c r="D301" i="6"/>
  <c r="C229" i="6"/>
  <c r="D1190" i="6"/>
  <c r="C466" i="6"/>
  <c r="D993" i="6"/>
  <c r="D376" i="6"/>
  <c r="E1316" i="6"/>
  <c r="F1373" i="6"/>
  <c r="D697" i="6"/>
  <c r="E1359" i="6"/>
  <c r="D182" i="6"/>
  <c r="C16" i="6"/>
  <c r="C94" i="6"/>
  <c r="C152" i="6"/>
  <c r="C67" i="6"/>
  <c r="D16" i="6"/>
  <c r="D264" i="6"/>
  <c r="D151" i="6"/>
  <c r="I1237" i="6"/>
  <c r="E1361" i="6"/>
  <c r="C37" i="6"/>
  <c r="E1336" i="6"/>
  <c r="D78" i="6"/>
  <c r="F569" i="6"/>
  <c r="F1266" i="6"/>
  <c r="C334" i="6"/>
  <c r="C55" i="6"/>
  <c r="D25" i="6"/>
  <c r="E1262" i="6"/>
  <c r="D195" i="6"/>
  <c r="I1357" i="6"/>
  <c r="D104" i="6"/>
  <c r="F570" i="6"/>
  <c r="F1156" i="6"/>
  <c r="F1021" i="6"/>
  <c r="J1012" i="6"/>
  <c r="F920" i="6"/>
  <c r="J1167" i="6"/>
  <c r="F413" i="6"/>
  <c r="J430" i="6"/>
  <c r="F322" i="6"/>
  <c r="F1330" i="6"/>
  <c r="I1301" i="6"/>
  <c r="F535" i="6"/>
  <c r="F260" i="6"/>
  <c r="J794" i="6"/>
  <c r="F1332" i="6"/>
  <c r="D90" i="6"/>
  <c r="F330" i="6"/>
  <c r="F166" i="6"/>
  <c r="I1183" i="6"/>
  <c r="I1212" i="6"/>
  <c r="I1172" i="6"/>
  <c r="E1165" i="6"/>
  <c r="E1201" i="6"/>
  <c r="E1181" i="6"/>
  <c r="I1158" i="6"/>
  <c r="I15" i="6"/>
  <c r="I27" i="6"/>
  <c r="I39" i="6"/>
  <c r="I51" i="6"/>
  <c r="I63" i="6"/>
  <c r="I77" i="6"/>
  <c r="I88" i="6"/>
  <c r="I101" i="6"/>
  <c r="I112" i="6"/>
  <c r="I125" i="6"/>
  <c r="I136" i="6"/>
  <c r="I149" i="6"/>
  <c r="I161" i="6"/>
  <c r="I174" i="6"/>
  <c r="I185" i="6"/>
  <c r="I198" i="6"/>
  <c r="I209" i="6"/>
  <c r="I222" i="6"/>
  <c r="I233" i="6"/>
  <c r="I247" i="6"/>
  <c r="I259" i="6"/>
  <c r="I271" i="6"/>
  <c r="I283" i="6"/>
  <c r="I295" i="6"/>
  <c r="I307" i="6"/>
  <c r="I319" i="6"/>
  <c r="I333" i="6"/>
  <c r="I344" i="6"/>
  <c r="I357" i="6"/>
  <c r="I368" i="6"/>
  <c r="I381" i="6"/>
  <c r="I392" i="6"/>
  <c r="I405" i="6"/>
  <c r="I417" i="6"/>
  <c r="I430" i="6"/>
  <c r="I441" i="6"/>
  <c r="I454" i="6"/>
  <c r="I465" i="6"/>
  <c r="I478" i="6"/>
  <c r="I489" i="6"/>
  <c r="I503" i="6"/>
  <c r="I515" i="6"/>
  <c r="I527" i="6"/>
  <c r="I539" i="6"/>
  <c r="I555" i="6"/>
  <c r="I568" i="6"/>
  <c r="I583" i="6"/>
  <c r="I599" i="6"/>
  <c r="F297" i="6"/>
  <c r="J390" i="6"/>
  <c r="F1101" i="6"/>
  <c r="F997" i="6"/>
  <c r="J808" i="6"/>
  <c r="F1241" i="6"/>
  <c r="J32" i="6"/>
  <c r="J693" i="6"/>
  <c r="C1339" i="6"/>
  <c r="J1336" i="6"/>
  <c r="J1104" i="6"/>
  <c r="C1176" i="6"/>
  <c r="J1127" i="6"/>
  <c r="F701" i="6"/>
  <c r="J1197" i="6"/>
  <c r="F998" i="6"/>
  <c r="J724" i="6"/>
  <c r="J1091" i="6"/>
  <c r="J882" i="6"/>
  <c r="D846" i="6"/>
  <c r="F522" i="6"/>
  <c r="F615" i="6"/>
  <c r="F705" i="6"/>
  <c r="F107" i="6"/>
  <c r="F1260" i="6"/>
  <c r="J1349" i="6"/>
  <c r="F194" i="6"/>
  <c r="F1370" i="6"/>
  <c r="C810" i="6"/>
  <c r="J561" i="6"/>
  <c r="C730" i="6"/>
  <c r="J772" i="6"/>
  <c r="J9" i="6"/>
  <c r="J807" i="6"/>
  <c r="J851" i="6"/>
  <c r="D796" i="6"/>
  <c r="C1104" i="6"/>
  <c r="J23" i="6"/>
  <c r="F669" i="6"/>
  <c r="C1357" i="6"/>
  <c r="D752" i="6"/>
  <c r="J376" i="6"/>
  <c r="D781" i="6"/>
  <c r="D605" i="6"/>
  <c r="J629" i="6"/>
  <c r="C931" i="6"/>
  <c r="J306" i="6"/>
  <c r="C387" i="6"/>
  <c r="C1216" i="6"/>
  <c r="C578" i="6"/>
  <c r="C996" i="6"/>
  <c r="D1064" i="6"/>
  <c r="C984" i="6"/>
  <c r="C1148" i="6"/>
  <c r="C1227" i="6"/>
  <c r="C1076" i="6"/>
  <c r="D1270" i="6"/>
  <c r="C574" i="6"/>
  <c r="D1135" i="6"/>
  <c r="D905" i="6"/>
  <c r="D1120" i="6"/>
  <c r="D780" i="6"/>
  <c r="C279" i="6"/>
  <c r="C317" i="6"/>
  <c r="D527" i="6"/>
  <c r="C905" i="6"/>
  <c r="C1347" i="6"/>
  <c r="C339" i="6"/>
  <c r="D1269" i="6"/>
  <c r="C326" i="6"/>
  <c r="J887" i="6"/>
  <c r="D839" i="6"/>
  <c r="D778" i="6"/>
  <c r="C657" i="6"/>
  <c r="D927" i="6"/>
  <c r="C524" i="6"/>
  <c r="C612" i="6"/>
  <c r="D288" i="6"/>
  <c r="D390" i="6"/>
  <c r="D261" i="6"/>
  <c r="D1098" i="6"/>
  <c r="D470" i="6"/>
  <c r="D253" i="6"/>
  <c r="D551" i="6"/>
  <c r="D742" i="6"/>
  <c r="E1333" i="6"/>
  <c r="C644" i="6"/>
  <c r="D132" i="6"/>
  <c r="C397" i="6"/>
  <c r="D189" i="6"/>
  <c r="D579" i="6"/>
  <c r="C462" i="6"/>
  <c r="C324" i="6"/>
  <c r="E1242" i="6"/>
  <c r="C344" i="6"/>
  <c r="C1055" i="6"/>
  <c r="D866" i="6"/>
  <c r="D421" i="6"/>
  <c r="C381" i="6"/>
  <c r="D424" i="6"/>
  <c r="E1276" i="6"/>
  <c r="D560" i="6"/>
  <c r="D331" i="6"/>
  <c r="D596" i="6"/>
  <c r="I1222" i="6"/>
  <c r="D957" i="6"/>
  <c r="D338" i="6"/>
  <c r="C199" i="6"/>
  <c r="D463" i="6"/>
  <c r="C299" i="6"/>
  <c r="C594" i="6"/>
  <c r="C284" i="6"/>
  <c r="C227" i="6"/>
  <c r="D17" i="6"/>
  <c r="C1164" i="6"/>
  <c r="D750" i="6"/>
  <c r="D400" i="6"/>
  <c r="E1320" i="6"/>
  <c r="C987" i="6"/>
  <c r="C428" i="6"/>
  <c r="C56" i="6"/>
  <c r="C10" i="6"/>
  <c r="D203" i="6"/>
  <c r="E1246" i="6"/>
  <c r="E1260" i="6"/>
  <c r="I1278" i="6"/>
  <c r="D281" i="6"/>
  <c r="C47" i="6"/>
  <c r="C189" i="6"/>
  <c r="C154" i="6"/>
  <c r="D830" i="6"/>
  <c r="D92" i="6"/>
  <c r="I1255" i="6"/>
  <c r="D366" i="6"/>
  <c r="D32" i="6"/>
  <c r="D576" i="6"/>
  <c r="D98" i="6"/>
  <c r="C406" i="6"/>
  <c r="I1359" i="6"/>
  <c r="C6" i="6"/>
  <c r="C586" i="6"/>
  <c r="I1262" i="6"/>
  <c r="J1141" i="6"/>
  <c r="I1236" i="6"/>
  <c r="F264" i="6"/>
  <c r="F463" i="6"/>
  <c r="E1295" i="6"/>
  <c r="F684" i="6"/>
  <c r="F244" i="6"/>
  <c r="I1279" i="6"/>
  <c r="F1017" i="6"/>
  <c r="F1291" i="6"/>
  <c r="J715" i="6"/>
  <c r="E1270" i="6"/>
  <c r="I1302" i="6"/>
  <c r="D218" i="6"/>
  <c r="D123" i="6"/>
  <c r="F415" i="6"/>
  <c r="F1056" i="6"/>
  <c r="F902" i="6"/>
  <c r="I1182" i="6"/>
  <c r="I1203" i="6"/>
  <c r="I1211" i="6"/>
  <c r="E1213" i="6"/>
  <c r="E1199" i="6"/>
  <c r="E1180" i="6"/>
  <c r="I1162" i="6"/>
  <c r="I1080" i="6"/>
  <c r="I16" i="6"/>
  <c r="I29" i="6"/>
  <c r="I40" i="6"/>
  <c r="I53" i="6"/>
  <c r="J1006" i="6"/>
  <c r="F217" i="6"/>
  <c r="F296" i="6"/>
  <c r="F1099" i="6"/>
  <c r="F425" i="6"/>
  <c r="F906" i="6"/>
  <c r="J528" i="6"/>
  <c r="F968" i="6"/>
  <c r="J1049" i="6"/>
  <c r="F1364" i="6"/>
  <c r="J1291" i="6"/>
  <c r="J881" i="6"/>
  <c r="J1146" i="6"/>
  <c r="F742" i="6"/>
  <c r="F236" i="6"/>
  <c r="J93" i="6"/>
  <c r="F863" i="6"/>
  <c r="J556" i="6"/>
  <c r="J834" i="6"/>
  <c r="F697" i="6"/>
  <c r="J898" i="6"/>
  <c r="J1163" i="6"/>
  <c r="J669" i="6"/>
  <c r="J722" i="6"/>
  <c r="F581" i="6"/>
  <c r="C997" i="6"/>
  <c r="D627" i="6"/>
  <c r="J786" i="6"/>
  <c r="D1363" i="6"/>
  <c r="F491" i="6"/>
  <c r="J713" i="6"/>
  <c r="J1152" i="6"/>
  <c r="J502" i="6"/>
  <c r="C281" i="6"/>
  <c r="C1086" i="6"/>
  <c r="C848" i="6"/>
  <c r="I1219" i="6"/>
  <c r="C1332" i="6"/>
  <c r="D837" i="6"/>
  <c r="J811" i="6"/>
  <c r="D613" i="6"/>
  <c r="C950" i="6"/>
  <c r="C543" i="6"/>
  <c r="C973" i="6"/>
  <c r="C1057" i="6"/>
  <c r="C468" i="6"/>
  <c r="D598" i="6"/>
  <c r="C803" i="6"/>
  <c r="C1255" i="6"/>
  <c r="C1011" i="6"/>
  <c r="D1033" i="6"/>
  <c r="J791" i="6"/>
  <c r="D1042" i="6"/>
  <c r="D1071" i="6"/>
  <c r="D1278" i="6"/>
  <c r="D1007" i="6"/>
  <c r="C816" i="6"/>
  <c r="C681" i="6"/>
  <c r="C1081" i="6"/>
  <c r="D1206" i="6"/>
  <c r="C650" i="6"/>
  <c r="D845" i="6"/>
  <c r="D346" i="6"/>
  <c r="D967" i="6"/>
  <c r="D1034" i="6"/>
  <c r="D1239" i="6"/>
  <c r="C608" i="6"/>
  <c r="E1340" i="6"/>
  <c r="C934" i="6"/>
  <c r="D858" i="6"/>
  <c r="F466" i="6"/>
  <c r="C1168" i="6"/>
  <c r="C527" i="6"/>
  <c r="C407" i="6"/>
  <c r="D1361" i="6"/>
  <c r="D1051" i="6"/>
  <c r="C300" i="6"/>
  <c r="D91" i="6"/>
  <c r="D284" i="6"/>
  <c r="C141" i="6"/>
  <c r="C52" i="6"/>
  <c r="C621" i="6"/>
  <c r="C87" i="6"/>
  <c r="D99" i="6"/>
  <c r="D447" i="6"/>
  <c r="D306" i="6"/>
  <c r="C569" i="6"/>
  <c r="D680" i="6"/>
  <c r="C590" i="6"/>
  <c r="C624" i="6"/>
  <c r="C276" i="6"/>
  <c r="D77" i="6"/>
  <c r="C101" i="6"/>
  <c r="C626" i="6"/>
  <c r="D485" i="6"/>
  <c r="D432" i="6"/>
  <c r="C255" i="6"/>
  <c r="E1252" i="6"/>
  <c r="C638" i="6"/>
  <c r="D802" i="6"/>
  <c r="D374" i="6"/>
  <c r="C939" i="6"/>
  <c r="D300" i="6"/>
  <c r="D656" i="6"/>
  <c r="D867" i="6"/>
  <c r="C1128" i="6"/>
  <c r="C489" i="6"/>
  <c r="C147" i="6"/>
  <c r="C799" i="6"/>
  <c r="D271" i="6"/>
  <c r="D202" i="6"/>
  <c r="C731" i="6"/>
  <c r="D484" i="6"/>
  <c r="D415" i="6"/>
  <c r="D483" i="6"/>
  <c r="C565" i="6"/>
  <c r="D588" i="6"/>
  <c r="E1350" i="6"/>
  <c r="C388" i="6"/>
  <c r="D37" i="6"/>
  <c r="D15" i="6"/>
  <c r="E1296" i="6"/>
  <c r="C14" i="6"/>
  <c r="D147" i="6"/>
  <c r="C92" i="6"/>
  <c r="D62" i="6"/>
  <c r="D353" i="6"/>
  <c r="E1331" i="6"/>
  <c r="D79" i="6"/>
  <c r="D299" i="6"/>
  <c r="D494" i="6"/>
  <c r="D24" i="6"/>
  <c r="C246" i="6"/>
  <c r="C517" i="6"/>
  <c r="C200" i="6"/>
  <c r="D12" i="6"/>
  <c r="F1350" i="6"/>
  <c r="D648" i="6"/>
  <c r="E1319" i="6"/>
  <c r="E1284" i="6"/>
  <c r="C105" i="6"/>
  <c r="C76" i="6"/>
  <c r="I1286" i="6"/>
  <c r="B5" i="6"/>
  <c r="F880" i="6"/>
  <c r="F91" i="6"/>
  <c r="I1335" i="6"/>
  <c r="I1313" i="6"/>
  <c r="F100" i="6"/>
  <c r="J1003" i="6"/>
  <c r="F1018" i="6"/>
  <c r="F1262" i="6"/>
  <c r="J517" i="6"/>
  <c r="I1224" i="6"/>
  <c r="F861" i="6"/>
  <c r="I1241" i="6"/>
  <c r="C162" i="6"/>
  <c r="D59" i="6"/>
  <c r="F973" i="6"/>
  <c r="F840" i="6"/>
  <c r="I1188" i="6"/>
  <c r="I1194" i="6"/>
  <c r="I1176" i="6"/>
  <c r="E1212" i="6"/>
  <c r="E1194" i="6"/>
  <c r="E1178" i="6"/>
  <c r="I1163" i="6"/>
  <c r="I6" i="6"/>
  <c r="I17" i="6"/>
  <c r="I30" i="6"/>
  <c r="F1009" i="6"/>
  <c r="J1032" i="6"/>
  <c r="F200" i="6"/>
  <c r="J1173" i="6"/>
  <c r="F368" i="6"/>
  <c r="J680" i="6"/>
  <c r="F1057" i="6"/>
  <c r="C1186" i="6"/>
  <c r="C837" i="6"/>
  <c r="F1187" i="6"/>
  <c r="D1280" i="6"/>
  <c r="F320" i="6"/>
  <c r="F500" i="6"/>
  <c r="C1289" i="6"/>
  <c r="J965" i="6"/>
  <c r="F393" i="6"/>
  <c r="F256" i="6"/>
  <c r="D1046" i="6"/>
  <c r="J243" i="6"/>
  <c r="C1249" i="6"/>
  <c r="F672" i="6"/>
  <c r="F304" i="6"/>
  <c r="J338" i="6"/>
  <c r="C1230" i="6"/>
  <c r="F1050" i="6"/>
  <c r="D1218" i="6"/>
  <c r="D873" i="6"/>
  <c r="D1334" i="6"/>
  <c r="D626" i="6"/>
  <c r="D614" i="6"/>
  <c r="C845" i="6"/>
  <c r="C854" i="6"/>
  <c r="D935" i="6"/>
  <c r="C693" i="6"/>
  <c r="D876" i="6"/>
  <c r="D779" i="6"/>
  <c r="D1100" i="6"/>
  <c r="D1315" i="6"/>
  <c r="D608" i="6"/>
  <c r="D1024" i="6"/>
  <c r="D783" i="6"/>
  <c r="C222" i="6"/>
  <c r="D19" i="6"/>
  <c r="C298" i="6"/>
  <c r="D141" i="6"/>
  <c r="C429" i="6"/>
  <c r="D692" i="6"/>
  <c r="D13" i="6"/>
  <c r="D173" i="6"/>
  <c r="C991" i="6"/>
  <c r="D357" i="6"/>
  <c r="C699" i="6"/>
  <c r="D1026" i="6"/>
  <c r="D169" i="6"/>
  <c r="D893" i="6"/>
  <c r="D1022" i="6"/>
  <c r="C149" i="6"/>
  <c r="C228" i="6"/>
  <c r="D222" i="6"/>
  <c r="D65" i="6"/>
  <c r="I1339" i="6"/>
  <c r="D72" i="6"/>
  <c r="C270" i="6"/>
  <c r="C243" i="6"/>
  <c r="I1256" i="6"/>
  <c r="D137" i="6"/>
  <c r="C225" i="6"/>
  <c r="E1366" i="6"/>
  <c r="C136" i="6"/>
  <c r="E1287" i="6"/>
  <c r="D167" i="6"/>
  <c r="J1262" i="6"/>
  <c r="F1108" i="6"/>
  <c r="I1292" i="6"/>
  <c r="J495" i="6"/>
  <c r="F1189" i="6"/>
  <c r="I1326" i="6"/>
  <c r="I1323" i="6"/>
  <c r="F1242" i="6"/>
  <c r="F828" i="6"/>
  <c r="I1190" i="6"/>
  <c r="I1168" i="6"/>
  <c r="E1210" i="6"/>
  <c r="E1183" i="6"/>
  <c r="E1161" i="6"/>
  <c r="I19" i="6"/>
  <c r="F585" i="6"/>
  <c r="F556" i="6"/>
  <c r="J202" i="6"/>
  <c r="D1360" i="6"/>
  <c r="F530" i="6"/>
  <c r="F241" i="6"/>
  <c r="F40" i="6"/>
  <c r="J1335" i="6"/>
  <c r="J1110" i="6"/>
  <c r="F69" i="6"/>
  <c r="J1203" i="6"/>
  <c r="D1095" i="6"/>
  <c r="F693" i="6"/>
  <c r="D1016" i="6"/>
  <c r="C889" i="6"/>
  <c r="C1325" i="6"/>
  <c r="D1219" i="6"/>
  <c r="J655" i="6"/>
  <c r="D1326" i="6"/>
  <c r="D1297" i="6"/>
  <c r="J838" i="6"/>
  <c r="C319" i="6"/>
  <c r="C666" i="6"/>
  <c r="C1242" i="6"/>
  <c r="C1251" i="6"/>
  <c r="D1371" i="6"/>
  <c r="D834" i="6"/>
  <c r="C888" i="6"/>
  <c r="C880" i="6"/>
  <c r="D715" i="6"/>
  <c r="J962" i="6"/>
  <c r="J597" i="6"/>
  <c r="C546" i="6"/>
  <c r="C424" i="6"/>
  <c r="C994" i="6"/>
  <c r="C1329" i="6"/>
  <c r="C1040" i="6"/>
  <c r="D628" i="6"/>
  <c r="C261" i="6"/>
  <c r="C673" i="6"/>
  <c r="D898" i="6"/>
  <c r="C780" i="6"/>
  <c r="F1341" i="6"/>
  <c r="D721" i="6"/>
  <c r="J1215" i="6"/>
  <c r="E1225" i="6"/>
  <c r="D623" i="6"/>
  <c r="D653" i="6"/>
  <c r="D348" i="6"/>
  <c r="D1085" i="6"/>
  <c r="D7" i="6"/>
  <c r="C368" i="6"/>
  <c r="C1015" i="6"/>
  <c r="D381" i="6"/>
  <c r="C1064" i="6"/>
  <c r="E1281" i="6"/>
  <c r="D522" i="6"/>
  <c r="C649" i="6"/>
  <c r="C338" i="6"/>
  <c r="C680" i="6"/>
  <c r="E1322" i="6"/>
  <c r="D226" i="6"/>
  <c r="C88" i="6"/>
  <c r="C238" i="6"/>
  <c r="I1244" i="6"/>
  <c r="I1253" i="6"/>
  <c r="D153" i="6"/>
  <c r="C158" i="6"/>
  <c r="I1235" i="6"/>
  <c r="C148" i="6"/>
  <c r="I1373" i="6"/>
  <c r="I1215" i="6"/>
  <c r="F1022" i="6"/>
  <c r="I1274" i="6"/>
  <c r="F45" i="6"/>
  <c r="C166" i="6"/>
  <c r="F138" i="6"/>
  <c r="I1304" i="6"/>
  <c r="F1300" i="6"/>
  <c r="D26" i="6"/>
  <c r="I1204" i="6"/>
  <c r="I1170" i="6"/>
  <c r="E1204" i="6"/>
  <c r="E1179" i="6"/>
  <c r="E1160" i="6"/>
  <c r="I21" i="6"/>
  <c r="I38" i="6"/>
  <c r="I56" i="6"/>
  <c r="I70" i="6"/>
  <c r="I83" i="6"/>
  <c r="I97" i="6"/>
  <c r="I111" i="6"/>
  <c r="I126" i="6"/>
  <c r="I141" i="6"/>
  <c r="I153" i="6"/>
  <c r="I167" i="6"/>
  <c r="I181" i="6"/>
  <c r="I195" i="6"/>
  <c r="I208" i="6"/>
  <c r="I223" i="6"/>
  <c r="I238" i="6"/>
  <c r="I251" i="6"/>
  <c r="I264" i="6"/>
  <c r="I279" i="6"/>
  <c r="I293" i="6"/>
  <c r="I305" i="6"/>
  <c r="I321" i="6"/>
  <c r="I335" i="6"/>
  <c r="I349" i="6"/>
  <c r="I361" i="6"/>
  <c r="I376" i="6"/>
  <c r="I390" i="6"/>
  <c r="I403" i="6"/>
  <c r="I419" i="6"/>
  <c r="I432" i="6"/>
  <c r="I446" i="6"/>
  <c r="I461" i="6"/>
  <c r="I473" i="6"/>
  <c r="I487" i="6"/>
  <c r="I501" i="6"/>
  <c r="I517" i="6"/>
  <c r="I529" i="6"/>
  <c r="I544" i="6"/>
  <c r="I562" i="6"/>
  <c r="I577" i="6"/>
  <c r="I593" i="6"/>
  <c r="I612" i="6"/>
  <c r="F614" i="6"/>
  <c r="J40" i="6"/>
  <c r="J420" i="6"/>
  <c r="J406" i="6"/>
  <c r="F698" i="6"/>
  <c r="J1219" i="6"/>
  <c r="J310" i="6"/>
  <c r="J1308" i="6"/>
  <c r="C567" i="6"/>
  <c r="J1021" i="6"/>
  <c r="J958" i="6"/>
  <c r="J877" i="6"/>
  <c r="F930" i="6"/>
  <c r="J530" i="6"/>
  <c r="C1029" i="6"/>
  <c r="J812" i="6"/>
  <c r="J1139" i="6"/>
  <c r="F644" i="6"/>
  <c r="D785" i="6"/>
  <c r="J996" i="6"/>
  <c r="J842" i="6"/>
  <c r="D809" i="6"/>
  <c r="C967" i="6"/>
  <c r="C1204" i="6"/>
  <c r="D877" i="6"/>
  <c r="C968" i="6"/>
  <c r="D937" i="6"/>
  <c r="D747" i="6"/>
  <c r="D790" i="6"/>
  <c r="C944" i="6"/>
  <c r="C789" i="6"/>
  <c r="C805" i="6"/>
  <c r="C1036" i="6"/>
  <c r="F1184" i="6"/>
  <c r="D617" i="6"/>
  <c r="C734" i="6"/>
  <c r="C384" i="6"/>
  <c r="D689" i="6"/>
  <c r="C417" i="6"/>
  <c r="C630" i="6"/>
  <c r="D582" i="6"/>
  <c r="C895" i="6"/>
  <c r="D84" i="6"/>
  <c r="C537" i="6"/>
  <c r="D639" i="6"/>
  <c r="C358" i="6"/>
  <c r="D895" i="6"/>
  <c r="D558" i="6"/>
  <c r="D503" i="6"/>
  <c r="D1070" i="6"/>
  <c r="I1309" i="6"/>
  <c r="D676" i="6"/>
  <c r="D197" i="6"/>
  <c r="E1326" i="6"/>
  <c r="D270" i="6"/>
  <c r="I1364" i="6"/>
  <c r="C244" i="6"/>
  <c r="D546" i="6"/>
  <c r="E1268" i="6"/>
  <c r="D1062" i="6"/>
  <c r="D110" i="6"/>
  <c r="C143" i="6"/>
  <c r="C266" i="6"/>
  <c r="D122" i="6"/>
  <c r="I1324" i="6"/>
  <c r="D112" i="6"/>
  <c r="D269" i="6"/>
  <c r="D31" i="6"/>
  <c r="E1241" i="6"/>
  <c r="E1222" i="6"/>
  <c r="C274" i="6"/>
  <c r="J1248" i="6"/>
  <c r="J269" i="6"/>
  <c r="F992" i="6"/>
  <c r="J618" i="6"/>
  <c r="D82" i="6"/>
  <c r="F84" i="6"/>
  <c r="F1162" i="6"/>
  <c r="F643" i="6"/>
  <c r="I1307" i="6"/>
  <c r="I1209" i="6"/>
  <c r="I1207" i="6"/>
  <c r="E1203" i="6"/>
  <c r="E1172" i="6"/>
  <c r="E1158" i="6"/>
  <c r="I23" i="6"/>
  <c r="I41" i="6"/>
  <c r="I57" i="6"/>
  <c r="I71" i="6"/>
  <c r="I85" i="6"/>
  <c r="I99" i="6"/>
  <c r="I113" i="6"/>
  <c r="I127" i="6"/>
  <c r="I142" i="6"/>
  <c r="I155" i="6"/>
  <c r="I168" i="6"/>
  <c r="I183" i="6"/>
  <c r="I197" i="6"/>
  <c r="I211" i="6"/>
  <c r="I225" i="6"/>
  <c r="I239" i="6"/>
  <c r="I253" i="6"/>
  <c r="I265" i="6"/>
  <c r="I280" i="6"/>
  <c r="I294" i="6"/>
  <c r="I309" i="6"/>
  <c r="I323" i="6"/>
  <c r="I336" i="6"/>
  <c r="I350" i="6"/>
  <c r="I365" i="6"/>
  <c r="I377" i="6"/>
  <c r="I391" i="6"/>
  <c r="I407" i="6"/>
  <c r="I421" i="6"/>
  <c r="I433" i="6"/>
  <c r="I447" i="6"/>
  <c r="I462" i="6"/>
  <c r="I475" i="6"/>
  <c r="I488" i="6"/>
  <c r="I504" i="6"/>
  <c r="I518" i="6"/>
  <c r="I531" i="6"/>
  <c r="I548" i="6"/>
  <c r="I563" i="6"/>
  <c r="I581" i="6"/>
  <c r="I594" i="6"/>
  <c r="I630" i="6"/>
  <c r="I643" i="6"/>
  <c r="I662" i="6"/>
  <c r="I678" i="6"/>
  <c r="I693" i="6"/>
  <c r="I710" i="6"/>
  <c r="I736" i="6"/>
  <c r="I757" i="6"/>
  <c r="I782" i="6"/>
  <c r="I800" i="6"/>
  <c r="I1089" i="6"/>
  <c r="I1069" i="6"/>
  <c r="I540" i="6"/>
  <c r="I1068" i="6"/>
  <c r="I552" i="6"/>
  <c r="I1104" i="6"/>
  <c r="I1142" i="6"/>
  <c r="I681" i="6"/>
  <c r="I746" i="6"/>
  <c r="I1028" i="6"/>
  <c r="I1072" i="6"/>
  <c r="I724" i="6"/>
  <c r="I1041" i="6"/>
  <c r="I1066" i="6"/>
  <c r="I1121" i="6"/>
  <c r="I776" i="6"/>
  <c r="I650" i="6"/>
  <c r="I1100" i="6"/>
  <c r="I789" i="6"/>
  <c r="I633" i="6"/>
  <c r="I1038" i="6"/>
  <c r="I1076" i="6"/>
  <c r="F160" i="6"/>
  <c r="F121" i="6"/>
  <c r="F1047" i="6"/>
  <c r="J144" i="6"/>
  <c r="F283" i="6"/>
  <c r="F909" i="6"/>
  <c r="F1015" i="6"/>
  <c r="F324" i="6"/>
  <c r="F374" i="6"/>
  <c r="J69" i="6"/>
  <c r="F683" i="6"/>
  <c r="J537" i="6"/>
  <c r="F545" i="6"/>
  <c r="C737" i="6"/>
  <c r="F890" i="6"/>
  <c r="C720" i="6"/>
  <c r="J1025" i="6"/>
  <c r="F1285" i="6"/>
  <c r="D1163" i="6"/>
  <c r="J264" i="6"/>
  <c r="J516" i="6"/>
  <c r="C662" i="6"/>
  <c r="C969" i="6"/>
  <c r="D1180" i="6"/>
  <c r="D838" i="6"/>
  <c r="D855" i="6"/>
  <c r="D982" i="6"/>
  <c r="D966" i="6"/>
  <c r="C635" i="6"/>
  <c r="D926" i="6"/>
  <c r="C706" i="6"/>
  <c r="D609" i="6"/>
  <c r="C1089" i="6"/>
  <c r="D782" i="6"/>
  <c r="C1240" i="6"/>
  <c r="D1112" i="6"/>
  <c r="D925" i="6"/>
  <c r="C473" i="6"/>
  <c r="E1291" i="6"/>
  <c r="C157" i="6"/>
  <c r="C722" i="6"/>
  <c r="D247" i="6"/>
  <c r="C486" i="6"/>
  <c r="C312" i="6"/>
  <c r="C767" i="6"/>
  <c r="D600" i="6"/>
  <c r="D1054" i="6"/>
  <c r="D48" i="6"/>
  <c r="C597" i="6"/>
  <c r="D465" i="6"/>
  <c r="J1218" i="6"/>
  <c r="D402" i="6"/>
  <c r="D550" i="6"/>
  <c r="D230" i="6"/>
  <c r="C257" i="6"/>
  <c r="D373" i="6"/>
  <c r="D404" i="6"/>
  <c r="D103" i="6"/>
  <c r="D56" i="6"/>
  <c r="D387" i="6"/>
  <c r="E1314" i="6"/>
  <c r="J1269" i="6"/>
  <c r="D143" i="6"/>
  <c r="E1244" i="6"/>
  <c r="D88" i="6"/>
  <c r="C125" i="6"/>
  <c r="C271" i="6"/>
  <c r="D89" i="6"/>
  <c r="E1315" i="6"/>
  <c r="C72" i="6"/>
  <c r="D108" i="6"/>
  <c r="J1014" i="6"/>
  <c r="F1312" i="6"/>
  <c r="I1231" i="6"/>
  <c r="C294" i="6"/>
  <c r="F777" i="6"/>
  <c r="F889" i="6"/>
  <c r="F56" i="6"/>
  <c r="F789" i="6"/>
  <c r="I1289" i="6"/>
  <c r="I1213" i="6"/>
  <c r="I1184" i="6"/>
  <c r="E1202" i="6"/>
  <c r="E1171" i="6"/>
  <c r="I7" i="6"/>
  <c r="I24" i="6"/>
  <c r="I45" i="6"/>
  <c r="I59" i="6"/>
  <c r="I72" i="6"/>
  <c r="I87" i="6"/>
  <c r="I102" i="6"/>
  <c r="I115" i="6"/>
  <c r="I129" i="6"/>
  <c r="I143" i="6"/>
  <c r="I157" i="6"/>
  <c r="I169" i="6"/>
  <c r="I184" i="6"/>
  <c r="I199" i="6"/>
  <c r="I213" i="6"/>
  <c r="I227" i="6"/>
  <c r="I240" i="6"/>
  <c r="I254" i="6"/>
  <c r="I269" i="6"/>
  <c r="I281" i="6"/>
  <c r="I296" i="6"/>
  <c r="I311" i="6"/>
  <c r="I325" i="6"/>
  <c r="I337" i="6"/>
  <c r="I351" i="6"/>
  <c r="I366" i="6"/>
  <c r="I379" i="6"/>
  <c r="I393" i="6"/>
  <c r="I408" i="6"/>
  <c r="I422" i="6"/>
  <c r="I435" i="6"/>
  <c r="I449" i="6"/>
  <c r="I463" i="6"/>
  <c r="I477" i="6"/>
  <c r="I493" i="6"/>
  <c r="I505" i="6"/>
  <c r="I519" i="6"/>
  <c r="I533" i="6"/>
  <c r="I550" i="6"/>
  <c r="I564" i="6"/>
  <c r="I582" i="6"/>
  <c r="I600" i="6"/>
  <c r="F583" i="6"/>
  <c r="J588" i="6"/>
  <c r="J76" i="6"/>
  <c r="C1037" i="6"/>
  <c r="F826" i="6"/>
  <c r="J821" i="6"/>
  <c r="F395" i="6"/>
  <c r="J540" i="6"/>
  <c r="C1209" i="6"/>
  <c r="J11" i="6"/>
  <c r="J564" i="6"/>
  <c r="J1316" i="6"/>
  <c r="J785" i="6"/>
  <c r="F528" i="6"/>
  <c r="J1178" i="6"/>
  <c r="F1226" i="6"/>
  <c r="C901" i="6"/>
  <c r="C785" i="6"/>
  <c r="J108" i="6"/>
  <c r="J366" i="6"/>
  <c r="J899" i="6"/>
  <c r="D962" i="6"/>
  <c r="C1340" i="6"/>
  <c r="C1224" i="6"/>
  <c r="C467" i="6"/>
  <c r="C1259" i="6"/>
  <c r="C580" i="6"/>
  <c r="D868" i="6"/>
  <c r="C1137" i="6"/>
  <c r="D1063" i="6"/>
  <c r="C1119" i="6"/>
  <c r="C807" i="6"/>
  <c r="C1082" i="6"/>
  <c r="F690" i="6"/>
  <c r="D807" i="6"/>
  <c r="D1068" i="6"/>
  <c r="C947" i="6"/>
  <c r="D321" i="6"/>
  <c r="C633" i="6"/>
  <c r="D97" i="6"/>
  <c r="D1186" i="6"/>
  <c r="D810" i="6"/>
  <c r="D700" i="6"/>
  <c r="D383" i="6"/>
  <c r="C357" i="6"/>
  <c r="D572" i="6"/>
  <c r="C153" i="6"/>
  <c r="C323" i="6"/>
  <c r="C118" i="6"/>
  <c r="C617" i="6"/>
  <c r="C320" i="6"/>
  <c r="E1248" i="6"/>
  <c r="D619" i="6"/>
  <c r="C24" i="6"/>
  <c r="D105" i="6"/>
  <c r="D303" i="6"/>
  <c r="C521" i="6"/>
  <c r="D474" i="6"/>
  <c r="C445" i="6"/>
  <c r="D273" i="6"/>
  <c r="E1223" i="6"/>
  <c r="D207" i="6"/>
  <c r="C57" i="6"/>
  <c r="E1255" i="6"/>
  <c r="C264" i="6"/>
  <c r="D166" i="6"/>
  <c r="D9" i="6"/>
  <c r="D618" i="6"/>
  <c r="D265" i="6"/>
  <c r="C342" i="6"/>
  <c r="C254" i="6"/>
  <c r="J822" i="6"/>
  <c r="F1344" i="6"/>
  <c r="I1223" i="6"/>
  <c r="J645" i="6"/>
  <c r="F1062" i="6"/>
  <c r="F685" i="6"/>
  <c r="I1312" i="6"/>
  <c r="F914" i="6"/>
  <c r="J863" i="6"/>
  <c r="I1167" i="6"/>
  <c r="I1179" i="6"/>
  <c r="E1193" i="6"/>
  <c r="E1170" i="6"/>
  <c r="I8" i="6"/>
  <c r="I1106" i="6"/>
  <c r="I663" i="6"/>
  <c r="I1047" i="6"/>
  <c r="I1098" i="6"/>
  <c r="I743" i="6"/>
  <c r="I1129" i="6"/>
  <c r="I1147" i="6"/>
  <c r="I1027" i="6"/>
  <c r="I791" i="6"/>
  <c r="I1055" i="6"/>
  <c r="I667" i="6"/>
  <c r="I803" i="6"/>
  <c r="I811" i="6"/>
  <c r="I1110" i="6"/>
  <c r="I575" i="6"/>
  <c r="I1050" i="6"/>
  <c r="I753" i="6"/>
  <c r="I1045" i="6"/>
  <c r="I814" i="6"/>
  <c r="I785" i="6"/>
  <c r="I761" i="6"/>
  <c r="I731" i="6"/>
  <c r="I706" i="6"/>
  <c r="I688" i="6"/>
  <c r="I671" i="6"/>
  <c r="I651" i="6"/>
  <c r="I632" i="6"/>
  <c r="I613" i="6"/>
  <c r="I591" i="6"/>
  <c r="I566" i="6"/>
  <c r="I537" i="6"/>
  <c r="I513" i="6"/>
  <c r="I495" i="6"/>
  <c r="I471" i="6"/>
  <c r="I451" i="6"/>
  <c r="I425" i="6"/>
  <c r="I401" i="6"/>
  <c r="I383" i="6"/>
  <c r="I359" i="6"/>
  <c r="I339" i="6"/>
  <c r="I315" i="6"/>
  <c r="I291" i="6"/>
  <c r="I272" i="6"/>
  <c r="I248" i="6"/>
  <c r="I229" i="6"/>
  <c r="I205" i="6"/>
  <c r="I179" i="6"/>
  <c r="I159" i="6"/>
  <c r="I135" i="6"/>
  <c r="I117" i="6"/>
  <c r="I93" i="6"/>
  <c r="I69" i="6"/>
  <c r="I47" i="6"/>
  <c r="I13" i="6"/>
  <c r="E1211" i="6"/>
  <c r="I1325" i="6"/>
  <c r="J411" i="6"/>
  <c r="F1049" i="6"/>
  <c r="F472" i="6"/>
  <c r="C108" i="6"/>
  <c r="D170" i="6"/>
  <c r="D74" i="6"/>
  <c r="I1303" i="6"/>
  <c r="C558" i="6"/>
  <c r="D829" i="6"/>
  <c r="D327" i="6"/>
  <c r="D439" i="6"/>
  <c r="D459" i="6"/>
  <c r="D1146" i="6"/>
  <c r="C442" i="6"/>
  <c r="D157" i="6"/>
  <c r="C632" i="6"/>
  <c r="D1299" i="6"/>
  <c r="C1130" i="6"/>
  <c r="D1243" i="6"/>
  <c r="J735" i="6"/>
  <c r="J534" i="6"/>
  <c r="C909" i="6"/>
  <c r="C781" i="6"/>
  <c r="J150" i="6"/>
  <c r="C841" i="6"/>
  <c r="C315" i="6"/>
  <c r="J240" i="6"/>
  <c r="J1238" i="6"/>
  <c r="J634" i="6"/>
  <c r="E662" i="6"/>
  <c r="E666" i="6"/>
  <c r="E670" i="6"/>
  <c r="E674" i="6"/>
  <c r="E678" i="6"/>
  <c r="E682" i="6"/>
  <c r="E686" i="6"/>
  <c r="E690" i="6"/>
  <c r="E694" i="6"/>
  <c r="E798" i="6"/>
  <c r="E801" i="6"/>
  <c r="E6" i="6"/>
  <c r="E18" i="6"/>
  <c r="E28" i="6"/>
  <c r="E38" i="6"/>
  <c r="E50" i="6"/>
  <c r="E60" i="6"/>
  <c r="E70" i="6"/>
  <c r="E82" i="6"/>
  <c r="E92" i="6"/>
  <c r="E102" i="6"/>
  <c r="E114" i="6"/>
  <c r="E124" i="6"/>
  <c r="E134" i="6"/>
  <c r="E146" i="6"/>
  <c r="E156" i="6"/>
  <c r="E166" i="6"/>
  <c r="E178" i="6"/>
  <c r="E188" i="6"/>
  <c r="E198" i="6"/>
  <c r="E210" i="6"/>
  <c r="E220" i="6"/>
  <c r="E230" i="6"/>
  <c r="E242" i="6"/>
  <c r="E252" i="6"/>
  <c r="E266" i="6"/>
  <c r="E282" i="6"/>
  <c r="E292" i="6"/>
  <c r="E302" i="6"/>
  <c r="E314" i="6"/>
  <c r="E324" i="6"/>
  <c r="E334" i="6"/>
  <c r="E346" i="6"/>
  <c r="E356" i="6"/>
  <c r="E366" i="6"/>
  <c r="E378" i="6"/>
  <c r="E388" i="6"/>
  <c r="E398" i="6"/>
  <c r="E410" i="6"/>
  <c r="E420" i="6"/>
  <c r="E430" i="6"/>
  <c r="E442" i="6"/>
  <c r="E452" i="6"/>
  <c r="E462" i="6"/>
  <c r="E474" i="6"/>
  <c r="E484" i="6"/>
  <c r="I1075" i="6"/>
  <c r="I1025" i="6"/>
  <c r="I703" i="6"/>
  <c r="I1133" i="6"/>
  <c r="I578" i="6"/>
  <c r="I756" i="6"/>
  <c r="I1134" i="6"/>
  <c r="I1152" i="6"/>
  <c r="I1022" i="6"/>
  <c r="I796" i="6"/>
  <c r="I1036" i="6"/>
  <c r="I687" i="6"/>
  <c r="I625" i="6"/>
  <c r="I611" i="6"/>
  <c r="I1023" i="6"/>
  <c r="I601" i="6"/>
  <c r="I1113" i="6"/>
  <c r="I786" i="6"/>
  <c r="I1033" i="6"/>
  <c r="I812" i="6"/>
  <c r="I784" i="6"/>
  <c r="I754" i="6"/>
  <c r="I723" i="6"/>
  <c r="I705" i="6"/>
  <c r="I686" i="6"/>
  <c r="I668" i="6"/>
  <c r="I648" i="6"/>
  <c r="I631" i="6"/>
  <c r="I590" i="6"/>
  <c r="I561" i="6"/>
  <c r="I536" i="6"/>
  <c r="I511" i="6"/>
  <c r="I494" i="6"/>
  <c r="I469" i="6"/>
  <c r="I445" i="6"/>
  <c r="I424" i="6"/>
  <c r="I400" i="6"/>
  <c r="I382" i="6"/>
  <c r="I358" i="6"/>
  <c r="I334" i="6"/>
  <c r="I313" i="6"/>
  <c r="I289" i="6"/>
  <c r="I270" i="6"/>
  <c r="I245" i="6"/>
  <c r="I221" i="6"/>
  <c r="I201" i="6"/>
  <c r="I177" i="6"/>
  <c r="I158" i="6"/>
  <c r="I134" i="6"/>
  <c r="I110" i="6"/>
  <c r="I91" i="6"/>
  <c r="I67" i="6"/>
  <c r="I46" i="6"/>
  <c r="I9" i="6"/>
  <c r="I1196" i="6"/>
  <c r="F1295" i="6"/>
  <c r="F637" i="6"/>
  <c r="I1239" i="6"/>
  <c r="E1224" i="6"/>
  <c r="D512" i="6"/>
  <c r="E1233" i="6"/>
  <c r="D21" i="6"/>
  <c r="C126" i="6"/>
  <c r="D23" i="6"/>
  <c r="C66" i="6"/>
  <c r="C150" i="6"/>
  <c r="E1342" i="6"/>
  <c r="C180" i="6"/>
  <c r="D768" i="6"/>
  <c r="C376" i="6"/>
  <c r="C436" i="6"/>
  <c r="F1151" i="6"/>
  <c r="D1345" i="6"/>
  <c r="D999" i="6"/>
  <c r="F270" i="6"/>
  <c r="D507" i="6"/>
  <c r="D148" i="6"/>
  <c r="D1040" i="6"/>
  <c r="F984" i="6"/>
  <c r="F108" i="6"/>
  <c r="J381" i="6"/>
  <c r="F237" i="6"/>
  <c r="F648" i="6"/>
  <c r="F90" i="6"/>
  <c r="J656" i="6"/>
  <c r="I837" i="6"/>
  <c r="I829" i="6"/>
  <c r="I821" i="6"/>
  <c r="E1006" i="6"/>
  <c r="E268" i="6"/>
  <c r="I991" i="6"/>
  <c r="I996" i="6"/>
  <c r="I982" i="6"/>
  <c r="I983" i="6"/>
  <c r="E496" i="6"/>
  <c r="E506" i="6"/>
  <c r="E514" i="6"/>
  <c r="E516" i="6"/>
  <c r="E520" i="6"/>
  <c r="E524" i="6"/>
  <c r="E528" i="6"/>
  <c r="E532" i="6"/>
  <c r="E536" i="6"/>
  <c r="E540" i="6"/>
  <c r="E544" i="6"/>
  <c r="E549" i="6"/>
  <c r="E576" i="6"/>
  <c r="E580" i="6"/>
  <c r="E584" i="6"/>
  <c r="E588" i="6"/>
  <c r="E592" i="6"/>
  <c r="E596" i="6"/>
  <c r="E600" i="6"/>
  <c r="E604" i="6"/>
  <c r="E608" i="6"/>
  <c r="E612" i="6"/>
  <c r="E616" i="6"/>
  <c r="E639" i="6"/>
  <c r="E643" i="6"/>
  <c r="E647" i="6"/>
  <c r="E651" i="6"/>
  <c r="E655" i="6"/>
  <c r="E704" i="6"/>
  <c r="E725" i="6"/>
  <c r="E743" i="6"/>
  <c r="E764" i="6"/>
  <c r="E779" i="6"/>
  <c r="E796" i="6"/>
  <c r="E812" i="6"/>
  <c r="E745" i="6"/>
  <c r="E701" i="6"/>
  <c r="E714" i="6"/>
  <c r="E730" i="6"/>
  <c r="E744" i="6"/>
  <c r="E757" i="6"/>
  <c r="E777" i="6"/>
  <c r="E792" i="6"/>
  <c r="E803" i="6"/>
  <c r="E719" i="6"/>
  <c r="E771" i="6"/>
  <c r="E724" i="6"/>
  <c r="E742" i="6"/>
  <c r="E782" i="6"/>
  <c r="E799" i="6"/>
  <c r="E8" i="6"/>
  <c r="E19" i="6"/>
  <c r="E29" i="6"/>
  <c r="E40" i="6"/>
  <c r="E51" i="6"/>
  <c r="E61" i="6"/>
  <c r="E72" i="6"/>
  <c r="E83" i="6"/>
  <c r="E93" i="6"/>
  <c r="E104" i="6"/>
  <c r="E115" i="6"/>
  <c r="E125" i="6"/>
  <c r="E136" i="6"/>
  <c r="E147" i="6"/>
  <c r="E157" i="6"/>
  <c r="E168" i="6"/>
  <c r="E179" i="6"/>
  <c r="E189" i="6"/>
  <c r="E200" i="6"/>
  <c r="E211" i="6"/>
  <c r="E221" i="6"/>
  <c r="E232" i="6"/>
  <c r="E243" i="6"/>
  <c r="E253" i="6"/>
  <c r="E272" i="6"/>
  <c r="E283" i="6"/>
  <c r="E293" i="6"/>
  <c r="E304" i="6"/>
  <c r="E315" i="6"/>
  <c r="E325" i="6"/>
  <c r="E336" i="6"/>
  <c r="E347" i="6"/>
  <c r="E357" i="6"/>
  <c r="E368" i="6"/>
  <c r="E379" i="6"/>
  <c r="E389" i="6"/>
  <c r="E400" i="6"/>
  <c r="E411" i="6"/>
  <c r="E421" i="6"/>
  <c r="E432" i="6"/>
  <c r="E443" i="6"/>
  <c r="E453" i="6"/>
  <c r="E464" i="6"/>
  <c r="E475" i="6"/>
  <c r="E485" i="6"/>
  <c r="I1063" i="6"/>
  <c r="I1097" i="6"/>
  <c r="I734" i="6"/>
  <c r="I1052" i="6"/>
  <c r="I629" i="6"/>
  <c r="I764" i="6"/>
  <c r="I1040" i="6"/>
  <c r="I1071" i="6"/>
  <c r="I1101" i="6"/>
  <c r="I802" i="6"/>
  <c r="I1123" i="6"/>
  <c r="I719" i="6"/>
  <c r="I674" i="6"/>
  <c r="I1154" i="6"/>
  <c r="I1102" i="6"/>
  <c r="I804" i="6"/>
  <c r="I1032" i="6"/>
  <c r="I793" i="6"/>
  <c r="I1037" i="6"/>
  <c r="I806" i="6"/>
  <c r="I780" i="6"/>
  <c r="I752" i="6"/>
  <c r="I722" i="6"/>
  <c r="I701" i="6"/>
  <c r="I685" i="6"/>
  <c r="I665" i="6"/>
  <c r="I644" i="6"/>
  <c r="I626" i="6"/>
  <c r="I609" i="6"/>
  <c r="I588" i="6"/>
  <c r="I557" i="6"/>
  <c r="I535" i="6"/>
  <c r="I510" i="6"/>
  <c r="I486" i="6"/>
  <c r="I467" i="6"/>
  <c r="I443" i="6"/>
  <c r="I423" i="6"/>
  <c r="I399" i="6"/>
  <c r="I375" i="6"/>
  <c r="I355" i="6"/>
  <c r="I329" i="6"/>
  <c r="I312" i="6"/>
  <c r="I287" i="6"/>
  <c r="I263" i="6"/>
  <c r="I243" i="6"/>
  <c r="I219" i="6"/>
  <c r="I200" i="6"/>
  <c r="I176" i="6"/>
  <c r="I152" i="6"/>
  <c r="I133" i="6"/>
  <c r="I109" i="6"/>
  <c r="I89" i="6"/>
  <c r="I65" i="6"/>
  <c r="I37" i="6"/>
  <c r="E1162" i="6"/>
  <c r="I1191" i="6"/>
  <c r="F485" i="6"/>
  <c r="I1319" i="6"/>
  <c r="F1197" i="6"/>
  <c r="D119" i="6"/>
  <c r="D118" i="6"/>
  <c r="C132" i="6"/>
  <c r="C529" i="6"/>
  <c r="C185" i="6"/>
  <c r="D420" i="6"/>
  <c r="D317" i="6"/>
  <c r="E1283" i="6"/>
  <c r="D109" i="6"/>
  <c r="E1280" i="6"/>
  <c r="C422" i="6"/>
  <c r="C834" i="6"/>
  <c r="C1023" i="6"/>
  <c r="D422" i="6"/>
  <c r="D1372" i="6"/>
  <c r="C1324" i="6"/>
  <c r="C836" i="6"/>
  <c r="C1220" i="6"/>
  <c r="C826" i="6"/>
  <c r="C711" i="6"/>
  <c r="C1231" i="6"/>
  <c r="J658" i="6"/>
  <c r="J1084" i="6"/>
  <c r="J789" i="6"/>
  <c r="J938" i="6"/>
  <c r="J966" i="6"/>
  <c r="J417" i="6"/>
  <c r="E659" i="6"/>
  <c r="E663" i="6"/>
  <c r="E667" i="6"/>
  <c r="E671" i="6"/>
  <c r="E675" i="6"/>
  <c r="E679" i="6"/>
  <c r="E683" i="6"/>
  <c r="E687" i="6"/>
  <c r="E691" i="6"/>
  <c r="E749" i="6"/>
  <c r="E710" i="6"/>
  <c r="E10" i="6"/>
  <c r="E20" i="6"/>
  <c r="E30" i="6"/>
  <c r="E42" i="6"/>
  <c r="E52" i="6"/>
  <c r="E62" i="6"/>
  <c r="E74" i="6"/>
  <c r="E84" i="6"/>
  <c r="E94" i="6"/>
  <c r="E106" i="6"/>
  <c r="E116" i="6"/>
  <c r="E126" i="6"/>
  <c r="E138" i="6"/>
  <c r="E148" i="6"/>
  <c r="E158" i="6"/>
  <c r="E170" i="6"/>
  <c r="E180" i="6"/>
  <c r="E190" i="6"/>
  <c r="E202" i="6"/>
  <c r="E212" i="6"/>
  <c r="E222" i="6"/>
  <c r="E234" i="6"/>
  <c r="E244" i="6"/>
  <c r="E254" i="6"/>
  <c r="E274" i="6"/>
  <c r="E284" i="6"/>
  <c r="E294" i="6"/>
  <c r="E306" i="6"/>
  <c r="E316" i="6"/>
  <c r="E326" i="6"/>
  <c r="E338" i="6"/>
  <c r="E348" i="6"/>
  <c r="E358" i="6"/>
  <c r="E370" i="6"/>
  <c r="E380" i="6"/>
  <c r="E390" i="6"/>
  <c r="E402" i="6"/>
  <c r="E412" i="6"/>
  <c r="E422" i="6"/>
  <c r="E434" i="6"/>
  <c r="E444" i="6"/>
  <c r="E454" i="6"/>
  <c r="E466" i="6"/>
  <c r="E476" i="6"/>
  <c r="E486" i="6"/>
  <c r="I1141" i="6"/>
  <c r="I1016" i="6"/>
  <c r="I749" i="6"/>
  <c r="I1115" i="6"/>
  <c r="I642" i="6"/>
  <c r="I1146" i="6"/>
  <c r="I1107" i="6"/>
  <c r="I1049" i="6"/>
  <c r="I1020" i="6"/>
  <c r="I1077" i="6"/>
  <c r="I1042" i="6"/>
  <c r="I732" i="6"/>
  <c r="I694" i="6"/>
  <c r="I1125" i="6"/>
  <c r="I1021" i="6"/>
  <c r="I817" i="6"/>
  <c r="I1030" i="6"/>
  <c r="I799" i="6"/>
  <c r="I1024" i="6"/>
  <c r="I798" i="6"/>
  <c r="I774" i="6"/>
  <c r="I748" i="6"/>
  <c r="I721" i="6"/>
  <c r="I698" i="6"/>
  <c r="I684" i="6"/>
  <c r="I664" i="6"/>
  <c r="I641" i="6"/>
  <c r="I622" i="6"/>
  <c r="I606" i="6"/>
  <c r="I585" i="6"/>
  <c r="I556" i="6"/>
  <c r="I528" i="6"/>
  <c r="I509" i="6"/>
  <c r="I485" i="6"/>
  <c r="I464" i="6"/>
  <c r="I440" i="6"/>
  <c r="I415" i="6"/>
  <c r="I398" i="6"/>
  <c r="I373" i="6"/>
  <c r="I353" i="6"/>
  <c r="I328" i="6"/>
  <c r="I304" i="6"/>
  <c r="I286" i="6"/>
  <c r="I262" i="6"/>
  <c r="I241" i="6"/>
  <c r="I217" i="6"/>
  <c r="I193" i="6"/>
  <c r="I175" i="6"/>
  <c r="I151" i="6"/>
  <c r="I131" i="6"/>
  <c r="I105" i="6"/>
  <c r="I81" i="6"/>
  <c r="I62" i="6"/>
  <c r="I35" i="6"/>
  <c r="I1160" i="6"/>
  <c r="I1178" i="6"/>
  <c r="J988" i="6"/>
  <c r="D63" i="6"/>
  <c r="F1145" i="6"/>
  <c r="C8" i="6"/>
  <c r="E1338" i="6"/>
  <c r="C193" i="6"/>
  <c r="D396" i="6"/>
  <c r="C465" i="6"/>
  <c r="D215" i="6"/>
  <c r="D235" i="6"/>
  <c r="C293" i="6"/>
  <c r="D294" i="6"/>
  <c r="C247" i="6"/>
  <c r="E1351" i="6"/>
  <c r="C346" i="6"/>
  <c r="C908" i="6"/>
  <c r="D490" i="6"/>
  <c r="D948" i="6"/>
  <c r="C682" i="6"/>
  <c r="J969" i="6"/>
  <c r="C903" i="6"/>
  <c r="D1139" i="6"/>
  <c r="D1250" i="6"/>
  <c r="J354" i="6"/>
  <c r="C1319" i="6"/>
  <c r="C475" i="6"/>
  <c r="C867" i="6"/>
  <c r="F405" i="6"/>
  <c r="J613" i="6"/>
  <c r="J473" i="6"/>
  <c r="I835" i="6"/>
  <c r="I827" i="6"/>
  <c r="I819" i="6"/>
  <c r="E1129" i="6"/>
  <c r="E267" i="6"/>
  <c r="I1002" i="6"/>
  <c r="I992" i="6"/>
  <c r="I993" i="6"/>
  <c r="E509" i="6"/>
  <c r="E493" i="6"/>
  <c r="E495" i="6"/>
  <c r="E517" i="6"/>
  <c r="E521" i="6"/>
  <c r="E525" i="6"/>
  <c r="E529" i="6"/>
  <c r="E533" i="6"/>
  <c r="E537" i="6"/>
  <c r="E541" i="6"/>
  <c r="E545" i="6"/>
  <c r="E551" i="6"/>
  <c r="E577" i="6"/>
  <c r="E581" i="6"/>
  <c r="E585" i="6"/>
  <c r="E589" i="6"/>
  <c r="E593" i="6"/>
  <c r="E597" i="6"/>
  <c r="E601" i="6"/>
  <c r="E605" i="6"/>
  <c r="E609" i="6"/>
  <c r="E613" i="6"/>
  <c r="E640" i="6"/>
  <c r="E644" i="6"/>
  <c r="E648" i="6"/>
  <c r="E652" i="6"/>
  <c r="E656" i="6"/>
  <c r="E708" i="6"/>
  <c r="E729" i="6"/>
  <c r="E747" i="6"/>
  <c r="E768" i="6"/>
  <c r="E783" i="6"/>
  <c r="E802" i="6"/>
  <c r="E815" i="6"/>
  <c r="E699" i="6"/>
  <c r="E766" i="6"/>
  <c r="E705" i="6"/>
  <c r="E718" i="6"/>
  <c r="E734" i="6"/>
  <c r="E748" i="6"/>
  <c r="E761" i="6"/>
  <c r="E780" i="6"/>
  <c r="E794" i="6"/>
  <c r="E806" i="6"/>
  <c r="E727" i="6"/>
  <c r="E781" i="6"/>
  <c r="E711" i="6"/>
  <c r="E728" i="6"/>
  <c r="E767" i="6"/>
  <c r="E786" i="6"/>
  <c r="E11" i="6"/>
  <c r="E21" i="6"/>
  <c r="E32" i="6"/>
  <c r="E43" i="6"/>
  <c r="E53" i="6"/>
  <c r="E64" i="6"/>
  <c r="E75" i="6"/>
  <c r="E85" i="6"/>
  <c r="E96" i="6"/>
  <c r="E107" i="6"/>
  <c r="E117" i="6"/>
  <c r="E128" i="6"/>
  <c r="E139" i="6"/>
  <c r="E149" i="6"/>
  <c r="E160" i="6"/>
  <c r="E171" i="6"/>
  <c r="E181" i="6"/>
  <c r="E192" i="6"/>
  <c r="E203" i="6"/>
  <c r="E213" i="6"/>
  <c r="E224" i="6"/>
  <c r="E235" i="6"/>
  <c r="E245" i="6"/>
  <c r="E256" i="6"/>
  <c r="E275" i="6"/>
  <c r="E285" i="6"/>
  <c r="E296" i="6"/>
  <c r="E307" i="6"/>
  <c r="E317" i="6"/>
  <c r="E328" i="6"/>
  <c r="E339" i="6"/>
  <c r="E349" i="6"/>
  <c r="E360" i="6"/>
  <c r="E371" i="6"/>
  <c r="E381" i="6"/>
  <c r="E392" i="6"/>
  <c r="E403" i="6"/>
  <c r="E413" i="6"/>
  <c r="E424" i="6"/>
  <c r="E435" i="6"/>
  <c r="E445" i="6"/>
  <c r="E456" i="6"/>
  <c r="E467" i="6"/>
  <c r="E477" i="6"/>
  <c r="E488" i="6"/>
  <c r="I1060" i="6"/>
  <c r="I586" i="6"/>
  <c r="I755" i="6"/>
  <c r="I1120" i="6"/>
  <c r="I656" i="6"/>
  <c r="I1151" i="6"/>
  <c r="I1026" i="6"/>
  <c r="I1054" i="6"/>
  <c r="I1086" i="6"/>
  <c r="I1067" i="6"/>
  <c r="I1109" i="6"/>
  <c r="I751" i="6"/>
  <c r="I700" i="6"/>
  <c r="I1044" i="6"/>
  <c r="I1088" i="6"/>
  <c r="I670" i="6"/>
  <c r="I1014" i="6"/>
  <c r="I805" i="6"/>
  <c r="I1008" i="6"/>
  <c r="I797" i="6"/>
  <c r="I770" i="6"/>
  <c r="I744" i="6"/>
  <c r="I720" i="6"/>
  <c r="I697" i="6"/>
  <c r="I679" i="6"/>
  <c r="I659" i="6"/>
  <c r="I640" i="6"/>
  <c r="I619" i="6"/>
  <c r="I604" i="6"/>
  <c r="I574" i="6"/>
  <c r="I554" i="6"/>
  <c r="I526" i="6"/>
  <c r="I507" i="6"/>
  <c r="I483" i="6"/>
  <c r="I457" i="6"/>
  <c r="I439" i="6"/>
  <c r="I414" i="6"/>
  <c r="I397" i="6"/>
  <c r="I371" i="6"/>
  <c r="I347" i="6"/>
  <c r="I327" i="6"/>
  <c r="I303" i="6"/>
  <c r="I285" i="6"/>
  <c r="I261" i="6"/>
  <c r="I237" i="6"/>
  <c r="I216" i="6"/>
  <c r="I191" i="6"/>
  <c r="I173" i="6"/>
  <c r="I147" i="6"/>
  <c r="I123" i="6"/>
  <c r="I104" i="6"/>
  <c r="I80" i="6"/>
  <c r="I61" i="6"/>
  <c r="I33" i="6"/>
  <c r="E1169" i="6"/>
  <c r="I1187" i="6"/>
  <c r="J90" i="6"/>
  <c r="F970" i="6"/>
  <c r="F629" i="6"/>
  <c r="D324" i="6"/>
  <c r="I1318" i="6"/>
  <c r="C401" i="6"/>
  <c r="D8" i="6"/>
  <c r="C602" i="6"/>
  <c r="F903" i="6"/>
  <c r="D162" i="6"/>
  <c r="D491" i="6"/>
  <c r="D43" i="6"/>
  <c r="C223" i="6"/>
  <c r="D453" i="6"/>
  <c r="E1321" i="6"/>
  <c r="D543" i="6"/>
  <c r="D1031" i="6"/>
  <c r="C654" i="6"/>
  <c r="D87" i="6"/>
  <c r="J1334" i="6"/>
  <c r="D590" i="6"/>
  <c r="C532" i="6"/>
  <c r="J1011" i="6"/>
  <c r="C1368" i="6"/>
  <c r="J775" i="6"/>
  <c r="J876" i="6"/>
  <c r="F161" i="6"/>
  <c r="D1201" i="6"/>
  <c r="F579" i="6"/>
  <c r="F523" i="6"/>
  <c r="E758" i="6"/>
  <c r="E12" i="6"/>
  <c r="E22" i="6"/>
  <c r="E34" i="6"/>
  <c r="E44" i="6"/>
  <c r="E54" i="6"/>
  <c r="E66" i="6"/>
  <c r="E76" i="6"/>
  <c r="E86" i="6"/>
  <c r="E98" i="6"/>
  <c r="E108" i="6"/>
  <c r="E118" i="6"/>
  <c r="E130" i="6"/>
  <c r="E140" i="6"/>
  <c r="E150" i="6"/>
  <c r="E162" i="6"/>
  <c r="E172" i="6"/>
  <c r="E182" i="6"/>
  <c r="E194" i="6"/>
  <c r="E204" i="6"/>
  <c r="E214" i="6"/>
  <c r="E226" i="6"/>
  <c r="E236" i="6"/>
  <c r="E246" i="6"/>
  <c r="E262" i="6"/>
  <c r="E276" i="6"/>
  <c r="E286" i="6"/>
  <c r="E298" i="6"/>
  <c r="E308" i="6"/>
  <c r="E318" i="6"/>
  <c r="E330" i="6"/>
  <c r="E340" i="6"/>
  <c r="E350" i="6"/>
  <c r="E362" i="6"/>
  <c r="E372" i="6"/>
  <c r="E382" i="6"/>
  <c r="E394" i="6"/>
  <c r="E404" i="6"/>
  <c r="E414" i="6"/>
  <c r="E426" i="6"/>
  <c r="E436" i="6"/>
  <c r="E446" i="6"/>
  <c r="E458" i="6"/>
  <c r="E468" i="6"/>
  <c r="E478" i="6"/>
  <c r="E490" i="6"/>
  <c r="I1127" i="6"/>
  <c r="I608" i="6"/>
  <c r="I775" i="6"/>
  <c r="I1019" i="6"/>
  <c r="I704" i="6"/>
  <c r="I1070" i="6"/>
  <c r="I1085" i="6"/>
  <c r="I1116" i="6"/>
  <c r="I1092" i="6"/>
  <c r="I1153" i="6"/>
  <c r="I1093" i="6"/>
  <c r="I759" i="6"/>
  <c r="I713" i="6"/>
  <c r="I1112" i="6"/>
  <c r="I1094" i="6"/>
  <c r="I1143" i="6"/>
  <c r="I1082" i="6"/>
  <c r="I1140" i="6"/>
  <c r="I1015" i="6"/>
  <c r="I795" i="6"/>
  <c r="I768" i="6"/>
  <c r="I741" i="6"/>
  <c r="I718" i="6"/>
  <c r="I696" i="6"/>
  <c r="I677" i="6"/>
  <c r="I657" i="6"/>
  <c r="I639" i="6"/>
  <c r="I618" i="6"/>
  <c r="I603" i="6"/>
  <c r="I573" i="6"/>
  <c r="I553" i="6"/>
  <c r="I525" i="6"/>
  <c r="I499" i="6"/>
  <c r="I481" i="6"/>
  <c r="I456" i="6"/>
  <c r="I437" i="6"/>
  <c r="I413" i="6"/>
  <c r="I389" i="6"/>
  <c r="I369" i="6"/>
  <c r="I345" i="6"/>
  <c r="I326" i="6"/>
  <c r="I302" i="6"/>
  <c r="I277" i="6"/>
  <c r="I257" i="6"/>
  <c r="I232" i="6"/>
  <c r="I215" i="6"/>
  <c r="I190" i="6"/>
  <c r="I166" i="6"/>
  <c r="I145" i="6"/>
  <c r="I121" i="6"/>
  <c r="I103" i="6"/>
  <c r="I79" i="6"/>
  <c r="I55" i="6"/>
  <c r="I31" i="6"/>
  <c r="E1188" i="6"/>
  <c r="I1185" i="6"/>
  <c r="J250" i="6"/>
  <c r="I1354" i="6"/>
  <c r="I1340" i="6"/>
  <c r="D60" i="6"/>
  <c r="C131" i="6"/>
  <c r="C240" i="6"/>
  <c r="C107" i="6"/>
  <c r="C215" i="6"/>
  <c r="D894" i="6"/>
  <c r="I1254" i="6"/>
  <c r="D699" i="6"/>
  <c r="C86" i="6"/>
  <c r="D186" i="6"/>
  <c r="D1060" i="6"/>
  <c r="C220" i="6"/>
  <c r="C859" i="6"/>
  <c r="C538" i="6"/>
  <c r="C870" i="6"/>
  <c r="C481" i="6"/>
  <c r="D1253" i="6"/>
  <c r="F1182" i="6"/>
  <c r="E1356" i="6"/>
  <c r="D756" i="6"/>
  <c r="C1370" i="6"/>
  <c r="J823" i="6"/>
  <c r="J547" i="6"/>
  <c r="F867" i="6"/>
  <c r="F23" i="6"/>
  <c r="F1359" i="6"/>
  <c r="F182" i="6"/>
  <c r="S100" i="6" l="1"/>
  <c r="F5" i="6"/>
  <c r="E5" i="6"/>
  <c r="D5" i="6"/>
  <c r="I5" i="6"/>
  <c r="J5" i="6"/>
  <c r="C5"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<sst xmlns="http://schemas.openxmlformats.org/spreadsheetml/2006/main" count="212" uniqueCount="95">
  <si>
    <t>Important notice</t>
  </si>
  <si>
    <t>Interpretation</t>
  </si>
  <si>
    <r>
      <t xml:space="preserve">For any queries regarding this report, please contact </t>
    </r>
    <r>
      <rPr>
        <b/>
        <u/>
        <sz val="10"/>
        <color theme="5"/>
        <rFont val="Arial Nova"/>
        <family val="2"/>
        <scheme val="minor"/>
      </rPr>
      <t>NEMIntervention@aemo.com.au</t>
    </r>
  </si>
  <si>
    <t>Summary and directions assesment (system security)</t>
  </si>
  <si>
    <t>Table 1          Information about Registered Participants not being able to comply with directions</t>
  </si>
  <si>
    <t>Information about Registered Participant not being able to comply with directions</t>
  </si>
  <si>
    <t>Report Event</t>
  </si>
  <si>
    <t>Directed unit</t>
  </si>
  <si>
    <t>Directed Participant</t>
  </si>
  <si>
    <t>Region</t>
  </si>
  <si>
    <t>Issue time</t>
  </si>
  <si>
    <t>Effective time</t>
  </si>
  <si>
    <t>Cancellation time</t>
  </si>
  <si>
    <t>Information regarding any notification by a Registered Participant about their inability to comply with direction</t>
  </si>
  <si>
    <t>Comment</t>
  </si>
  <si>
    <t>MINTARO</t>
  </si>
  <si>
    <t>Synergen Power Pty Limited</t>
  </si>
  <si>
    <t>SA1</t>
  </si>
  <si>
    <t xml:space="preserve">Trader advised that MINTARO had a failed start and would not be available until at least 1300 hrs but could be longer. </t>
  </si>
  <si>
    <t xml:space="preserve">Given uncertainty regarding the return of availability from MINTARO, AEMO cancelled the direction to MINTARO and directed QPS5 instead to synchronise for the remainder of the pre-dispatch period. </t>
  </si>
  <si>
    <t>TORRB4</t>
  </si>
  <si>
    <t>AGL SA Generation Pty Limited</t>
  </si>
  <si>
    <t xml:space="preserve">Due to a rebid from PPCCGT to remain commercial until 0900 hrs on 27/5/2023, AEMO revised direction times for TORRB4. Trader advised that TORRB4 was unable to comply with the revised direction time as unit could not shut down and resynchronise in the timeframe. </t>
  </si>
  <si>
    <t xml:space="preserve">Direction to TORRB4 was cancelled. Instead, AEMO directed PPCCGT to remain syncrhonise from 0900 hrs and MINTARO to synchronise at 0830 hrs. </t>
  </si>
  <si>
    <t xml:space="preserve">Table 2          Summary of South Australian system security directions (energy only) and the circumstances giving rise to the need for direction. </t>
  </si>
  <si>
    <t>Summary of system security directions</t>
  </si>
  <si>
    <t>Reason</t>
  </si>
  <si>
    <t>Direction instruction</t>
  </si>
  <si>
    <t>Market Notice for the latest time to intervene</t>
  </si>
  <si>
    <t>System security</t>
  </si>
  <si>
    <t>Synchronise</t>
  </si>
  <si>
    <t>MN 107682</t>
  </si>
  <si>
    <t>Remain</t>
  </si>
  <si>
    <t>MN 107692</t>
  </si>
  <si>
    <t>MN 107755</t>
  </si>
  <si>
    <t>MN 107761</t>
  </si>
  <si>
    <t>MN 107842</t>
  </si>
  <si>
    <t>MN 107870</t>
  </si>
  <si>
    <t>MN 107891</t>
  </si>
  <si>
    <t>MN 107957</t>
  </si>
  <si>
    <t>MN 107962</t>
  </si>
  <si>
    <t>MN 108011</t>
  </si>
  <si>
    <t>QPS5</t>
  </si>
  <si>
    <t>Origin Energy Electricity Limited</t>
  </si>
  <si>
    <t>MN 108011. Unit was directed to synchronise due to failed start of MINTARO.</t>
  </si>
  <si>
    <t>MN 108188</t>
  </si>
  <si>
    <t>PPCCGT</t>
  </si>
  <si>
    <t>Pelican Point Power Limited</t>
  </si>
  <si>
    <t>Directions cost &amp; directed MWh (system security)</t>
  </si>
  <si>
    <r>
      <rPr>
        <vertAlign val="superscript"/>
        <sz val="7"/>
        <rFont val="Arial Nova"/>
        <family val="2"/>
        <scheme val="minor"/>
      </rPr>
      <t>1</t>
    </r>
    <r>
      <rPr>
        <sz val="7"/>
        <rFont val="Arial Nova"/>
        <family val="2"/>
        <scheme val="minor"/>
      </rPr>
      <t xml:space="preserve">  Compensation recovery amounts are calculated in accordance with NER 3.15.8(a). CRA = Directions compensation payment - Retained trading amount + Additional compensation + IE fees.</t>
    </r>
  </si>
  <si>
    <r>
      <rPr>
        <vertAlign val="superscript"/>
        <sz val="7"/>
        <rFont val="Arial Nova"/>
        <family val="2"/>
        <scheme val="minor"/>
      </rPr>
      <t>2</t>
    </r>
    <r>
      <rPr>
        <sz val="7"/>
        <rFont val="Arial Nova"/>
        <family val="2"/>
        <scheme val="minor"/>
      </rPr>
      <t xml:space="preserve">  AEMO, Direction Compensation Recovery, available at</t>
    </r>
    <r>
      <rPr>
        <sz val="7"/>
        <color theme="6"/>
        <rFont val="Arial Nova"/>
        <family val="2"/>
        <scheme val="minor"/>
      </rPr>
      <t xml:space="preserve"> </t>
    </r>
    <r>
      <rPr>
        <u/>
        <sz val="7"/>
        <color theme="6"/>
        <rFont val="Arial Nova"/>
        <family val="2"/>
        <scheme val="minor"/>
      </rPr>
      <t>https://aemo.com.au/en/energy-systems/electricity/national-electricity-market-nem/data-nem/settlements-data/direction-compensation-recovery</t>
    </r>
    <r>
      <rPr>
        <u/>
        <sz val="7"/>
        <color theme="10"/>
        <rFont val="Arial Nova"/>
        <family val="2"/>
        <scheme val="minor"/>
      </rPr>
      <t>.</t>
    </r>
  </si>
  <si>
    <r>
      <rPr>
        <vertAlign val="superscript"/>
        <sz val="7"/>
        <rFont val="Arial Nova"/>
        <family val="2"/>
        <scheme val="minor"/>
      </rPr>
      <t>3</t>
    </r>
    <r>
      <rPr>
        <sz val="7"/>
        <rFont val="Arial Nova"/>
        <family val="2"/>
        <scheme val="minor"/>
      </rPr>
      <t xml:space="preserve">  In this table, direction start intervals refer to the times AEMO issued the direction, while direction end intervals refer to the times when AEMO cancelled the respective direction events.</t>
    </r>
  </si>
  <si>
    <r>
      <rPr>
        <vertAlign val="superscript"/>
        <sz val="7"/>
        <rFont val="Arial Nova"/>
        <family val="2"/>
        <scheme val="minor"/>
      </rPr>
      <t>4</t>
    </r>
    <r>
      <rPr>
        <sz val="7"/>
        <rFont val="Arial Nova"/>
        <family val="2"/>
        <scheme val="minor"/>
      </rPr>
      <t xml:space="preserve">  Current design of the settlements system involves calculation and payment of trading amounts to directed generators during the period of direction, that is, trading amounts are calculated and paid as normal using spot or ancillary service prices, as though there was no direction.</t>
    </r>
  </si>
  <si>
    <r>
      <rPr>
        <vertAlign val="superscript"/>
        <sz val="7"/>
        <rFont val="Arial Nova"/>
        <family val="2"/>
        <scheme val="minor"/>
      </rPr>
      <t>5</t>
    </r>
    <r>
      <rPr>
        <sz val="7"/>
        <rFont val="Arial Nova"/>
        <family val="2"/>
        <scheme val="minor"/>
      </rPr>
      <t xml:space="preserve">  Directed Participant is entitled to claim for additional compensation in accordance with NER 3.15.7B.</t>
    </r>
  </si>
  <si>
    <t>Table 3          Summary of CRA and directed MWh in South Australia between 2 May 2023 and 27 May 2023</t>
  </si>
  <si>
    <t>Year</t>
  </si>
  <si>
    <t>Month</t>
  </si>
  <si>
    <r>
      <t>Direction start interval</t>
    </r>
    <r>
      <rPr>
        <b/>
        <vertAlign val="superscript"/>
        <sz val="10"/>
        <color theme="0"/>
        <rFont val="Arial Nova"/>
        <family val="2"/>
        <scheme val="minor"/>
      </rPr>
      <t>3</t>
    </r>
  </si>
  <si>
    <r>
      <t>Direction end interval</t>
    </r>
    <r>
      <rPr>
        <b/>
        <vertAlign val="superscript"/>
        <sz val="10"/>
        <color theme="0"/>
        <rFont val="Arial Nova"/>
        <family val="2"/>
        <scheme val="minor"/>
      </rPr>
      <t>3</t>
    </r>
  </si>
  <si>
    <t>Directed MWh</t>
  </si>
  <si>
    <t>Directions compensation payment ($)</t>
  </si>
  <si>
    <r>
      <t>Retained trading amount ($)</t>
    </r>
    <r>
      <rPr>
        <b/>
        <vertAlign val="superscript"/>
        <sz val="10"/>
        <color theme="0"/>
        <rFont val="Arial Nova"/>
        <family val="2"/>
        <scheme val="minor"/>
      </rPr>
      <t>4</t>
    </r>
  </si>
  <si>
    <r>
      <t>Additional compensation ($)</t>
    </r>
    <r>
      <rPr>
        <b/>
        <vertAlign val="superscript"/>
        <sz val="10"/>
        <color theme="0"/>
        <rFont val="Arial Nova"/>
        <family val="2"/>
        <scheme val="minor"/>
      </rPr>
      <t>5</t>
    </r>
  </si>
  <si>
    <t>Independent expert fee ($)</t>
  </si>
  <si>
    <t>Compensation recovery amount ($)</t>
  </si>
  <si>
    <t>Directions process adequacy</t>
  </si>
  <si>
    <r>
      <rPr>
        <sz val="7"/>
        <rFont val="Arial Nova"/>
        <family val="2"/>
        <scheme val="minor"/>
      </rPr>
      <t xml:space="preserve">1 AEMO. Power system operating procedure SO_OP 3707, “Procedures For Issue Of Directions And Clause 4.8.9 Instructions”, 06 September 2019, available at </t>
    </r>
    <r>
      <rPr>
        <u/>
        <sz val="7"/>
        <color theme="10"/>
        <rFont val="Arial Nova"/>
        <family val="2"/>
        <scheme val="minor"/>
      </rPr>
      <t xml:space="preserve"> </t>
    </r>
    <r>
      <rPr>
        <u/>
        <sz val="7"/>
        <color theme="6"/>
        <rFont val="Arial Nova"/>
        <family val="2"/>
        <scheme val="minor"/>
      </rPr>
      <t>https://aemo.com.au/-/media/files/electricity/nem/security_and_reliability/power_system_ops/procedures/so_op_3707-procedures-for-issue-of-directions-and-clause-4-8-9-instructions.pdf?la=en</t>
    </r>
    <r>
      <rPr>
        <u/>
        <sz val="7"/>
        <color theme="10"/>
        <rFont val="Arial Nova"/>
        <family val="2"/>
        <scheme val="minor"/>
      </rPr>
      <t>.</t>
    </r>
  </si>
  <si>
    <t>Directions recovery rates</t>
  </si>
  <si>
    <t>reporting period start:</t>
  </si>
  <si>
    <t>reporting period end:</t>
  </si>
  <si>
    <t>Recovery rate ($/MWh)</t>
  </si>
  <si>
    <t>date &amp; time</t>
  </si>
  <si>
    <t>VIC1</t>
  </si>
  <si>
    <t>NSW1</t>
  </si>
  <si>
    <t>TAS1</t>
  </si>
  <si>
    <t>QLD1</t>
  </si>
  <si>
    <t>Version History</t>
  </si>
  <si>
    <t>Version number</t>
  </si>
  <si>
    <t>Date</t>
  </si>
  <si>
    <t>Description</t>
  </si>
  <si>
    <t>Directions report: 2/5/2023-27/5/2023</t>
  </si>
  <si>
    <t>DIRECTION ID</t>
  </si>
  <si>
    <t>START</t>
  </si>
  <si>
    <t>END</t>
  </si>
  <si>
    <t>COST ($)</t>
  </si>
  <si>
    <t>QUANTITY (MWh)</t>
  </si>
  <si>
    <t>REGIONAL CONS. (MWh)</t>
  </si>
  <si>
    <t>REGIONAL RATE ($/MWh)</t>
  </si>
  <si>
    <t>REGION</t>
  </si>
  <si>
    <t>STATUS</t>
  </si>
  <si>
    <t>D2021577</t>
  </si>
  <si>
    <t>D2021578</t>
  </si>
  <si>
    <t>D2021579</t>
  </si>
  <si>
    <t>D2021575</t>
  </si>
  <si>
    <t>D2021576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</si>
</sst>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quot;$&quot;* #,##0.00_-;\-&quot;$&quot;* #,##0.00_-;_-&quot;$&quot;* &quot;-&quot;??_-;_-@_-"/>
    <numFmt numFmtId="165" formatCode="_-* #,##0.00_-;\-* #,##0.00_-;_-* &quot;-&quot;??_-;_-@_-"/>
    <numFmt numFmtId="166" formatCode="_-* #,##0_-;\-* #,##0_-;_-* &quot;-&quot;??_-;_-@_-"/>
    <numFmt numFmtId="167" formatCode="dd/mm/yyyy\ hh:mm"/>
    <numFmt numFmtId="168" formatCode="_-[$$-C09]* #,##0_-;\-[$$-C09]* #,##0_-;_-[$$-C09]* &quot;-&quot;??_-;_-@_-"/>
    <numFmt numFmtId="169" formatCode="&quot;$&quot;#,##0.00"/>
    <numFmt numFmtId="170" formatCode="_-* #,##0.0_-;\-* #,##0.0_-;_-* &quot;-&quot;??_-;_-@_-"/>
    <numFmt numFmtId="171" formatCode="0.0"/>
    <numFmt numFmtId="172" formatCode="yyyymmdd"/>
    <numFmt numFmtId="173" formatCode="&quot;$&quot;#,##0"/>
    <numFmt numFmtId="174" formatCode="&quot;$&quot;#,##0.0000"/>
    <numFmt numFmtId="175" formatCode="dd/mm/yyyy\ hh:mm\ "/>
    <numFmt numFmtId="176" formatCode="0.00000000000"/>
    <numFmt numFmtId="177" formatCode="0.00000000000000000000000000000"/>
  </numFmts>
  <fonts count="32">
    <font>
      <sz val="11"/>
      <color theme="1"/>
      <name val="Arial Nova"/>
      <family val="2"/>
      <scheme val="minor"/>
    </font>
    <font>
      <sz val="8"/>
      <name val="Arial Nova"/>
      <family val="2"/>
      <scheme val="minor"/>
    </font>
    <font>
      <sz val="11"/>
      <color theme="1"/>
      <name val="Arial Nova"/>
      <family val="2"/>
      <scheme val="minor"/>
    </font>
    <font>
      <b/>
      <sz val="11"/>
      <color theme="0"/>
      <name val="Arial Nova"/>
      <family val="2"/>
      <scheme val="minor"/>
    </font>
    <font>
      <b/>
      <sz val="11"/>
      <color theme="1"/>
      <name val="Arial Nova"/>
      <family val="2"/>
      <scheme val="minor"/>
    </font>
    <font>
      <sz val="11"/>
      <color rgb="FFFF0000"/>
      <name val="Arial Nova"/>
      <family val="2"/>
      <scheme val="minor"/>
    </font>
    <font>
      <b/>
      <sz val="16"/>
      <color theme="4"/>
      <name val="Arial Nova"/>
      <family val="2"/>
      <scheme val="minor"/>
    </font>
    <font>
      <b/>
      <sz val="15"/>
      <color theme="3"/>
      <name val="Arial Nova"/>
      <family val="2"/>
      <scheme val="minor"/>
    </font>
    <font>
      <b/>
      <sz val="18"/>
      <name val="Arial Nova"/>
      <family val="2"/>
      <scheme val="minor"/>
    </font>
    <font>
      <b/>
      <sz val="12"/>
      <name val="Tw Cen MT"/>
      <family val="2"/>
    </font>
    <font>
      <sz val="8"/>
      <name val="Tw Cen MT"/>
      <family val="2"/>
    </font>
    <font>
      <sz val="11"/>
      <color rgb="FF000000"/>
      <name val="Arial Nova"/>
      <family val="2"/>
      <scheme val="minor"/>
    </font>
    <font>
      <b/>
      <u/>
      <sz val="18"/>
      <name val="Arial Nova"/>
      <family val="2"/>
      <scheme val="minor"/>
    </font>
    <font>
      <u/>
      <sz val="11"/>
      <color theme="10"/>
      <name val="Arial Nova"/>
      <family val="2"/>
      <scheme val="minor"/>
    </font>
    <font>
      <b/>
      <sz val="18"/>
      <name val="Century Gothic"/>
      <family val="2"/>
      <scheme val="major"/>
    </font>
    <font>
      <b/>
      <sz val="14"/>
      <color rgb="FFA3519B"/>
      <name val="Century Gothic"/>
      <family val="2"/>
      <scheme val="major"/>
    </font>
    <font>
      <b/>
      <sz val="10"/>
      <color theme="0"/>
      <name val="Arial Nova"/>
      <family val="2"/>
      <scheme val="minor"/>
    </font>
    <font>
      <sz val="9"/>
      <color theme="1"/>
      <name val="Arial Nova"/>
      <family val="2"/>
      <scheme val="minor"/>
    </font>
    <font>
      <vertAlign val="superscript"/>
      <sz val="7"/>
      <name val="Arial Nova"/>
      <family val="2"/>
      <scheme val="minor"/>
    </font>
    <font>
      <sz val="7"/>
      <name val="Arial Nova"/>
      <family val="2"/>
      <scheme val="minor"/>
    </font>
    <font>
      <sz val="7"/>
      <color theme="6"/>
      <name val="Arial Nova"/>
      <family val="2"/>
      <scheme val="minor"/>
    </font>
    <font>
      <u/>
      <sz val="7"/>
      <color theme="6"/>
      <name val="Arial Nova"/>
      <family val="2"/>
      <scheme val="minor"/>
    </font>
    <font>
      <u/>
      <sz val="7"/>
      <color theme="10"/>
      <name val="Arial Nova"/>
      <family val="2"/>
      <scheme val="minor"/>
    </font>
    <font>
      <b/>
      <sz val="9"/>
      <color theme="1"/>
      <name val="Arial Nova"/>
      <family val="2"/>
      <scheme val="minor"/>
    </font>
    <font>
      <b/>
      <sz val="11"/>
      <color rgb="FFFFFFFF"/>
      <name val="Arial Nova"/>
      <family val="2"/>
      <scheme val="minor"/>
    </font>
    <font>
      <b/>
      <sz val="9"/>
      <color rgb="FF000000"/>
      <name val="Arial Nova"/>
      <family val="2"/>
      <scheme val="minor"/>
    </font>
    <font>
      <sz val="10"/>
      <color theme="1"/>
      <name val="Arial Nova"/>
      <family val="2"/>
      <scheme val="minor"/>
    </font>
    <font>
      <b/>
      <vertAlign val="superscript"/>
      <sz val="10"/>
      <color theme="0"/>
      <name val="Arial Nova"/>
      <family val="2"/>
      <scheme val="minor"/>
    </font>
    <font>
      <b/>
      <sz val="9"/>
      <color theme="4"/>
      <name val="Arial Nova"/>
      <family val="2"/>
      <scheme val="minor"/>
    </font>
    <font>
      <b/>
      <u/>
      <sz val="10"/>
      <color theme="5"/>
      <name val="Arial Nova"/>
      <family val="2"/>
      <scheme val="minor"/>
    </font>
    <font>
      <b/>
      <sz val="9"/>
      <name val="Arial Nova"/>
      <family val="2"/>
      <scheme val="minor"/>
    </font>
    <font>
      <sz val="9"/>
      <name val="Arial Nova"/>
      <family val="2"/>
      <scheme val="minor"/>
    </font>
  </fonts>
  <fills count="1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6B3077"/>
        <bgColor indexed="64"/>
      </patternFill>
    </fill>
    <fill>
      <patternFill patternType="solid">
        <fgColor rgb="FF92D050"/>
        <bgColor indexed="64"/>
      </patternFill>
    </fill>
    <fill>
      <patternFill patternType="solid">
        <fgColor rgb="FF6B3077"/>
        <bgColor rgb="FF000000"/>
      </patternFill>
    </fill>
    <fill>
      <patternFill patternType="solid">
        <fgColor rgb="FFD9D9D9"/>
        <bgColor rgb="FF000000"/>
      </patternFill>
    </fill>
    <fill>
      <patternFill patternType="solid">
        <fgColor theme="4"/>
        <bgColor indexed="64"/>
      </patternFill>
    </fill>
    <fill>
      <patternFill patternType="solid">
        <fgColor theme="0"/>
        <bgColor indexed="64"/>
      </patternFill>
    </fill>
    <fill>
      <patternFill patternType="solid">
        <fgColor theme="5" tint="0.79998168889431442"/>
        <bgColor indexed="64"/>
      </patternFill>
    </fill>
  </fills>
  <borders count="13">
    <border>
      <left/>
      <right/>
      <top/>
      <bottom/>
      <diagonal/>
    </border>
    <border>
      <left style="dotted">
        <color indexed="64"/>
      </left>
      <right style="dotted">
        <color indexed="64"/>
      </right>
      <top style="dotted">
        <color indexed="64"/>
      </top>
      <bottom style="dotted">
        <color indexed="64"/>
      </bottom>
      <diagonal/>
    </border>
    <border>
      <left/>
      <right/>
      <top/>
      <bottom style="thin">
        <color theme="4"/>
      </bottom>
      <diagonal/>
    </border>
    <border>
      <left/>
      <right/>
      <top/>
      <bottom style="thick">
        <color theme="4"/>
      </bottom>
      <diagonal/>
    </border>
    <border>
      <left/>
      <right/>
      <top/>
      <bottom style="medium">
        <color theme="4"/>
      </bottom>
      <diagonal/>
    </border>
    <border>
      <left/>
      <right/>
      <top style="medium">
        <color theme="0"/>
      </top>
      <bottom style="medium">
        <color theme="0"/>
      </bottom>
      <diagonal/>
    </border>
    <border>
      <left/>
      <right/>
      <top/>
      <bottom style="thin">
        <color indexed="64"/>
      </bottom>
      <diagonal/>
    </border>
    <border>
      <left style="medium">
        <color theme="0"/>
      </left>
      <right style="medium">
        <color theme="0"/>
      </right>
      <top style="medium">
        <color theme="0"/>
      </top>
      <bottom style="medium">
        <color theme="0"/>
      </bottom>
      <diagonal/>
    </border>
    <border>
      <left/>
      <right/>
      <top/>
      <bottom style="thin">
        <color theme="5" tint="0.79998168889431442"/>
      </bottom>
      <diagonal/>
    </border>
    <border>
      <left/>
      <right/>
      <top style="thin">
        <color theme="5" tint="0.79998168889431442"/>
      </top>
      <bottom style="thin">
        <color theme="5" tint="0.79998168889431442"/>
      </bottom>
      <diagonal/>
    </border>
    <border>
      <left style="medium">
        <color rgb="FF6B3077"/>
      </left>
      <right style="medium">
        <color rgb="FF6B3077"/>
      </right>
      <top style="medium">
        <color rgb="FF6B3077"/>
      </top>
      <bottom style="medium">
        <color rgb="FF6B3077"/>
      </bottom>
      <diagonal/>
    </border>
    <border>
      <left/>
      <right/>
      <top style="thin">
        <color theme="4"/>
      </top>
      <bottom style="thin">
        <color theme="5" tint="0.79998168889431442"/>
      </bottom>
      <diagonal/>
    </border>
    <border>
      <left/>
      <right/>
      <top style="thin">
        <color indexed="64"/>
      </top>
      <bottom style="hair">
        <color indexed="64"/>
      </bottom>
      <diagonal/>
    </border>
  </borders>
  <cellStyleXfs count="10">
    <xf numFmtId="0" fontId="0" fillId="0" borderId="0"/>
    <xf numFmtId="164" fontId="2" fillId="0" borderId="0" applyFont="0" applyFill="0" applyBorder="0" applyAlignment="0" applyProtection="0"/>
    <xf numFmtId="165" fontId="2" fillId="0" borderId="0" applyFont="0" applyFill="0" applyBorder="0" applyAlignment="0" applyProtection="0"/>
    <xf numFmtId="164" fontId="2" fillId="0" borderId="0" applyFont="0" applyFill="0" applyBorder="0" applyAlignment="0" applyProtection="0"/>
    <xf numFmtId="165" fontId="2" fillId="0" borderId="0" applyFont="0" applyFill="0" applyBorder="0" applyAlignment="0" applyProtection="0"/>
    <xf numFmtId="0" fontId="7" fillId="0" borderId="3" applyNumberFormat="0" applyFill="0" applyAlignment="0" applyProtection="0"/>
    <xf numFmtId="0" fontId="9" fillId="9" borderId="5">
      <alignment horizontal="left" vertical="center" wrapText="1"/>
    </xf>
    <xf numFmtId="170" fontId="10" fillId="0" borderId="7" applyNumberFormat="0" applyAlignment="0">
      <alignment horizontal="center"/>
    </xf>
    <xf numFmtId="0" fontId="11" fillId="0" borderId="0"/>
    <xf numFmtId="0" fontId="13" fillId="0" borderId="0" applyNumberFormat="0" applyFill="0" applyBorder="0" applyAlignment="0" applyProtection="0"/>
  </cellStyleXfs>
  <cellXfs count="73">
    <xf numFmtId="0" fontId="0" fillId="0" borderId="0" xfId="0"/>
    <xf numFmtId="166" fontId="0" fillId="0" borderId="0" xfId="2" applyNumberFormat="1" applyFont="1"/>
    <xf numFmtId="164" fontId="0" fillId="0" borderId="0" xfId="1" applyFont="1"/>
    <xf numFmtId="167" fontId="0" fillId="0" borderId="0" xfId="0" applyNumberFormat="1"/>
    <xf numFmtId="168" fontId="0" fillId="0" borderId="0" xfId="0" applyNumberFormat="1"/>
    <xf numFmtId="0" fontId="4" fillId="2" borderId="0" xfId="0" applyFont="1" applyFill="1" applyAlignment="1">
      <alignment horizontal="center" vertical="center"/>
    </xf>
    <xf numFmtId="0" fontId="3" fillId="4" borderId="0" xfId="0" applyFont="1" applyFill="1" applyAlignment="1">
      <alignment horizontal="center" vertical="center"/>
    </xf>
    <xf numFmtId="0" fontId="0" fillId="0" borderId="1" xfId="0" applyBorder="1" applyAlignment="1">
      <alignment horizontal="center"/>
    </xf>
    <xf numFmtId="167" fontId="0" fillId="0" borderId="1" xfId="0" applyNumberFormat="1" applyBorder="1" applyAlignment="1">
      <alignment horizontal="center"/>
    </xf>
    <xf numFmtId="169" fontId="0" fillId="0" borderId="1" xfId="0" applyNumberFormat="1" applyBorder="1" applyAlignment="1">
      <alignment horizontal="center"/>
    </xf>
    <xf numFmtId="2" fontId="0" fillId="0" borderId="1" xfId="0" applyNumberFormat="1" applyBorder="1" applyAlignment="1">
      <alignment horizontal="center"/>
    </xf>
    <xf numFmtId="168" fontId="0" fillId="0" borderId="1" xfId="0" applyNumberFormat="1" applyBorder="1" applyAlignment="1">
      <alignment horizontal="center"/>
    </xf>
    <xf numFmtId="0" fontId="0" fillId="0" borderId="0" xfId="0" applyAlignment="1">
      <alignment wrapText="1"/>
    </xf>
    <xf numFmtId="167" fontId="0" fillId="2" borderId="1" xfId="0" applyNumberFormat="1" applyFill="1" applyBorder="1" applyAlignment="1">
      <alignment horizontal="center"/>
    </xf>
    <xf numFmtId="169" fontId="0" fillId="2" borderId="1" xfId="0" applyNumberFormat="1" applyFill="1" applyBorder="1" applyAlignment="1">
      <alignment horizontal="center"/>
    </xf>
    <xf numFmtId="169" fontId="0" fillId="0" borderId="0" xfId="0" applyNumberFormat="1" applyAlignment="1">
      <alignment horizontal="center"/>
    </xf>
    <xf numFmtId="169" fontId="5" fillId="0" borderId="1" xfId="0" applyNumberFormat="1" applyFont="1" applyBorder="1" applyAlignment="1">
      <alignment horizontal="center"/>
    </xf>
    <xf numFmtId="14" fontId="0" fillId="0" borderId="0" xfId="0" applyNumberFormat="1" applyAlignment="1">
      <alignment horizontal="center"/>
    </xf>
    <xf numFmtId="14" fontId="0" fillId="5" borderId="0" xfId="0" applyNumberFormat="1" applyFill="1" applyAlignment="1">
      <alignment horizontal="center"/>
    </xf>
    <xf numFmtId="22" fontId="0" fillId="0" borderId="0" xfId="0" applyNumberFormat="1"/>
    <xf numFmtId="0" fontId="6" fillId="0" borderId="0" xfId="0" applyFont="1"/>
    <xf numFmtId="169" fontId="0" fillId="0" borderId="0" xfId="0" applyNumberFormat="1"/>
    <xf numFmtId="0" fontId="8" fillId="9" borderId="4" xfId="5" applyFont="1" applyFill="1" applyBorder="1"/>
    <xf numFmtId="0" fontId="12" fillId="9" borderId="4" xfId="5" applyFont="1" applyFill="1" applyBorder="1"/>
    <xf numFmtId="0" fontId="0" fillId="0" borderId="6" xfId="0" applyBorder="1"/>
    <xf numFmtId="0" fontId="14" fillId="9" borderId="4" xfId="5" applyFont="1" applyFill="1" applyBorder="1"/>
    <xf numFmtId="0" fontId="15" fillId="0" borderId="0" xfId="0" applyFont="1"/>
    <xf numFmtId="0" fontId="16" fillId="8" borderId="0" xfId="0" applyFont="1" applyFill="1" applyAlignment="1">
      <alignment horizontal="right"/>
    </xf>
    <xf numFmtId="0" fontId="17" fillId="0" borderId="8" xfId="0" applyFont="1" applyBorder="1" applyAlignment="1">
      <alignment horizontal="right"/>
    </xf>
    <xf numFmtId="172" fontId="17" fillId="0" borderId="8" xfId="0" applyNumberFormat="1" applyFont="1" applyBorder="1" applyAlignment="1">
      <alignment horizontal="right"/>
    </xf>
    <xf numFmtId="167" fontId="17" fillId="0" borderId="8" xfId="0" applyNumberFormat="1" applyFont="1" applyBorder="1" applyAlignment="1">
      <alignment horizontal="right" vertical="center"/>
    </xf>
    <xf numFmtId="166" fontId="17" fillId="0" borderId="8" xfId="2" applyNumberFormat="1" applyFont="1" applyFill="1" applyBorder="1" applyAlignment="1">
      <alignment horizontal="center" vertical="center"/>
    </xf>
    <xf numFmtId="173" fontId="17" fillId="0" borderId="8" xfId="1" applyNumberFormat="1" applyFont="1" applyFill="1" applyBorder="1" applyAlignment="1">
      <alignment horizontal="right"/>
    </xf>
    <xf numFmtId="0" fontId="22" fillId="0" borderId="0" xfId="9" applyFont="1"/>
    <xf numFmtId="0" fontId="23" fillId="0" borderId="2" xfId="0" applyFont="1" applyBorder="1" applyAlignment="1">
      <alignment wrapText="1"/>
    </xf>
    <xf numFmtId="0" fontId="25" fillId="7" borderId="10" xfId="0" applyFont="1" applyFill="1" applyBorder="1" applyAlignment="1">
      <alignment horizontal="right" vertical="center" wrapText="1"/>
    </xf>
    <xf numFmtId="0" fontId="25" fillId="7" borderId="10" xfId="0" applyFont="1" applyFill="1" applyBorder="1" applyAlignment="1">
      <alignment horizontal="center" vertical="center" wrapText="1"/>
    </xf>
    <xf numFmtId="0" fontId="26" fillId="0" borderId="0" xfId="0" applyFont="1" applyAlignment="1">
      <alignment horizontal="center" vertical="center"/>
    </xf>
    <xf numFmtId="14" fontId="25" fillId="7" borderId="10" xfId="0" applyNumberFormat="1" applyFont="1" applyFill="1" applyBorder="1" applyAlignment="1">
      <alignment horizontal="center" vertical="center" wrapText="1"/>
    </xf>
    <xf numFmtId="166" fontId="0" fillId="0" borderId="0" xfId="0" applyNumberFormat="1"/>
    <xf numFmtId="0" fontId="19" fillId="0" borderId="0" xfId="9" applyFont="1" applyAlignment="1">
      <alignment horizontal="left"/>
    </xf>
    <xf numFmtId="176" fontId="0" fillId="0" borderId="0" xfId="0" applyNumberFormat="1"/>
    <xf numFmtId="177" fontId="0" fillId="0" borderId="0" xfId="0" applyNumberFormat="1"/>
    <xf numFmtId="0" fontId="23" fillId="0" borderId="2" xfId="0" applyFont="1" applyBorder="1" applyAlignment="1">
      <alignment vertical="center" wrapText="1"/>
    </xf>
    <xf numFmtId="0" fontId="23" fillId="0" borderId="0" xfId="0" applyFont="1" applyAlignment="1">
      <alignment vertical="center" wrapText="1"/>
    </xf>
    <xf numFmtId="0" fontId="16" fillId="8" borderId="0" xfId="0" applyFont="1" applyFill="1" applyAlignment="1">
      <alignment horizontal="right" wrapText="1"/>
    </xf>
    <xf numFmtId="173" fontId="17" fillId="3" borderId="8" xfId="1" applyNumberFormat="1" applyFont="1" applyFill="1" applyBorder="1" applyAlignment="1">
      <alignment horizontal="right"/>
    </xf>
    <xf numFmtId="0" fontId="28" fillId="0" borderId="0" xfId="0" applyFont="1" applyAlignment="1">
      <alignment vertical="top"/>
    </xf>
    <xf numFmtId="174" fontId="17" fillId="3" borderId="8" xfId="1" applyNumberFormat="1" applyFont="1" applyFill="1" applyBorder="1" applyAlignment="1">
      <alignment horizontal="center"/>
    </xf>
    <xf numFmtId="167" fontId="17" fillId="10" borderId="9" xfId="0" applyNumberFormat="1" applyFont="1" applyFill="1" applyBorder="1"/>
    <xf numFmtId="172" fontId="17" fillId="0" borderId="9" xfId="0" applyNumberFormat="1" applyFont="1" applyBorder="1" applyAlignment="1">
      <alignment horizontal="left"/>
    </xf>
    <xf numFmtId="0" fontId="14" fillId="9" borderId="4" xfId="5" applyFont="1" applyFill="1" applyBorder="1" applyAlignment="1"/>
    <xf numFmtId="0" fontId="26" fillId="0" borderId="0" xfId="0" applyFont="1" applyAlignment="1">
      <alignment horizontal="left" vertical="center"/>
    </xf>
    <xf numFmtId="0" fontId="26" fillId="0" borderId="0" xfId="0" applyFont="1"/>
    <xf numFmtId="0" fontId="30" fillId="9" borderId="6" xfId="6" applyFont="1" applyBorder="1">
      <alignment horizontal="left" vertical="center" wrapText="1"/>
    </xf>
    <xf numFmtId="167" fontId="17" fillId="0" borderId="9" xfId="0" applyNumberFormat="1" applyFont="1" applyBorder="1" applyAlignment="1">
      <alignment horizontal="left"/>
    </xf>
    <xf numFmtId="174" fontId="17" fillId="0" borderId="8" xfId="1" applyNumberFormat="1" applyFont="1" applyFill="1" applyBorder="1" applyAlignment="1">
      <alignment horizontal="center"/>
    </xf>
    <xf numFmtId="171" fontId="31" fillId="9" borderId="12" xfId="7" applyNumberFormat="1" applyFont="1" applyFill="1" applyBorder="1" applyAlignment="1">
      <alignment horizontal="left" wrapText="1"/>
    </xf>
    <xf numFmtId="14" fontId="31" fillId="9" borderId="12" xfId="7" applyNumberFormat="1" applyFont="1" applyFill="1" applyBorder="1" applyAlignment="1">
      <alignment horizontal="left" wrapText="1"/>
    </xf>
    <xf numFmtId="0" fontId="17" fillId="0" borderId="11" xfId="0" applyFont="1" applyBorder="1" applyAlignment="1">
      <alignment horizontal="left" wrapText="1"/>
    </xf>
    <xf numFmtId="0" fontId="17" fillId="0" borderId="8" xfId="0" applyFont="1" applyBorder="1" applyAlignment="1">
      <alignment horizontal="left" wrapText="1"/>
    </xf>
    <xf numFmtId="0" fontId="17" fillId="0" borderId="9" xfId="0" applyFont="1" applyBorder="1" applyAlignment="1">
      <alignment horizontal="left"/>
    </xf>
    <xf numFmtId="1" fontId="17" fillId="0" borderId="9" xfId="0" applyNumberFormat="1" applyFont="1" applyBorder="1" applyAlignment="1">
      <alignment horizontal="left" wrapText="1"/>
    </xf>
    <xf numFmtId="22" fontId="17" fillId="0" borderId="9" xfId="0" applyNumberFormat="1" applyFont="1" applyBorder="1" applyAlignment="1">
      <alignment horizontal="left" wrapText="1"/>
    </xf>
    <xf numFmtId="0" fontId="17" fillId="0" borderId="9" xfId="0" applyFont="1" applyBorder="1" applyAlignment="1">
      <alignment horizontal="left" wrapText="1"/>
    </xf>
    <xf numFmtId="175" fontId="0" fillId="0" borderId="0" xfId="0" applyNumberFormat="1"/>
    <xf numFmtId="0" fontId="14" fillId="9" borderId="4" xfId="5" applyFont="1" applyFill="1" applyBorder="1" applyAlignment="1">
      <alignment horizontal="left"/>
    </xf>
    <xf numFmtId="0" fontId="16" fillId="8" borderId="0" xfId="0" applyFont="1" applyFill="1" applyAlignment="1">
      <alignment horizontal="left"/>
    </xf>
    <xf numFmtId="0" fontId="23" fillId="0" borderId="2" xfId="0" applyFont="1" applyBorder="1" applyAlignment="1">
      <alignment horizontal="left" vertical="center" wrapText="1"/>
    </xf>
    <xf numFmtId="0" fontId="17" fillId="0" borderId="11" xfId="0" applyFont="1" applyBorder="1" applyAlignment="1">
      <alignment horizontal="left" wrapText="1"/>
    </xf>
    <xf numFmtId="1" fontId="17" fillId="0" borderId="8" xfId="0" applyNumberFormat="1" applyFont="1" applyBorder="1" applyAlignment="1">
      <alignment horizontal="left" wrapText="1"/>
    </xf>
    <xf numFmtId="0" fontId="22" fillId="0" borderId="0" xfId="9" applyFont="1" applyAlignment="1">
      <alignment horizontal="left" wrapText="1"/>
    </xf>
    <xf numFmtId="0" fontId="24" fillId="6" borderId="0" xfId="0" applyFont="1" applyFill="1" applyAlignment="1">
      <alignment horizontal="center" vertical="center" wrapText="1"/>
    </xf>
  </cellXfs>
  <cellStyles count="10">
    <cellStyle name="CellNum" xfId="7" xr:uid="{0D703E12-4E47-416D-B80C-4FC099A0728F}"/>
    <cellStyle name="Comma" xfId="2" builtinId="3"/>
    <cellStyle name="Comma 2" xfId="4" xr:uid="{E0C7BA3B-31E1-49EA-9593-181CF0E562B9}"/>
    <cellStyle name="Currency" xfId="1" builtinId="4"/>
    <cellStyle name="Currency 2" xfId="3" xr:uid="{F3D3F958-9606-47AC-BC53-2710E7F337CD}"/>
    <cellStyle name="Heading 1" xfId="5" builtinId="16"/>
    <cellStyle name="Hyperlink" xfId="9" builtinId="8"/>
    <cellStyle name="Normal" xfId="0" builtinId="0"/>
    <cellStyle name="Normal 2" xfId="8" xr:uid="{DD866C9C-D31C-4311-8995-AE63375C87E7}"/>
    <cellStyle name="TableHeader" xfId="6" xr:uid="{FF2A61A9-7853-463E-BAB0-8A50E40A9785}"/>
  </cellStyles>
  <dxfs count="13">
    <dxf>
      <font>
        <strike val="0"/>
        <outline val="0"/>
        <shadow val="0"/>
        <u val="none"/>
        <vertAlign val="baseline"/>
        <sz val="9"/>
        <color theme="1"/>
        <name val="Arial Nova"/>
        <family val="2"/>
        <scheme val="minor"/>
      </font>
      <numFmt numFmtId="0" formatCode="General"/>
      <fill>
        <patternFill patternType="none">
          <fgColor indexed="64"/>
          <bgColor auto="1"/>
        </patternFill>
      </fill>
      <border diagonalUp="0" diagonalDown="0" outline="0">
        <left style="thin">
          <color indexed="64"/>
        </left>
        <right/>
        <top/>
        <bottom/>
      </border>
    </dxf>
    <dxf>
      <font>
        <strike val="0"/>
        <outline val="0"/>
        <shadow val="0"/>
        <u val="none"/>
        <vertAlign val="baseline"/>
        <sz val="9"/>
        <color theme="1"/>
        <name val="Arial Nova"/>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Arial Nova"/>
        <family val="2"/>
        <scheme val="minor"/>
      </font>
      <numFmt numFmtId="178" formatCode="d/mm/yyyy\ h:mm"/>
      <border diagonalUp="0" diagonalDown="0">
        <left/>
        <right/>
        <top style="thin">
          <color theme="5" tint="0.79998168889431442"/>
        </top>
        <bottom style="thin">
          <color theme="5" tint="0.79998168889431442"/>
        </bottom>
        <vertical/>
        <horizontal/>
      </border>
    </dxf>
    <dxf>
      <font>
        <strike val="0"/>
        <outline val="0"/>
        <shadow val="0"/>
        <u val="none"/>
        <vertAlign val="baseline"/>
        <sz val="9"/>
        <color theme="1"/>
        <name val="Arial Nova"/>
        <family val="2"/>
        <scheme val="minor"/>
      </font>
      <numFmt numFmtId="167" formatCode="dd/mm/yyyy\ hh:mm"/>
      <fill>
        <patternFill patternType="none">
          <fgColor indexed="64"/>
          <bgColor auto="1"/>
        </patternFill>
      </fill>
    </dxf>
    <dxf>
      <font>
        <strike val="0"/>
        <outline val="0"/>
        <shadow val="0"/>
        <u val="none"/>
        <vertAlign val="baseline"/>
        <sz val="9"/>
        <color theme="1"/>
        <name val="Arial Nova"/>
        <family val="2"/>
        <scheme val="minor"/>
      </font>
      <numFmt numFmtId="167" formatCode="dd/mm/yyyy\ hh:mm"/>
      <fill>
        <patternFill patternType="none">
          <fgColor indexed="64"/>
          <bgColor auto="1"/>
        </patternFill>
      </fill>
    </dxf>
    <dxf>
      <font>
        <strike val="0"/>
        <outline val="0"/>
        <shadow val="0"/>
        <u val="none"/>
        <vertAlign val="baseline"/>
        <sz val="9"/>
        <color theme="1"/>
        <name val="Arial Nova"/>
        <family val="2"/>
        <scheme val="minor"/>
      </font>
      <numFmt numFmtId="167" formatCode="dd/mm/yyyy\ hh:mm"/>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border>
        <bottom style="thin">
          <color theme="4"/>
        </bottom>
      </border>
    </dxf>
    <dxf>
      <font>
        <strike val="0"/>
        <outline val="0"/>
        <shadow val="0"/>
        <u val="none"/>
        <vertAlign val="baseline"/>
        <sz val="9"/>
        <color theme="1"/>
        <name val="Arial Nova"/>
        <family val="2"/>
        <scheme val="minor"/>
      </font>
      <fill>
        <patternFill patternType="none">
          <fgColor indexed="64"/>
          <bgColor auto="1"/>
        </patternFill>
      </fill>
    </dxf>
    <dxf>
      <font>
        <b/>
        <strike val="0"/>
        <outline val="0"/>
        <shadow val="0"/>
        <u val="none"/>
        <vertAlign val="baseline"/>
        <sz val="9"/>
        <color theme="1"/>
        <name val="Arial Nova"/>
        <family val="2"/>
        <scheme val="minor"/>
      </font>
      <alignment horizontal="general" vertical="bottom" textRotation="0" wrapText="1" indent="0" justifyLastLine="0" shrinkToFit="0" readingOrder="0"/>
    </dxf>
    <dxf>
      <font>
        <color rgb="FF9C0006"/>
      </font>
      <fill>
        <patternFill>
          <bgColor rgb="FFFFC7CE"/>
        </patternFill>
      </fill>
    </dxf>
  </dxfs>
  <tableStyles count="0" defaultTableStyle="TableStyleMedium2" defaultPivotStyle="PivotStyleLight16"/>
  <colors>
    <mruColors>
      <color rgb="FF6B3077"/>
      <color rgb="FF360F3C"/>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12063</xdr:colOff>
      <xdr:row>2</xdr:row>
      <xdr:rowOff>133352</xdr:rowOff>
    </xdr:from>
    <xdr:to>
      <xdr:col>8</xdr:col>
      <xdr:colOff>542925</xdr:colOff>
      <xdr:row>31</xdr:row>
      <xdr:rowOff>152400</xdr:rowOff>
    </xdr:to>
    <xdr:sp macro="" textlink="">
      <xdr:nvSpPr>
        <xdr:cNvPr id="2" name="TextBox 1">
          <a:extLst>
            <a:ext uri="{FF2B5EF4-FFF2-40B4-BE49-F238E27FC236}">
              <a16:creationId xmlns:a16="http://schemas.microsoft.com/office/drawing/2014/main" id="{EEE2E431-5D69-4580-B1F7-D3E53D347AD0}"/>
            </a:ext>
          </a:extLst>
        </xdr:cNvPr>
        <xdr:cNvSpPr txBox="1"/>
      </xdr:nvSpPr>
      <xdr:spPr>
        <a:xfrm>
          <a:off x="345438" y="609602"/>
          <a:ext cx="5264787" cy="52673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spcAft>
              <a:spcPts val="300"/>
            </a:spcAft>
          </a:pPr>
          <a:r>
            <a:rPr lang="en-US" sz="1400" b="1">
              <a:solidFill>
                <a:srgbClr val="A3519B"/>
              </a:solidFill>
              <a:latin typeface="+mj-lt"/>
              <a:ea typeface="+mj-lt"/>
              <a:cs typeface="+mj-lt"/>
            </a:rPr>
            <a:t>Purpose</a:t>
          </a:r>
          <a:endParaRPr lang="en-US" sz="1000">
            <a:solidFill>
              <a:schemeClr val="dk1"/>
            </a:solidFill>
            <a:latin typeface="+mn-lt"/>
            <a:ea typeface="+mn-lt"/>
            <a:cs typeface="+mn-lt"/>
          </a:endParaRPr>
        </a:p>
        <a:p>
          <a:pPr marL="0" indent="0" algn="l">
            <a:spcAft>
              <a:spcPts val="300"/>
            </a:spcAft>
          </a:pPr>
          <a:r>
            <a:rPr lang="en-US" sz="1000">
              <a:solidFill>
                <a:schemeClr val="dk1"/>
              </a:solidFill>
              <a:latin typeface="+mn-lt"/>
              <a:ea typeface="+mn-lt"/>
              <a:cs typeface="+mn-lt"/>
            </a:rPr>
            <a:t>Australian Energy Market Operator (AEMO) has prepared this report in accordance with clauses 4.8.9(f) and 3.13.6A of the National Electricity Rules (NER), using information available to AEMO as at 23 January 2024</a:t>
          </a:r>
          <a:r>
            <a:rPr lang="en-US" sz="1000">
              <a:solidFill>
                <a:sysClr val="windowText" lastClr="000000"/>
              </a:solidFill>
              <a:latin typeface="+mn-lt"/>
              <a:ea typeface="+mn-lt"/>
              <a:cs typeface="+mn-lt"/>
            </a:rPr>
            <a:t>, </a:t>
          </a:r>
          <a:r>
            <a:rPr lang="en-US" sz="1000">
              <a:solidFill>
                <a:schemeClr val="dk1"/>
              </a:solidFill>
              <a:latin typeface="+mn-lt"/>
              <a:ea typeface="+mn-lt"/>
              <a:cs typeface="+mn-lt"/>
            </a:rPr>
            <a:t>unless otherwise indicated.</a:t>
          </a:r>
          <a:endParaRPr lang="en-US" sz="1100">
            <a:solidFill>
              <a:schemeClr val="dk1"/>
            </a:solidFill>
            <a:latin typeface="+mn-lt"/>
            <a:ea typeface="+mn-lt"/>
            <a:cs typeface="+mn-lt"/>
          </a:endParaRPr>
        </a:p>
        <a:p>
          <a:pPr marL="0" indent="0" algn="l">
            <a:spcAft>
              <a:spcPts val="300"/>
            </a:spcAft>
          </a:pPr>
          <a:endParaRPr lang="en-US" sz="1400" b="1">
            <a:solidFill>
              <a:srgbClr val="A3519B"/>
            </a:solidFill>
            <a:latin typeface="+mj-lt"/>
            <a:ea typeface="+mj-lt"/>
            <a:cs typeface="+mj-lt"/>
          </a:endParaRPr>
        </a:p>
        <a:p>
          <a:pPr marL="0" indent="0" algn="l">
            <a:spcAft>
              <a:spcPts val="300"/>
            </a:spcAft>
          </a:pPr>
          <a:r>
            <a:rPr lang="en-US" sz="1400" b="1">
              <a:solidFill>
                <a:srgbClr val="A3519B"/>
              </a:solidFill>
              <a:latin typeface="+mj-lt"/>
              <a:ea typeface="+mj-lt"/>
              <a:cs typeface="+mj-lt"/>
            </a:rPr>
            <a:t>Disclaimer</a:t>
          </a:r>
          <a:endParaRPr lang="en-US" sz="1000" b="1">
            <a:solidFill>
              <a:schemeClr val="dk1"/>
            </a:solidFill>
            <a:latin typeface="+mn-lt"/>
            <a:ea typeface="+mn-lt"/>
            <a:cs typeface="+mn-lt"/>
          </a:endParaRPr>
        </a:p>
        <a:p>
          <a:pPr marL="0" indent="0" algn="l">
            <a:spcAft>
              <a:spcPts val="600"/>
            </a:spcAft>
          </a:pPr>
          <a:r>
            <a:rPr lang="en-US" sz="1000">
              <a:solidFill>
                <a:schemeClr val="dk1"/>
              </a:solidFill>
              <a:latin typeface="+mn-lt"/>
              <a:ea typeface="+mn-lt"/>
              <a:cs typeface="+mn-lt"/>
            </a:rPr>
            <a:t>AEMO has made reasonable efforts to ensure the quality of the information in this report but cannot guarantee its accuracy or completeness. Any views expressed in this report are those of AEMO unless otherwise stated and may be based on information given to AEMO by other persons. </a:t>
          </a:r>
        </a:p>
        <a:p>
          <a:pPr marL="0" indent="0" algn="l">
            <a:spcAft>
              <a:spcPts val="600"/>
            </a:spcAft>
          </a:pPr>
          <a:r>
            <a:rPr lang="en-US" sz="1000">
              <a:solidFill>
                <a:schemeClr val="dk1"/>
              </a:solidFill>
              <a:latin typeface="+mn-lt"/>
              <a:ea typeface="+mn-lt"/>
              <a:cs typeface="+mn-lt"/>
            </a:rPr>
            <a:t>Accordingly, to the maximum extent permitted by law, AEMO and its officers, employees and consultants involved in the preparation of this report: </a:t>
          </a:r>
          <a:endParaRPr lang="en-US" sz="1000">
            <a:solidFill>
              <a:srgbClr val="C41230"/>
            </a:solidFill>
            <a:latin typeface="+mn-lt"/>
            <a:ea typeface="+mn-lt"/>
            <a:cs typeface="+mn-lt"/>
          </a:endParaRPr>
        </a:p>
        <a:p>
          <a:pPr marL="0" indent="0" algn="l">
            <a:spcAft>
              <a:spcPts val="300"/>
            </a:spcAft>
          </a:pPr>
          <a:r>
            <a:rPr lang="en-US" sz="1000" baseline="0">
              <a:solidFill>
                <a:schemeClr val="accent2"/>
              </a:solidFill>
              <a:latin typeface="+mn-lt"/>
              <a:ea typeface="+mn-lt"/>
              <a:cs typeface="+mn-lt"/>
            </a:rPr>
            <a:t>•</a:t>
          </a:r>
          <a:r>
            <a:rPr lang="en-US" sz="1000">
              <a:solidFill>
                <a:schemeClr val="dk1"/>
              </a:solidFill>
              <a:latin typeface="+mn-lt"/>
              <a:ea typeface="+mn-lt"/>
              <a:cs typeface="+mn-lt"/>
            </a:rPr>
            <a:t> make no representation or warranty, express or implied, as to the currency, accuracy, reliability or completeness of the information in this document; and </a:t>
          </a:r>
          <a:endParaRPr lang="en-US" sz="1000">
            <a:solidFill>
              <a:srgbClr val="C41230"/>
            </a:solidFill>
            <a:latin typeface="+mn-lt"/>
            <a:ea typeface="+mn-lt"/>
            <a:cs typeface="+mn-lt"/>
          </a:endParaRPr>
        </a:p>
        <a:p>
          <a:pPr marL="0" indent="0" algn="l">
            <a:spcAft>
              <a:spcPts val="300"/>
            </a:spcAft>
          </a:pPr>
          <a:r>
            <a:rPr lang="en-US" sz="1000" baseline="0">
              <a:solidFill>
                <a:schemeClr val="accent2"/>
              </a:solidFill>
              <a:latin typeface="+mn-lt"/>
              <a:ea typeface="+mn-lt"/>
              <a:cs typeface="+mn-lt"/>
            </a:rPr>
            <a:t>•</a:t>
          </a:r>
          <a:r>
            <a:rPr lang="en-US" sz="1000">
              <a:solidFill>
                <a:schemeClr val="dk1"/>
              </a:solidFill>
              <a:latin typeface="+mn-lt"/>
              <a:ea typeface="+mn-lt"/>
              <a:cs typeface="+mn-lt"/>
            </a:rPr>
            <a:t> are not liable (whether by reason of negligence or otherwise) for any statements or representations in this document, or any omissions from it, or for any use or reliance on the information in it.</a:t>
          </a:r>
        </a:p>
        <a:p>
          <a:pPr marL="0" indent="0" algn="l">
            <a:spcAft>
              <a:spcPts val="300"/>
            </a:spcAft>
          </a:pPr>
          <a:endParaRPr lang="en-US" sz="1000" b="0">
            <a:solidFill>
              <a:sysClr val="windowText" lastClr="000000"/>
            </a:solidFill>
            <a:latin typeface="+mn-lt"/>
            <a:ea typeface="+mj-lt"/>
            <a:cs typeface="+mj-lt"/>
          </a:endParaRPr>
        </a:p>
        <a:p>
          <a:r>
            <a:rPr lang="en-AU" sz="1400" b="1">
              <a:solidFill>
                <a:srgbClr val="A3519B"/>
              </a:solidFill>
              <a:latin typeface="+mj-lt"/>
              <a:ea typeface="+mj-lt"/>
              <a:cs typeface="+mj-lt"/>
            </a:rPr>
            <a:t>Interpretation</a:t>
          </a:r>
        </a:p>
        <a:p>
          <a:r>
            <a:rPr lang="en-US" sz="1000" b="0">
              <a:solidFill>
                <a:schemeClr val="dk1"/>
              </a:solidFill>
              <a:effectLst/>
              <a:latin typeface="+mn-lt"/>
              <a:ea typeface="+mn-ea"/>
              <a:cs typeface="+mn-cs"/>
            </a:rPr>
            <a:t>Unless otherwise indicated, terms in this report have the same meanings as those defined in the NER.</a:t>
          </a:r>
        </a:p>
        <a:p>
          <a:r>
            <a:rPr lang="en-US" sz="1000" b="0">
              <a:solidFill>
                <a:schemeClr val="dk1"/>
              </a:solidFill>
              <a:effectLst/>
              <a:latin typeface="+mn-lt"/>
              <a:ea typeface="+mn-ea"/>
              <a:cs typeface="+mn-cs"/>
            </a:rPr>
            <a:t>All references to time in this report are based on Australian Eastern Standard Time (AEST). </a:t>
          </a:r>
        </a:p>
      </xdr:txBody>
    </xdr:sp>
    <xdr:clientData/>
  </xdr:twoCellAnchor>
  <xdr:twoCellAnchor editAs="oneCell">
    <xdr:from>
      <xdr:col>1</xdr:col>
      <xdr:colOff>66675</xdr:colOff>
      <xdr:row>33</xdr:row>
      <xdr:rowOff>13759</xdr:rowOff>
    </xdr:from>
    <xdr:to>
      <xdr:col>8</xdr:col>
      <xdr:colOff>521758</xdr:colOff>
      <xdr:row>47</xdr:row>
      <xdr:rowOff>160868</xdr:rowOff>
    </xdr:to>
    <xdr:pic>
      <xdr:nvPicPr>
        <xdr:cNvPr id="3" name="Picture 2">
          <a:extLst>
            <a:ext uri="{FF2B5EF4-FFF2-40B4-BE49-F238E27FC236}">
              <a16:creationId xmlns:a16="http://schemas.microsoft.com/office/drawing/2014/main" id="{09BBF1EB-3DB2-47AA-A940-A7C5F534096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482"/>
        <a:stretch/>
      </xdr:blipFill>
      <xdr:spPr bwMode="auto">
        <a:xfrm>
          <a:off x="400050" y="6147859"/>
          <a:ext cx="5322358" cy="2585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1</xdr:rowOff>
    </xdr:from>
    <xdr:to>
      <xdr:col>11</xdr:col>
      <xdr:colOff>33867</xdr:colOff>
      <xdr:row>32</xdr:row>
      <xdr:rowOff>31750</xdr:rowOff>
    </xdr:to>
    <xdr:sp macro="" textlink="">
      <xdr:nvSpPr>
        <xdr:cNvPr id="3" name="TextBox 2">
          <a:extLst>
            <a:ext uri="{FF2B5EF4-FFF2-40B4-BE49-F238E27FC236}">
              <a16:creationId xmlns:a16="http://schemas.microsoft.com/office/drawing/2014/main" id="{721769F3-A4D0-4440-A465-31660108D5DE}"/>
            </a:ext>
          </a:extLst>
        </xdr:cNvPr>
        <xdr:cNvSpPr txBox="1"/>
      </xdr:nvSpPr>
      <xdr:spPr>
        <a:xfrm>
          <a:off x="328083" y="666751"/>
          <a:ext cx="16554451" cy="52493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baseline="0">
              <a:solidFill>
                <a:srgbClr val="A3519B"/>
              </a:solidFill>
              <a:effectLst/>
              <a:latin typeface="+mj-lt"/>
              <a:ea typeface="+mn-ea"/>
              <a:cs typeface="+mn-cs"/>
            </a:rPr>
            <a:t>Summary</a:t>
          </a:r>
          <a:endParaRPr lang="en-A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mn-lt"/>
              <a:ea typeface="+mn-ea"/>
              <a:cs typeface="+mn-cs"/>
            </a:rPr>
            <a:t>Clause 4.8.9 of the NER allows AEMO to intervene in the market by issuing directions or clause 4.8.9 instructions, if AEMO is satisfied that it is necessary to maintain or re-establish the power system to a secure, satisfactory, or reliable operating state. Section 116 of the National Electricity Law allows AEMO to issue directions to take certain action if AEMO considers that it is necessary to maintain power system security or for reasons of public safety.</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rgbClr val="FF0000"/>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tx1"/>
              </a:solidFill>
              <a:effectLst/>
              <a:latin typeface="+mn-lt"/>
              <a:ea typeface="+mn-ea"/>
              <a:cs typeface="+mn-cs"/>
            </a:rPr>
            <a:t>Under clause 3.8.1 of the NER, AEMO must operate a central dispatch process to balance power system supply and demand, using its reasonable endeavours to maintain power system security in accordance with NER Chapter 4 and the power system security standards. AEMO notes that in the absence of directions for system security, the central dispatch process would have produced an outcome which would have resulted in the operation of the power system in an unsecure state and would therefore have been an infeasible dispatch solution.</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mn-lt"/>
              <a:ea typeface="+mn-ea"/>
              <a:cs typeface="+mn-cs"/>
            </a:rPr>
            <a:t>After it issues a direction, AEMO is required to publish a report outlining the matters specified in clause 3.13.6A of the NER. </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b="1">
            <a:solidFill>
              <a:srgbClr val="A3519B"/>
            </a:solidFill>
            <a:effectLst/>
            <a:latin typeface="+mn-lt"/>
            <a:ea typeface="+mn-ea"/>
            <a:cs typeface="+mn-cs"/>
          </a:endParaRPr>
        </a:p>
        <a:p>
          <a:pPr>
            <a:spcAft>
              <a:spcPts val="300"/>
            </a:spcAft>
          </a:pPr>
          <a:r>
            <a:rPr lang="en-AU" sz="1000">
              <a:solidFill>
                <a:schemeClr val="tx1"/>
              </a:solidFill>
              <a:latin typeface="+mn-lt"/>
              <a:ea typeface="+mn-ea"/>
              <a:cs typeface="Segoe UI Semilight" panose="020B0402040204020203" pitchFamily="34" charset="0"/>
            </a:rPr>
            <a:t>Between 2 May 2023 and 27 May 2023, AEMO issued 18 directions to South Australian Market Participants to maintain power system security. The</a:t>
          </a:r>
          <a:r>
            <a:rPr lang="en-AU" sz="1000" baseline="0">
              <a:solidFill>
                <a:schemeClr val="tx1"/>
              </a:solidFill>
              <a:latin typeface="+mn-lt"/>
              <a:ea typeface="+mn-ea"/>
              <a:cs typeface="Segoe UI Semilight" panose="020B0402040204020203" pitchFamily="34" charset="0"/>
            </a:rPr>
            <a:t> details relating to these</a:t>
          </a:r>
          <a:r>
            <a:rPr lang="en-AU" sz="1000">
              <a:solidFill>
                <a:schemeClr val="tx1"/>
              </a:solidFill>
              <a:latin typeface="+mn-lt"/>
              <a:ea typeface="+mn-ea"/>
              <a:cs typeface="Segoe UI Semilight" panose="020B0402040204020203" pitchFamily="34" charset="0"/>
            </a:rPr>
            <a:t> directions are summarised in Table 2.</a:t>
          </a:r>
        </a:p>
        <a:p>
          <a:pPr algn="l">
            <a:spcAft>
              <a:spcPts val="300"/>
            </a:spcAft>
          </a:pPr>
          <a:endParaRPr lang="en-AU" sz="1100" b="1">
            <a:solidFill>
              <a:schemeClr val="dk1"/>
            </a:solidFill>
            <a:latin typeface="+mj-lt"/>
            <a:ea typeface="+mn-ea"/>
            <a:cs typeface="Segoe UI Semilight" panose="020B0402040204020203" pitchFamily="34" charset="0"/>
          </a:endParaRPr>
        </a:p>
        <a:p>
          <a:pPr algn="l">
            <a:spcAft>
              <a:spcPts val="300"/>
            </a:spcAft>
          </a:pPr>
          <a:r>
            <a:rPr lang="en-AU" sz="1400" b="1">
              <a:solidFill>
                <a:srgbClr val="A3519B"/>
              </a:solidFill>
              <a:effectLst/>
              <a:latin typeface="+mj-lt"/>
              <a:ea typeface="+mn-ea"/>
              <a:cs typeface="+mn-cs"/>
            </a:rPr>
            <a:t>The</a:t>
          </a:r>
          <a:r>
            <a:rPr lang="en-AU" sz="1400" b="1" baseline="0">
              <a:solidFill>
                <a:srgbClr val="A3519B"/>
              </a:solidFill>
              <a:effectLst/>
              <a:latin typeface="+mj-lt"/>
              <a:ea typeface="+mn-ea"/>
              <a:cs typeface="+mn-cs"/>
            </a:rPr>
            <a:t> need for intervention</a:t>
          </a:r>
          <a:endParaRPr lang="en-AU" sz="1400" b="1">
            <a:solidFill>
              <a:srgbClr val="A3519B"/>
            </a:solidFill>
            <a:effectLst/>
            <a:latin typeface="+mj-lt"/>
            <a:ea typeface="+mn-ea"/>
            <a:cs typeface="+mn-cs"/>
          </a:endParaRPr>
        </a:p>
        <a:p>
          <a:pPr algn="l">
            <a:spcAft>
              <a:spcPts val="300"/>
            </a:spcAft>
          </a:pPr>
          <a:r>
            <a:rPr lang="en-AU" sz="1000">
              <a:solidFill>
                <a:schemeClr val="dk1"/>
              </a:solidFill>
              <a:latin typeface="+mn-lt"/>
              <a:ea typeface="+mn-ea"/>
              <a:cs typeface="Segoe UI Semilight" panose="020B0402040204020203" pitchFamily="34" charset="0"/>
            </a:rPr>
            <a:t>To ensure adequate system strength for secure operation of the South Australian power system, certain combinations of synchronous generating units must be in service at all times. If market conditions lead to market participants seeking to decommit synchronous generation AEMO is required to intervene to maintain the required level of synchronous units. The need for intervention, and options considered, were assessed against the set of viable plant combinations available at the time the directions were issued. </a:t>
          </a:r>
        </a:p>
        <a:p>
          <a:pPr algn="l">
            <a:spcAft>
              <a:spcPts val="300"/>
            </a:spcAft>
          </a:pPr>
          <a:endParaRPr lang="en-AU" sz="1100" b="1">
            <a:solidFill>
              <a:schemeClr val="dk1"/>
            </a:solidFill>
            <a:latin typeface="+mj-lt"/>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Assessment of market response and latest time to intervene</a:t>
          </a:r>
        </a:p>
        <a:p>
          <a:pPr algn="l">
            <a:spcAft>
              <a:spcPts val="300"/>
            </a:spcAft>
          </a:pPr>
          <a:r>
            <a:rPr lang="en-AU" sz="1000">
              <a:solidFill>
                <a:schemeClr val="dk1"/>
              </a:solidFill>
              <a:latin typeface="+mn-lt"/>
              <a:ea typeface="+mn-ea"/>
              <a:cs typeface="Segoe UI Semilight" panose="020B0402040204020203" pitchFamily="34" charset="0"/>
            </a:rPr>
            <a:t>Under NER 4.8.5A(a) and (c), AEMO must notify the market of any anticipated power system security or reliability issue, and the latest time for market response before AEMO would need to intervene. </a:t>
          </a:r>
        </a:p>
        <a:p>
          <a:pPr algn="l">
            <a:spcAft>
              <a:spcPts val="300"/>
            </a:spcAft>
          </a:pPr>
          <a:endParaRPr lang="en-AU" sz="1000">
            <a:solidFill>
              <a:schemeClr val="dk1"/>
            </a:solidFill>
            <a:latin typeface="+mn-lt"/>
            <a:ea typeface="+mn-ea"/>
            <a:cs typeface="Segoe UI Semilight" panose="020B0402040204020203" pitchFamily="34" charset="0"/>
          </a:endParaRPr>
        </a:p>
        <a:p>
          <a:pPr algn="l">
            <a:spcAft>
              <a:spcPts val="300"/>
            </a:spcAft>
          </a:pPr>
          <a:r>
            <a:rPr lang="en-AU" sz="1000">
              <a:solidFill>
                <a:schemeClr val="tx1"/>
              </a:solidFill>
              <a:latin typeface="+mn-lt"/>
              <a:ea typeface="+mn-ea"/>
              <a:cs typeface="Segoe UI Semilight" panose="020B0402040204020203" pitchFamily="34" charset="0"/>
            </a:rPr>
            <a:t>AEMO contacted all participants who operate suitable generating units in South Australia</a:t>
          </a:r>
          <a:r>
            <a:rPr lang="en-AU" sz="1000" baseline="0">
              <a:solidFill>
                <a:schemeClr val="tx1"/>
              </a:solidFill>
              <a:latin typeface="+mn-lt"/>
              <a:ea typeface="+mn-ea"/>
              <a:cs typeface="Segoe UI Semilight" panose="020B0402040204020203" pitchFamily="34" charset="0"/>
            </a:rPr>
            <a:t> </a:t>
          </a:r>
          <a:r>
            <a:rPr lang="en-AU" sz="1000">
              <a:solidFill>
                <a:schemeClr val="tx1"/>
              </a:solidFill>
              <a:latin typeface="+mn-lt"/>
              <a:ea typeface="+mn-ea"/>
              <a:cs typeface="Segoe UI Semilight" panose="020B0402040204020203" pitchFamily="34" charset="0"/>
            </a:rPr>
            <a:t>to confirm their availability and the latest time to intervene (LTTI). The basis for determining the LTTI is identifying the time at which system strength would no longer be adequate due to market participants decommitting synchronous generation, allowing for ramping. Those participants indicated that no market response would be provided but identified units that would be available if directed. </a:t>
          </a:r>
        </a:p>
        <a:p>
          <a:pPr algn="l">
            <a:spcAft>
              <a:spcPts val="300"/>
            </a:spcAft>
          </a:pPr>
          <a:endParaRPr lang="en-AU" sz="1000">
            <a:solidFill>
              <a:schemeClr val="tx1"/>
            </a:solidFill>
            <a:latin typeface="+mn-lt"/>
            <a:ea typeface="+mn-ea"/>
            <a:cs typeface="Segoe UI Semilight" panose="020B0402040204020203" pitchFamily="34" charset="0"/>
          </a:endParaRPr>
        </a:p>
        <a:p>
          <a:pPr algn="l">
            <a:spcAft>
              <a:spcPts val="300"/>
            </a:spcAft>
          </a:pPr>
          <a:r>
            <a:rPr lang="en-AU" sz="1000">
              <a:solidFill>
                <a:schemeClr val="tx1"/>
              </a:solidFill>
              <a:latin typeface="+mn-lt"/>
              <a:ea typeface="+mn-ea"/>
              <a:cs typeface="Segoe UI Semilight" panose="020B0402040204020203" pitchFamily="34" charset="0"/>
            </a:rPr>
            <a:t>For the direction events, AEMO assessed the latest time for market response before AEMO would need to intervene. Note that due to the rapidly unfolding nature of circumstances prior to some interventions, it may not have been reasonably practicable to publish a LTTI, or provide full reasoning for the intervention in every market notice. The market notices issued with details on a LTTI are listed in Table 2.</a:t>
          </a:r>
        </a:p>
        <a:p>
          <a:pPr algn="l">
            <a:spcAft>
              <a:spcPts val="300"/>
            </a:spcAft>
          </a:pPr>
          <a:endParaRPr lang="en-AU" sz="1000">
            <a:solidFill>
              <a:schemeClr val="dk1"/>
            </a:solidFill>
            <a:latin typeface="Segoe UI Semilight" panose="020B0402040204020203" pitchFamily="34" charset="0"/>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Participant ability to comply with the intervention</a:t>
          </a:r>
        </a:p>
        <a:p>
          <a:pPr marL="0" marR="0" lvl="0" indent="0" algn="l" defTabSz="914400" eaLnBrk="1" fontAlgn="auto" latinLnBrk="0" hangingPunct="1">
            <a:lnSpc>
              <a:spcPct val="100000"/>
            </a:lnSpc>
            <a:spcBef>
              <a:spcPts val="0"/>
            </a:spcBef>
            <a:spcAft>
              <a:spcPts val="300"/>
            </a:spcAft>
            <a:buClrTx/>
            <a:buSzTx/>
            <a:buFontTx/>
            <a:buNone/>
            <a:tabLst/>
            <a:defRPr/>
          </a:pPr>
          <a:r>
            <a:rPr lang="en-AU" sz="1000">
              <a:solidFill>
                <a:schemeClr val="tx1"/>
              </a:solidFill>
              <a:latin typeface="+mn-lt"/>
              <a:ea typeface="+mn-ea"/>
              <a:cs typeface="Segoe UI Semilight" panose="020B0402040204020203" pitchFamily="34" charset="0"/>
            </a:rPr>
            <a:t>NER 4.8.9(d) requires that a Registered Participant must immediately notify AEMO of its inability to comply, or intention not to comply, with a direction or clause 4.8.9 instruction. AEMO is satisfied with all participants complying with the directions listed in Table 2, with the exceptions listed in Table 1</a:t>
          </a:r>
          <a:r>
            <a:rPr lang="en-AU" sz="1000" u="none">
              <a:solidFill>
                <a:schemeClr val="tx1"/>
              </a:solidFill>
              <a:effectLst/>
              <a:latin typeface="+mn-lt"/>
              <a:ea typeface="+mn-ea"/>
              <a:cs typeface="+mn-cs"/>
            </a:rPr>
            <a:t>.</a:t>
          </a:r>
          <a:endParaRPr lang="en-AU" sz="1000" u="none">
            <a:solidFill>
              <a:schemeClr val="tx1"/>
            </a:solidFill>
            <a:effectLst/>
            <a:latin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323849</xdr:colOff>
      <xdr:row>3</xdr:row>
      <xdr:rowOff>0</xdr:rowOff>
    </xdr:from>
    <xdr:to>
      <xdr:col>13</xdr:col>
      <xdr:colOff>19049</xdr:colOff>
      <xdr:row>19</xdr:row>
      <xdr:rowOff>42333</xdr:rowOff>
    </xdr:to>
    <xdr:sp macro="" textlink="">
      <xdr:nvSpPr>
        <xdr:cNvPr id="4" name="TextBox 3">
          <a:extLst>
            <a:ext uri="{FF2B5EF4-FFF2-40B4-BE49-F238E27FC236}">
              <a16:creationId xmlns:a16="http://schemas.microsoft.com/office/drawing/2014/main" id="{DBEFCAB9-2D54-4D0A-8CEF-37515FB3F49A}"/>
            </a:ext>
          </a:extLst>
        </xdr:cNvPr>
        <xdr:cNvSpPr txBox="1"/>
      </xdr:nvSpPr>
      <xdr:spPr>
        <a:xfrm>
          <a:off x="323849" y="666750"/>
          <a:ext cx="12850283" cy="304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Changes</a:t>
          </a:r>
          <a:r>
            <a:rPr lang="en-AU" sz="1400" b="1" baseline="0">
              <a:solidFill>
                <a:srgbClr val="A3519B"/>
              </a:solidFill>
              <a:effectLst/>
              <a:latin typeface="+mj-lt"/>
              <a:ea typeface="+mn-ea"/>
              <a:cs typeface="+mn-cs"/>
            </a:rPr>
            <a:t> to dispatch outcomes due to the directions</a:t>
          </a:r>
          <a:endParaRPr lang="en-AU" sz="1400">
            <a:solidFill>
              <a:srgbClr val="A3519B"/>
            </a:solidFill>
            <a:latin typeface="+mj-lt"/>
            <a:ea typeface="+mn-ea"/>
            <a:cs typeface="Segoe UI Semilight" panose="020B0402040204020203" pitchFamily="34" charset="0"/>
          </a:endParaRPr>
        </a:p>
        <a:p>
          <a:pPr>
            <a:spcAft>
              <a:spcPts val="300"/>
            </a:spcAft>
          </a:pPr>
          <a:r>
            <a:rPr lang="en-AU" sz="1000">
              <a:solidFill>
                <a:schemeClr val="dk1"/>
              </a:solidFill>
              <a:latin typeface="+mn-lt"/>
              <a:ea typeface="+mn-ea"/>
              <a:cs typeface="Segoe UI Semilight" panose="020B0402040204020203" pitchFamily="34" charset="0"/>
            </a:rPr>
            <a:t>The directions issued between 2 May 2023 and 27 May 2023 resulted in approximately a total of 6,171 megawatt hours (MWh) of synchronous generation being directed into the market for system security. Table 3 details the amount directed by direction reporting event. </a:t>
          </a:r>
        </a:p>
        <a:p>
          <a:pPr>
            <a:spcAft>
              <a:spcPts val="300"/>
            </a:spcAft>
          </a:pPr>
          <a:endParaRPr lang="en-AU" sz="1000">
            <a:solidFill>
              <a:schemeClr val="dk1"/>
            </a:solidFill>
            <a:latin typeface="+mn-lt"/>
            <a:ea typeface="+mn-ea"/>
            <a:cs typeface="Segoe UI Semilight" panose="020B0402040204020203" pitchFamily="34" charset="0"/>
          </a:endParaRPr>
        </a:p>
        <a:p>
          <a:pPr>
            <a:spcAft>
              <a:spcPts val="300"/>
            </a:spcAft>
          </a:pPr>
          <a:r>
            <a:rPr lang="en-AU" sz="1000">
              <a:solidFill>
                <a:schemeClr val="dk1"/>
              </a:solidFill>
              <a:latin typeface="+mn-lt"/>
              <a:ea typeface="+mn-ea"/>
              <a:cs typeface="Segoe UI Semilight" panose="020B0402040204020203" pitchFamily="34" charset="0"/>
            </a:rPr>
            <a:t>Intervention pricing did not apply for the events in this report.</a:t>
          </a:r>
        </a:p>
        <a:p>
          <a:pPr>
            <a:spcAft>
              <a:spcPts val="300"/>
            </a:spcAft>
          </a:pPr>
          <a:r>
            <a:rPr lang="en-AU" sz="1000">
              <a:solidFill>
                <a:schemeClr val="dk1"/>
              </a:solidFill>
              <a:latin typeface="+mn-lt"/>
              <a:ea typeface="+mn-ea"/>
              <a:cs typeface="Segoe UI Semilight" panose="020B0402040204020203" pitchFamily="34" charset="0"/>
            </a:rPr>
            <a:t> </a:t>
          </a:r>
        </a:p>
        <a:p>
          <a:pPr marL="0" marR="0" lvl="0" indent="0"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Directions cost and recovery</a:t>
          </a:r>
        </a:p>
        <a:p>
          <a:pPr marL="0" indent="0">
            <a:spcAft>
              <a:spcPts val="300"/>
            </a:spcAft>
          </a:pPr>
          <a:r>
            <a:rPr lang="en-AU" sz="1000">
              <a:solidFill>
                <a:schemeClr val="dk1"/>
              </a:solidFill>
              <a:latin typeface="+mn-lt"/>
              <a:ea typeface="+mn-ea"/>
              <a:cs typeface="Segoe UI Semilight" panose="020B0402040204020203" pitchFamily="34" charset="0"/>
            </a:rPr>
            <a:t>The total compensation recovery amount</a:t>
          </a:r>
          <a:r>
            <a:rPr lang="en-AU" sz="1100" baseline="30000">
              <a:solidFill>
                <a:schemeClr val="dk1"/>
              </a:solidFill>
              <a:effectLst/>
              <a:latin typeface="+mn-lt"/>
              <a:ea typeface="+mn-ea"/>
              <a:cs typeface="+mn-cs"/>
            </a:rPr>
            <a:t>1</a:t>
          </a:r>
          <a:r>
            <a:rPr lang="en-AU" sz="1000">
              <a:solidFill>
                <a:schemeClr val="dk1"/>
              </a:solidFill>
              <a:latin typeface="+mn-lt"/>
              <a:ea typeface="+mn-ea"/>
              <a:cs typeface="Segoe UI Semilight" panose="020B0402040204020203" pitchFamily="34" charset="0"/>
            </a:rPr>
            <a:t> (CRA) for the provision of energy directions during</a:t>
          </a:r>
          <a:r>
            <a:rPr lang="en-AU" sz="1000" baseline="0">
              <a:solidFill>
                <a:schemeClr val="dk1"/>
              </a:solidFill>
              <a:latin typeface="+mn-lt"/>
              <a:ea typeface="+mn-ea"/>
              <a:cs typeface="Segoe UI Semilight" panose="020B0402040204020203" pitchFamily="34" charset="0"/>
            </a:rPr>
            <a:t> this reporting period </a:t>
          </a:r>
          <a:r>
            <a:rPr lang="en-AU" sz="1000">
              <a:solidFill>
                <a:schemeClr val="dk1"/>
              </a:solidFill>
              <a:latin typeface="+mn-lt"/>
              <a:ea typeface="+mn-ea"/>
              <a:cs typeface="Segoe UI Semilight" panose="020B0402040204020203" pitchFamily="34" charset="0"/>
            </a:rPr>
            <a:t>was </a:t>
          </a:r>
          <a:r>
            <a:rPr lang="en-AU" sz="1000">
              <a:solidFill>
                <a:sysClr val="windowText" lastClr="000000"/>
              </a:solidFill>
              <a:latin typeface="+mn-lt"/>
              <a:ea typeface="+mn-ea"/>
              <a:cs typeface="Segoe UI Semilight" panose="020B0402040204020203" pitchFamily="34" charset="0"/>
            </a:rPr>
            <a:t>$2,635,969 </a:t>
          </a:r>
          <a:r>
            <a:rPr lang="en-AU" sz="1000">
              <a:solidFill>
                <a:schemeClr val="dk1"/>
              </a:solidFill>
              <a:latin typeface="+mn-lt"/>
              <a:ea typeface="+mn-ea"/>
              <a:cs typeface="Segoe UI Semilight" panose="020B0402040204020203" pitchFamily="34" charset="0"/>
            </a:rPr>
            <a:t>(NER</a:t>
          </a:r>
          <a:r>
            <a:rPr lang="en-AU" sz="1000" baseline="0">
              <a:solidFill>
                <a:schemeClr val="dk1"/>
              </a:solidFill>
              <a:latin typeface="+mn-lt"/>
              <a:ea typeface="+mn-ea"/>
              <a:cs typeface="Segoe UI Semilight" panose="020B0402040204020203" pitchFamily="34" charset="0"/>
            </a:rPr>
            <a:t> 3.15.8(a))</a:t>
          </a:r>
          <a:r>
            <a:rPr lang="en-AU" sz="1000">
              <a:solidFill>
                <a:schemeClr val="dk1"/>
              </a:solidFill>
              <a:latin typeface="+mn-lt"/>
              <a:ea typeface="+mn-ea"/>
              <a:cs typeface="Segoe UI Semilight" panose="020B0402040204020203" pitchFamily="34" charset="0"/>
            </a:rPr>
            <a:t>. This amount includes 10 claims for additional compensation by Directed Participants assessed by an independent expert (IE) and fees payable to IE pursuant to NER 3.12.3. Table 3 provides a breakdown of total CRA by direction reporting event.</a:t>
          </a:r>
        </a:p>
        <a:p>
          <a:pPr marL="0" indent="0">
            <a:spcAft>
              <a:spcPts val="300"/>
            </a:spcAft>
          </a:pPr>
          <a:endParaRPr lang="en-AU" sz="1000">
            <a:solidFill>
              <a:schemeClr val="dk1"/>
            </a:solidFill>
            <a:latin typeface="+mn-lt"/>
            <a:ea typeface="+mn-ea"/>
            <a:cs typeface="Segoe UI Semilight" panose="020B0402040204020203" pitchFamily="34" charset="0"/>
          </a:endParaRPr>
        </a:p>
        <a:p>
          <a:pPr marL="0" indent="0">
            <a:spcAft>
              <a:spcPts val="300"/>
            </a:spcAft>
          </a:pPr>
          <a:r>
            <a:rPr lang="en-AU" sz="1000">
              <a:solidFill>
                <a:schemeClr val="dk1"/>
              </a:solidFill>
              <a:latin typeface="+mn-lt"/>
              <a:ea typeface="+mn-ea"/>
              <a:cs typeface="Segoe UI Semilight" panose="020B0402040204020203" pitchFamily="34" charset="0"/>
            </a:rPr>
            <a:t>Compensation cost recovery arising from directions is allocated to NEM regions using a regional benefit calculation determined by AEMO in accordance with NER 3.15.8(b1). This is then recovered from Registered Participants in proportion to the energy purchased in each relevant region. As all directions in this reporting period were issued to participants in South Australia and that region was the sole beneficiary, AEMO determined to allocate all amounts to South Australia, with all costs recovered from Market Customers.</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latin typeface="+mn-lt"/>
            <a:ea typeface="+mn-ea"/>
            <a:cs typeface="Segoe UI Semilight" panose="020B0402040204020203"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latin typeface="+mn-lt"/>
              <a:ea typeface="+mn-ea"/>
              <a:cs typeface="Segoe UI Semilight" panose="020B0402040204020203" pitchFamily="34" charset="0"/>
            </a:rPr>
            <a:t>Direction compensation recovery data is</a:t>
          </a:r>
          <a:r>
            <a:rPr lang="en-AU" sz="1000" baseline="0">
              <a:solidFill>
                <a:schemeClr val="dk1"/>
              </a:solidFill>
              <a:latin typeface="+mn-lt"/>
              <a:ea typeface="+mn-ea"/>
              <a:cs typeface="Segoe UI Semilight" panose="020B0402040204020203" pitchFamily="34" charset="0"/>
            </a:rPr>
            <a:t> also available on </a:t>
          </a:r>
          <a:r>
            <a:rPr lang="en-AU" sz="1000">
              <a:solidFill>
                <a:schemeClr val="dk1"/>
              </a:solidFill>
              <a:latin typeface="+mn-lt"/>
              <a:ea typeface="+mn-ea"/>
              <a:cs typeface="Segoe UI Semilight" panose="020B0402040204020203" pitchFamily="34" charset="0"/>
            </a:rPr>
            <a:t>AEMO's website</a:t>
          </a:r>
          <a:r>
            <a:rPr lang="en-AU" sz="1000" baseline="30000">
              <a:solidFill>
                <a:schemeClr val="dk1"/>
              </a:solidFill>
              <a:latin typeface="+mn-lt"/>
              <a:ea typeface="+mn-ea"/>
              <a:cs typeface="Segoe UI Semilight" panose="020B0402040204020203" pitchFamily="34" charset="0"/>
            </a:rPr>
            <a:t>2</a:t>
          </a:r>
          <a:r>
            <a:rPr lang="en-AU" sz="1000">
              <a:solidFill>
                <a:schemeClr val="dk1"/>
              </a:solidFill>
              <a:latin typeface="+mn-lt"/>
              <a:ea typeface="+mn-ea"/>
              <a:cs typeface="Segoe UI Semilight" panose="020B04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lang="en-AU" sz="1400" b="1">
            <a:solidFill>
              <a:srgbClr val="A3519B"/>
            </a:solidFill>
            <a:effectLst/>
            <a:latin typeface="+mj-lt"/>
            <a:ea typeface="+mn-ea"/>
            <a:cs typeface="+mn-cs"/>
          </a:endParaRPr>
        </a:p>
        <a:p>
          <a:endParaRPr lang="en-AU" sz="1000">
            <a:solidFill>
              <a:schemeClr val="dk1"/>
            </a:solidFill>
            <a:latin typeface="+mn-lt"/>
            <a:ea typeface="+mn-ea"/>
            <a:cs typeface="Segoe UI Semilight" panose="020B0402040204020203"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6351</xdr:colOff>
      <xdr:row>3</xdr:row>
      <xdr:rowOff>0</xdr:rowOff>
    </xdr:from>
    <xdr:to>
      <xdr:col>9</xdr:col>
      <xdr:colOff>342901</xdr:colOff>
      <xdr:row>22</xdr:row>
      <xdr:rowOff>159544</xdr:rowOff>
    </xdr:to>
    <xdr:sp macro="" textlink="">
      <xdr:nvSpPr>
        <xdr:cNvPr id="2" name="TextBox 2">
          <a:extLst>
            <a:ext uri="{FF2B5EF4-FFF2-40B4-BE49-F238E27FC236}">
              <a16:creationId xmlns:a16="http://schemas.microsoft.com/office/drawing/2014/main" id="{A0EB9A53-49A0-4D9B-887E-4D064137D4A0}"/>
            </a:ext>
          </a:extLst>
        </xdr:cNvPr>
        <xdr:cNvSpPr txBox="1"/>
      </xdr:nvSpPr>
      <xdr:spPr>
        <a:xfrm>
          <a:off x="339726" y="657225"/>
          <a:ext cx="5899150" cy="35980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en-AU" sz="1000">
              <a:solidFill>
                <a:schemeClr val="dk1"/>
              </a:solidFill>
              <a:latin typeface="+mn-lt"/>
              <a:ea typeface="+mn-ea"/>
              <a:cs typeface="Segoe UI Semilight" panose="020B0402040204020203" pitchFamily="34" charset="0"/>
            </a:rPr>
            <a:t>AEMO considers that it </a:t>
          </a:r>
          <a:r>
            <a:rPr lang="en-AU" sz="1000">
              <a:solidFill>
                <a:sysClr val="windowText" lastClr="000000"/>
              </a:solidFill>
              <a:latin typeface="+mn-lt"/>
              <a:ea typeface="+mn-ea"/>
              <a:cs typeface="Segoe UI Semilight" panose="020B0402040204020203" pitchFamily="34" charset="0"/>
            </a:rPr>
            <a:t>followed all applicable processes under NER 4.8.9 for the management of the directions issued between 2 May 2023 and 27 May 2023.</a:t>
          </a:r>
        </a:p>
        <a:p>
          <a:pPr>
            <a:spcAft>
              <a:spcPts val="300"/>
            </a:spcAft>
          </a:pPr>
          <a:endParaRPr lang="en-AU" sz="1000" b="1">
            <a:solidFill>
              <a:schemeClr val="dk1"/>
            </a:solidFill>
            <a:latin typeface="Segoe UI Semilight" panose="020B0402040204020203" pitchFamily="34" charset="0"/>
            <a:ea typeface="+mn-ea"/>
            <a:cs typeface="Segoe UI Semilight" panose="020B0402040204020203" pitchFamily="34" charset="0"/>
          </a:endParaRPr>
        </a:p>
        <a:p>
          <a:pPr>
            <a:spcAft>
              <a:spcPts val="300"/>
            </a:spcAft>
          </a:pPr>
          <a:r>
            <a:rPr lang="en-AU" sz="1400" b="1" baseline="0">
              <a:solidFill>
                <a:srgbClr val="A3519B"/>
              </a:solidFill>
              <a:effectLst/>
              <a:latin typeface="+mn-lt"/>
              <a:ea typeface="+mn-ea"/>
              <a:cs typeface="+mn-cs"/>
            </a:rPr>
            <a:t>Adequacy of responses to AEMO inquiries</a:t>
          </a:r>
        </a:p>
        <a:p>
          <a:pPr>
            <a:spcAft>
              <a:spcPts val="300"/>
            </a:spcAft>
          </a:pPr>
          <a:r>
            <a:rPr lang="en-AU" sz="1000">
              <a:solidFill>
                <a:schemeClr val="dk1"/>
              </a:solidFill>
              <a:latin typeface="+mn-lt"/>
              <a:ea typeface="+mn-ea"/>
              <a:cs typeface="Segoe UI Semilight" panose="020B0402040204020203" pitchFamily="34" charset="0"/>
            </a:rPr>
            <a:t>NER 4.8.5A(d) permits AEMO to request information from Scheduled Network Service Providers, Scheduled Generators, Semi-Scheduled Generators, and Market Customers. AEMO is satisfied with the timeliness, adequacy, and effectiveness of all responses to its requests for information prior to issuing the directions between 2 May 2023 and 27 May 2023 .</a:t>
          </a:r>
        </a:p>
        <a:p>
          <a:pPr>
            <a:spcAft>
              <a:spcPts val="300"/>
            </a:spcAft>
          </a:pPr>
          <a:endParaRPr lang="en-AU" sz="1100">
            <a:solidFill>
              <a:schemeClr val="dk1"/>
            </a:solidFill>
            <a:latin typeface="+mj-lt"/>
            <a:ea typeface="+mn-ea"/>
            <a:cs typeface="Segoe UI Semilight" panose="020B0402040204020203" pitchFamily="34" charset="0"/>
          </a:endParaRPr>
        </a:p>
        <a:p>
          <a:pPr>
            <a:spcAft>
              <a:spcPts val="300"/>
            </a:spcAft>
          </a:pPr>
          <a:r>
            <a:rPr lang="en-AU" sz="1400" b="1">
              <a:solidFill>
                <a:srgbClr val="A3519B"/>
              </a:solidFill>
              <a:effectLst/>
              <a:latin typeface="+mn-lt"/>
              <a:ea typeface="+mn-ea"/>
              <a:cs typeface="+mn-cs"/>
            </a:rPr>
            <a:t>AEMO satisfaction with</a:t>
          </a:r>
          <a:r>
            <a:rPr lang="en-AU" sz="1400" b="1" baseline="0">
              <a:solidFill>
                <a:srgbClr val="A3519B"/>
              </a:solidFill>
              <a:effectLst/>
              <a:latin typeface="+mn-lt"/>
              <a:ea typeface="+mn-ea"/>
              <a:cs typeface="+mn-cs"/>
            </a:rPr>
            <a:t> direction process</a:t>
          </a:r>
          <a:endParaRPr lang="en-AU" sz="1000">
            <a:solidFill>
              <a:schemeClr val="dk1"/>
            </a:solidFill>
            <a:latin typeface="+mn-lt"/>
            <a:ea typeface="+mn-ea"/>
            <a:cs typeface="Segoe UI Semilight" panose="020B0402040204020203" pitchFamily="34" charset="0"/>
          </a:endParaRPr>
        </a:p>
        <a:p>
          <a:pPr>
            <a:spcAft>
              <a:spcPts val="300"/>
            </a:spcAft>
          </a:pPr>
          <a:r>
            <a:rPr lang="en-AU" sz="1000">
              <a:solidFill>
                <a:schemeClr val="tx1"/>
              </a:solidFill>
              <a:latin typeface="+mn-lt"/>
              <a:ea typeface="+mn-ea"/>
              <a:cs typeface="Segoe UI Semilight" panose="020B0402040204020203" pitchFamily="34" charset="0"/>
            </a:rPr>
            <a:t>AEMO is satisfied that, other than the issues outlined </a:t>
          </a:r>
          <a:r>
            <a:rPr lang="en-AU" sz="1000" baseline="0">
              <a:solidFill>
                <a:schemeClr val="tx1"/>
              </a:solidFill>
              <a:latin typeface="+mn-lt"/>
              <a:ea typeface="+mn-ea"/>
              <a:cs typeface="Segoe UI Semilight" panose="020B0402040204020203" pitchFamily="34" charset="0"/>
            </a:rPr>
            <a:t>in the Assessment of market response and latest time to intervene section, </a:t>
          </a:r>
          <a:r>
            <a:rPr lang="en-AU" sz="1000">
              <a:solidFill>
                <a:schemeClr val="tx1"/>
              </a:solidFill>
              <a:latin typeface="+mn-lt"/>
              <a:ea typeface="+mn-ea"/>
              <a:cs typeface="Segoe UI Semilight" panose="020B0402040204020203" pitchFamily="34" charset="0"/>
            </a:rPr>
            <a:t>all applicable procedures and processes were followed in assessing the need for intervention, determining the latest time to intervene, enacting and managing the intervention and seeking market response </a:t>
          </a:r>
          <a:r>
            <a:rPr lang="en-AU" sz="1000">
              <a:solidFill>
                <a:schemeClr val="dk1"/>
              </a:solidFill>
              <a:latin typeface="+mn-lt"/>
              <a:ea typeface="+mn-ea"/>
              <a:cs typeface="Segoe UI Semilight" panose="020B0402040204020203" pitchFamily="34" charset="0"/>
            </a:rPr>
            <a:t>from all generators capable of meeting the system strength requirements. The market was informed after each direction was issued. </a:t>
          </a:r>
        </a:p>
        <a:p>
          <a:pPr>
            <a:spcAft>
              <a:spcPts val="300"/>
            </a:spcAft>
          </a:pPr>
          <a:endParaRPr lang="en-AU" sz="1000">
            <a:solidFill>
              <a:schemeClr val="dk1"/>
            </a:solidFill>
            <a:latin typeface="+mn-lt"/>
            <a:ea typeface="+mn-ea"/>
            <a:cs typeface="Segoe UI Semilight" panose="020B0402040204020203" pitchFamily="34" charset="0"/>
          </a:endParaRPr>
        </a:p>
        <a:p>
          <a:pPr>
            <a:spcAft>
              <a:spcPts val="300"/>
            </a:spcAft>
          </a:pPr>
          <a:r>
            <a:rPr lang="en-AU" sz="1000">
              <a:solidFill>
                <a:schemeClr val="dk1"/>
              </a:solidFill>
              <a:latin typeface="+mn-lt"/>
              <a:ea typeface="+mn-ea"/>
              <a:cs typeface="Segoe UI Semilight" panose="020B0402040204020203" pitchFamily="34" charset="0"/>
            </a:rPr>
            <a:t>AEMO is also satisfied with the timeliness and adequacy of participant responses and communication throughout.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1143000</xdr:colOff>
      <xdr:row>37</xdr:row>
      <xdr:rowOff>9525</xdr:rowOff>
    </xdr:to>
    <xdr:sp macro="" textlink="">
      <xdr:nvSpPr>
        <xdr:cNvPr id="2" name="TextBox 1">
          <a:extLst>
            <a:ext uri="{FF2B5EF4-FFF2-40B4-BE49-F238E27FC236}">
              <a16:creationId xmlns:a16="http://schemas.microsoft.com/office/drawing/2014/main" id="{D814138D-6094-4714-A6D1-AD3BCADB3FD5}"/>
            </a:ext>
          </a:extLst>
        </xdr:cNvPr>
        <xdr:cNvSpPr txBox="1"/>
      </xdr:nvSpPr>
      <xdr:spPr>
        <a:xfrm>
          <a:off x="328083" y="1227667"/>
          <a:ext cx="4233334" cy="55869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hu-HU" sz="1400" b="1">
              <a:solidFill>
                <a:srgbClr val="A3519B"/>
              </a:solidFill>
              <a:latin typeface="+mj-lt"/>
              <a:ea typeface="+mn-ea"/>
              <a:cs typeface="+mn-cs"/>
            </a:rPr>
            <a:t>Note</a:t>
          </a:r>
          <a:endParaRPr lang="en-AU" sz="1400" b="1">
            <a:solidFill>
              <a:srgbClr val="A3519B"/>
            </a:solidFill>
            <a:latin typeface="+mj-lt"/>
            <a:cs typeface="Segoe UI Semilight" panose="020B0402040204020203" pitchFamily="34" charset="0"/>
          </a:endParaRPr>
        </a:p>
        <a:p>
          <a:pPr algn="l">
            <a:spcAft>
              <a:spcPts val="300"/>
            </a:spcAft>
          </a:pPr>
          <a:r>
            <a:rPr lang="en-AU" sz="1000">
              <a:latin typeface="+mn-lt"/>
              <a:cs typeface="Segoe UI Semilight" panose="020B0402040204020203" pitchFamily="34" charset="0"/>
            </a:rPr>
            <a:t>The recovery rates published in this report are calculated by dividing the compensation recovery amount (CRA) by the total regional customer energy (TCE). TCE refers to</a:t>
          </a:r>
          <a:r>
            <a:rPr lang="en-AU" sz="1000" baseline="0">
              <a:latin typeface="+mn-lt"/>
              <a:cs typeface="Segoe UI Semilight" panose="020B0402040204020203" pitchFamily="34" charset="0"/>
            </a:rPr>
            <a:t> the </a:t>
          </a:r>
          <a:r>
            <a:rPr lang="en-AU" sz="1000">
              <a:latin typeface="+mn-lt"/>
              <a:cs typeface="Segoe UI Semilight" panose="020B0402040204020203" pitchFamily="34" charset="0"/>
            </a:rPr>
            <a:t>total customer energy for all Market Customers in each region for the period from the start of the direction trading interval to the end of the direction trading interval (inclusive).</a:t>
          </a:r>
        </a:p>
        <a:p>
          <a:pPr algn="l">
            <a:spcAft>
              <a:spcPts val="300"/>
            </a:spcAft>
          </a:pPr>
          <a:endParaRPr lang="en-AU" sz="1000">
            <a:solidFill>
              <a:schemeClr val="dk1"/>
            </a:solidFill>
            <a:latin typeface="+mn-lt"/>
            <a:ea typeface="+mn-ea"/>
            <a:cs typeface="Segoe UI Semilight" panose="020B0402040204020203" pitchFamily="34" charset="0"/>
          </a:endParaRPr>
        </a:p>
        <a:p>
          <a:pPr algn="l">
            <a:spcAft>
              <a:spcPts val="300"/>
            </a:spcAft>
          </a:pPr>
          <a:r>
            <a:rPr lang="en-AU" sz="1000">
              <a:solidFill>
                <a:schemeClr val="dk1"/>
              </a:solidFill>
              <a:latin typeface="+mn-lt"/>
              <a:ea typeface="+mn-ea"/>
              <a:cs typeface="Segoe UI Semilight" panose="020B0402040204020203" pitchFamily="34" charset="0"/>
            </a:rPr>
            <a:t>The reporting period start corresponds with the date and time of issuing the first direction covered in this report</a:t>
          </a:r>
          <a:r>
            <a:rPr lang="en-AU" sz="1000" baseline="0">
              <a:solidFill>
                <a:schemeClr val="dk1"/>
              </a:solidFill>
              <a:latin typeface="+mn-lt"/>
              <a:ea typeface="+mn-ea"/>
              <a:cs typeface="Segoe UI Semilight" panose="020B0402040204020203" pitchFamily="34" charset="0"/>
            </a:rPr>
            <a:t> while</a:t>
          </a:r>
          <a:r>
            <a:rPr lang="en-AU" sz="1000">
              <a:solidFill>
                <a:schemeClr val="dk1"/>
              </a:solidFill>
              <a:latin typeface="+mn-lt"/>
              <a:ea typeface="+mn-ea"/>
              <a:cs typeface="Segoe UI Semilight" panose="020B0402040204020203" pitchFamily="34" charset="0"/>
            </a:rPr>
            <a:t> the reporting period end corresponds with the date and time of the cancellation of the last direction.</a:t>
          </a:r>
        </a:p>
        <a:p>
          <a:pPr algn="l">
            <a:spcAft>
              <a:spcPts val="300"/>
            </a:spcAft>
          </a:pPr>
          <a:endParaRPr lang="en-AU" sz="1000">
            <a:solidFill>
              <a:schemeClr val="dk1"/>
            </a:solidFill>
            <a:latin typeface="+mn-lt"/>
            <a:ea typeface="+mn-ea"/>
            <a:cs typeface="Segoe UI Semilight" panose="020B0402040204020203" pitchFamily="34" charset="0"/>
          </a:endParaRPr>
        </a:p>
        <a:p>
          <a:pPr algn="l">
            <a:spcAft>
              <a:spcPts val="300"/>
            </a:spcAft>
          </a:pPr>
          <a:r>
            <a:rPr lang="en-AU" sz="1000">
              <a:solidFill>
                <a:schemeClr val="dk1"/>
              </a:solidFill>
              <a:latin typeface="+mn-lt"/>
              <a:ea typeface="+mn-ea"/>
              <a:cs typeface="Segoe UI Semilight" panose="020B0402040204020203" pitchFamily="34" charset="0"/>
            </a:rPr>
            <a:t>The recovery rates represent the unit cost of directions to Market Customers in a region, and is expressed in dollars per megawatt hours (MWh)</a:t>
          </a:r>
          <a:r>
            <a:rPr lang="en-AU" sz="1000" baseline="0">
              <a:solidFill>
                <a:schemeClr val="dk1"/>
              </a:solidFill>
              <a:latin typeface="+mn-lt"/>
              <a:ea typeface="+mn-ea"/>
              <a:cs typeface="Segoe UI Semilight" panose="020B0402040204020203" pitchFamily="34" charset="0"/>
            </a:rPr>
            <a:t> </a:t>
          </a:r>
          <a:r>
            <a:rPr lang="en-AU" sz="1000">
              <a:solidFill>
                <a:schemeClr val="dk1"/>
              </a:solidFill>
              <a:latin typeface="+mn-lt"/>
              <a:ea typeface="+mn-ea"/>
              <a:cs typeface="Segoe UI Semilight" panose="020B0402040204020203" pitchFamily="34" charset="0"/>
            </a:rPr>
            <a:t>in five-minute granularity</a:t>
          </a:r>
          <a:r>
            <a:rPr lang="en-AU" sz="1000">
              <a:solidFill>
                <a:sysClr val="windowText" lastClr="000000"/>
              </a:solidFill>
              <a:latin typeface="+mn-lt"/>
              <a:ea typeface="+mn-ea"/>
              <a:cs typeface="Segoe UI Semilight" panose="020B0402040204020203" pitchFamily="34" charset="0"/>
            </a:rPr>
            <a:t>.</a:t>
          </a:r>
        </a:p>
        <a:p>
          <a:pPr algn="l">
            <a:spcAft>
              <a:spcPts val="300"/>
            </a:spcAft>
          </a:pPr>
          <a:endParaRPr lang="en-AU" sz="1000">
            <a:solidFill>
              <a:schemeClr val="dk1"/>
            </a:solidFill>
            <a:latin typeface="+mn-lt"/>
            <a:ea typeface="+mn-ea"/>
            <a:cs typeface="Segoe UI Semilight" panose="020B0402040204020203" pitchFamily="34" charset="0"/>
          </a:endParaRPr>
        </a:p>
        <a:p>
          <a:pPr algn="l">
            <a:spcAft>
              <a:spcPts val="300"/>
            </a:spcAft>
          </a:pPr>
          <a:r>
            <a:rPr lang="en-AU" sz="1000">
              <a:solidFill>
                <a:schemeClr val="dk1"/>
              </a:solidFill>
              <a:latin typeface="+mn-lt"/>
              <a:ea typeface="+mn-ea"/>
              <a:cs typeface="Segoe UI Semilight" panose="020B0402040204020203" pitchFamily="34" charset="0"/>
            </a:rPr>
            <a:t>The recovery rates at the end of the reporting period may contain direction costs that are not reported in the 'Summary and directions assessment' and</a:t>
          </a:r>
          <a:r>
            <a:rPr lang="en-AU" sz="1000" baseline="0">
              <a:solidFill>
                <a:schemeClr val="dk1"/>
              </a:solidFill>
              <a:latin typeface="+mn-lt"/>
              <a:ea typeface="+mn-ea"/>
              <a:cs typeface="Segoe UI Semilight" panose="020B0402040204020203" pitchFamily="34" charset="0"/>
            </a:rPr>
            <a:t> 'Directions cost &amp; directed MWh'</a:t>
          </a:r>
          <a:r>
            <a:rPr lang="en-AU" sz="1000">
              <a:solidFill>
                <a:schemeClr val="dk1"/>
              </a:solidFill>
              <a:latin typeface="+mn-lt"/>
              <a:ea typeface="+mn-ea"/>
              <a:cs typeface="Segoe UI Semilight" panose="020B0402040204020203" pitchFamily="34" charset="0"/>
            </a:rPr>
            <a:t> sections. This is because further directions may have been issued before the cancellation date and time of the last direction otherwise included in this report. </a:t>
          </a:r>
        </a:p>
        <a:p>
          <a:pPr algn="l">
            <a:spcAft>
              <a:spcPts val="300"/>
            </a:spcAft>
          </a:pPr>
          <a:endParaRPr lang="en-AU" sz="1000">
            <a:latin typeface="+mn-lt"/>
            <a:cs typeface="Segoe UI Semilight" panose="020B0402040204020203" pitchFamily="34" charset="0"/>
          </a:endParaRPr>
        </a:p>
        <a:p>
          <a:pPr algn="l">
            <a:spcAft>
              <a:spcPts val="300"/>
            </a:spcAft>
          </a:pPr>
          <a:r>
            <a:rPr lang="en-AU" sz="1000">
              <a:latin typeface="+mn-lt"/>
              <a:cs typeface="Segoe UI Semilight" panose="020B0402040204020203" pitchFamily="34" charset="0"/>
            </a:rPr>
            <a:t>Note that retail customers are charged in accordance with their contractual arrangements with retailers. Therefore, the recovery rate published in this report may differ from the amounts billed by retailers in relation to AEMO directions.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1B485C-742A-4541-B4A5-F19EDF7093B7}" name="Table1" displayName="Table1" ref="C44:K605" totalsRowShown="0" headerRowDxfId="11" dataDxfId="10" headerRowBorderDxfId="9">
  <sortState xmlns:xlrd2="http://schemas.microsoft.com/office/spreadsheetml/2017/richdata2" ref="C44:J44">
    <sortCondition ref="F44"/>
  </sortState>
  <tableColumns count="9">
    <tableColumn id="1" xr3:uid="{30EE5164-0336-4D85-906A-665AB9C83737}" name="Directed unit" dataDxfId="8">
      <calculatedColumnFormula>#REF!</calculatedColumnFormula>
    </tableColumn>
    <tableColumn id="2" xr3:uid="{2B81A360-5A7E-47C0-9BB0-895180F62537}" name="Directed Participant" dataDxfId="7">
      <calculatedColumnFormula>#REF!</calculatedColumnFormula>
    </tableColumn>
    <tableColumn id="14" xr3:uid="{D49BFD28-7595-4EAA-8AC0-C0E0EBBCE7F4}" name="Region" dataDxfId="6">
      <calculatedColumnFormula>#REF!</calculatedColumnFormula>
    </tableColumn>
    <tableColumn id="4" xr3:uid="{5B2DC161-801B-4D76-A22B-17B40CA4790B}" name="Issue time" dataDxfId="5">
      <calculatedColumnFormula>#REF!</calculatedColumnFormula>
    </tableColumn>
    <tableColumn id="13" xr3:uid="{B512BCA3-E1DA-4FA3-A261-73AAFCE1AE45}" name="Effective time" dataDxfId="4">
      <calculatedColumnFormula>#REF!</calculatedColumnFormula>
    </tableColumn>
    <tableColumn id="5" xr3:uid="{98ECA5DA-19D8-4B73-9B2C-6435860C0D33}" name="Cancellation time" dataDxfId="3">
      <calculatedColumnFormula>#REF!</calculatedColumnFormula>
    </tableColumn>
    <tableColumn id="3" xr3:uid="{BC06CEBB-673D-4C08-9292-A0DD63EBFBFA}" name="Reason" dataDxfId="2">
      <calculatedColumnFormula>#REF!</calculatedColumnFormula>
    </tableColumn>
    <tableColumn id="6" xr3:uid="{361D00D8-15B6-48AD-B82A-565D1EFF8ADB}" name="Direction instruction" dataDxfId="1">
      <calculatedColumnFormula>#REF!</calculatedColumnFormula>
    </tableColumn>
    <tableColumn id="7" xr3:uid="{3CC772AB-C8D4-45A7-9DA1-9B88DEAA288E}" name="Market Notice for the latest time to intervene" dataDxfId="0">
      <calculatedColumnFormula>#REF!</calculatedColumnFormula>
    </tableColumn>
  </tableColumns>
  <tableStyleInfo showFirstColumn="0" showLastColumn="0" showRowStripes="1" showColumnStripes="0"/>
</table>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aemo.com.au/en/energy-systems/electricity/national-electricity-market-nem/data-nem/settlements-data/direction-compensation-recovery"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aemo.com.au/-/media/files/electricity/nem/security_and_reliability/power_system_ops/procedures/so_op_3707-procedures-for-issue-of-directions-and-clause-4-8-9-instructions.pdf?la=en." TargetMode="External"/><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23E6-7E13-47F3-8A46-40785332FE62}">
  <sheetPr>
    <tabColor theme="5"/>
  </sheetPr>
  <dimension ref="B2:I51"/>
  <sheetViews>
    <sheetView showGridLines="0" showWhiteSpace="0" view="pageLayout" zoomScale="90" zoomScaleNormal="90" zoomScalePageLayoutView="90" workbookViewId="0">
      <selection activeCell="J24" sqref="J24"/>
    </sheetView>
  </sheetViews>
  <sheetFormatPr defaultRowHeight="14.25"/>
  <cols>
    <col min="1" max="1" width="4.25" customWidth="1"/>
  </cols>
  <sheetData>
    <row r="2" spans="2:9" ht="23.25" thickBot="1">
      <c r="B2" s="66" t="s">
        <v>0</v>
      </c>
      <c r="C2" s="66"/>
      <c r="D2" s="66"/>
      <c r="E2" s="66"/>
      <c r="F2" s="66"/>
      <c r="G2" s="66"/>
      <c r="H2" s="51"/>
      <c r="I2" s="51"/>
    </row>
    <row r="33" spans="2:2" ht="18">
      <c r="B33" s="26" t="s">
        <v>1</v>
      </c>
    </row>
    <row r="38" spans="2:2" ht="14.1" customHeight="1"/>
    <row r="39" spans="2:2" ht="14.1" customHeight="1"/>
    <row r="40" spans="2:2" ht="14.1" customHeight="1"/>
    <row r="41" spans="2:2" ht="14.1" customHeight="1"/>
    <row r="42" spans="2:2" ht="14.1" customHeight="1"/>
    <row r="43" spans="2:2" ht="14.1" customHeight="1"/>
    <row r="44" spans="2:2" ht="14.1" customHeight="1"/>
    <row r="45" spans="2:2" ht="14.1" customHeight="1"/>
    <row r="46" spans="2:2" ht="14.1" customHeight="1"/>
    <row r="47" spans="2:2" ht="14.1" customHeight="1"/>
    <row r="48" spans="2:2" ht="14.1" customHeight="1"/>
    <row r="49" spans="2:7" ht="14.1" customHeight="1"/>
    <row r="50" spans="2:7" ht="14.1" customHeight="1">
      <c r="B50" s="52" t="s">
        <v>2</v>
      </c>
      <c r="G50" s="53"/>
    </row>
    <row r="51" spans="2:7" ht="14.1" customHeight="1"/>
  </sheetData>
  <sheetProtection algorithmName="SHA-512" hashValue="d71M07nHh68joyHwC2bbrEDFGrYJFXH6JSb7JcX7UIvCjvrYCoibNtQ33CnJGpSUWSkF2XXLOa3CQ6BUhqOriw==" saltValue="eYT8eh/DoZ3sMjV0McesYA==" spinCount="100000" sheet="1" objects="1" scenarios="1"/>
  <mergeCells count="2">
    <mergeCell ref="B2:D2"/>
    <mergeCell ref="E2:G2"/>
  </mergeCells>
  <pageMargins left="0.7" right="0.7" top="0.75" bottom="0.75" header="0.3" footer="0.3"/>
  <pageSetup paperSize="9" orientation="portrait" r:id="rId1"/>
  <headerFooter>
    <oddHeader xml:space="preserve">&amp;L
</oddHeader>
    <oddFooter>&amp;L&amp;10Copyright: © 2023 Australian Energy Market Operator Limited.  
The material in this publication may be used in accordance with the copyright permissions on AEMO’s website.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F791-2695-488B-BAD6-DDFC89FD1C73}">
  <sheetPr>
    <tabColor theme="5"/>
  </sheetPr>
  <dimension ref="B2:XEX62"/>
  <sheetViews>
    <sheetView showGridLines="0" zoomScale="90" zoomScaleNormal="90" workbookViewId="0">
      <selection activeCell="K39" sqref="K39"/>
    </sheetView>
  </sheetViews>
  <sheetFormatPr defaultRowHeight="14.25"/>
  <cols>
    <col min="1" max="1" width="4.25" customWidth="1"/>
    <col min="2" max="2" width="12.625" customWidth="1"/>
    <col min="3" max="3" width="13" bestFit="1" customWidth="1"/>
    <col min="4" max="4" width="26.625" customWidth="1"/>
    <col min="5" max="5" width="8.375" bestFit="1" customWidth="1"/>
    <col min="6" max="6" width="15.5" customWidth="1"/>
    <col min="7" max="7" width="14" bestFit="1" customWidth="1"/>
    <col min="8" max="8" width="16.625" customWidth="1"/>
    <col min="9" max="10" width="24.625" customWidth="1"/>
    <col min="11" max="11" width="60.625" customWidth="1"/>
    <col min="15" max="15" width="15.75" customWidth="1"/>
  </cols>
  <sheetData>
    <row r="2" spans="2:11" ht="24" thickBot="1">
      <c r="B2" s="25" t="s">
        <v>3</v>
      </c>
      <c r="C2" s="22"/>
      <c r="D2" s="22"/>
      <c r="E2" s="22"/>
      <c r="F2" s="22"/>
      <c r="G2" s="22"/>
      <c r="H2" s="22"/>
      <c r="I2" s="22"/>
      <c r="J2" s="22"/>
      <c r="K2" s="22"/>
    </row>
    <row r="3" spans="2:11" ht="14.25" customHeight="1">
      <c r="C3" s="20"/>
    </row>
    <row r="5" spans="2:11" s="12" customFormat="1"/>
    <row r="34" spans="2:16378">
      <c r="B34" s="47" t="s">
        <v>4</v>
      </c>
    </row>
    <row r="36" spans="2:16378">
      <c r="B36" s="67" t="s">
        <v>5</v>
      </c>
      <c r="C36" s="67"/>
      <c r="D36" s="67"/>
      <c r="E36" s="67"/>
      <c r="F36" s="67"/>
      <c r="G36" s="67"/>
      <c r="H36" s="67"/>
      <c r="I36" s="67"/>
      <c r="J36" s="67"/>
      <c r="K36" s="67"/>
    </row>
    <row r="37" spans="2:16378" ht="28.5" customHeight="1">
      <c r="B37" s="43" t="s">
        <v>6</v>
      </c>
      <c r="C37" s="43" t="s">
        <v>7</v>
      </c>
      <c r="D37" s="43" t="s">
        <v>8</v>
      </c>
      <c r="E37" s="43" t="s">
        <v>9</v>
      </c>
      <c r="F37" s="43" t="s">
        <v>10</v>
      </c>
      <c r="G37" s="43" t="s">
        <v>11</v>
      </c>
      <c r="H37" s="43" t="s">
        <v>12</v>
      </c>
      <c r="I37" s="68" t="s">
        <v>13</v>
      </c>
      <c r="J37" s="68"/>
      <c r="K37" s="44" t="s">
        <v>14</v>
      </c>
    </row>
    <row r="38" spans="2:16378" ht="36.75" customHeight="1">
      <c r="B38" s="50">
        <v>45066.625</v>
      </c>
      <c r="C38" s="50" t="s">
        <v>15</v>
      </c>
      <c r="D38" s="50" t="s">
        <v>16</v>
      </c>
      <c r="E38" s="50" t="s">
        <v>17</v>
      </c>
      <c r="F38" s="55">
        <v>45069.875</v>
      </c>
      <c r="G38" s="55">
        <v>45070.4375</v>
      </c>
      <c r="H38" s="55">
        <v>45070.427083333336</v>
      </c>
      <c r="I38" s="69" t="s">
        <v>18</v>
      </c>
      <c r="J38" s="69"/>
      <c r="K38" s="59" t="s">
        <v>19</v>
      </c>
    </row>
    <row r="39" spans="2:16378" ht="53.25" customHeight="1">
      <c r="B39" s="50">
        <v>45066.625</v>
      </c>
      <c r="C39" s="50" t="s">
        <v>20</v>
      </c>
      <c r="D39" s="50" t="s">
        <v>21</v>
      </c>
      <c r="E39" s="50" t="s">
        <v>17</v>
      </c>
      <c r="F39" s="55">
        <v>45072.708333333336</v>
      </c>
      <c r="G39" s="55">
        <v>45073.125</v>
      </c>
      <c r="H39" s="55">
        <v>45072.75</v>
      </c>
      <c r="I39" s="70" t="s">
        <v>22</v>
      </c>
      <c r="J39" s="70"/>
      <c r="K39" s="60" t="s">
        <v>23</v>
      </c>
    </row>
    <row r="42" spans="2:16378" ht="21.6" customHeight="1">
      <c r="B42" s="47" t="s">
        <v>24</v>
      </c>
    </row>
    <row r="43" spans="2:16378">
      <c r="B43" s="67" t="s">
        <v>25</v>
      </c>
      <c r="C43" s="67"/>
      <c r="D43" s="67"/>
      <c r="E43" s="67"/>
      <c r="F43" s="67"/>
      <c r="G43" s="67"/>
      <c r="H43" s="67"/>
      <c r="I43" s="67"/>
      <c r="J43" s="67"/>
      <c r="K43" s="67"/>
    </row>
    <row r="44" spans="2:16378">
      <c r="B44" s="34" t="s">
        <v>6</v>
      </c>
      <c r="C44" s="34" t="s">
        <v>7</v>
      </c>
      <c r="D44" s="34" t="s">
        <v>8</v>
      </c>
      <c r="E44" s="34" t="s">
        <v>9</v>
      </c>
      <c r="F44" s="34" t="s">
        <v>10</v>
      </c>
      <c r="G44" s="34" t="s">
        <v>11</v>
      </c>
      <c r="H44" s="34" t="s">
        <v>12</v>
      </c>
      <c r="I44" s="34" t="s">
        <v>26</v>
      </c>
      <c r="J44" s="34" t="s">
        <v>27</v>
      </c>
      <c r="K44" s="34" t="s">
        <v>28</v>
      </c>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12"/>
      <c r="HM44" s="12"/>
      <c r="HN44" s="12"/>
      <c r="HO44" s="12"/>
      <c r="HP44" s="12"/>
      <c r="HQ44" s="12"/>
      <c r="HR44" s="12"/>
      <c r="HS44" s="12"/>
      <c r="HT44" s="12"/>
      <c r="HU44" s="12"/>
      <c r="HV44" s="12"/>
      <c r="HW44" s="12"/>
      <c r="HX44" s="12"/>
      <c r="HY44" s="12"/>
      <c r="HZ44" s="12"/>
      <c r="IA44" s="12"/>
      <c r="IB44" s="12"/>
      <c r="IC44" s="12"/>
      <c r="ID44" s="12"/>
      <c r="IE44" s="12"/>
      <c r="IF44" s="12"/>
      <c r="IG44" s="12"/>
      <c r="IH44" s="12"/>
      <c r="II44" s="12"/>
      <c r="IJ44" s="12"/>
      <c r="IK44" s="12"/>
      <c r="IL44" s="12"/>
      <c r="IM44" s="12"/>
      <c r="IN44" s="12"/>
      <c r="IO44" s="12"/>
      <c r="IP44" s="12"/>
      <c r="IQ44" s="12"/>
      <c r="IR44" s="12"/>
      <c r="IS44" s="12"/>
      <c r="IT44" s="12"/>
      <c r="IU44" s="12"/>
      <c r="IV44" s="12"/>
      <c r="IW44" s="12"/>
      <c r="IX44" s="12"/>
      <c r="IY44" s="12"/>
      <c r="IZ44" s="12"/>
      <c r="JA44" s="12"/>
      <c r="JB44" s="12"/>
      <c r="JC44" s="12"/>
      <c r="JD44" s="12"/>
      <c r="JE44" s="12"/>
      <c r="JF44" s="12"/>
      <c r="JG44" s="12"/>
      <c r="JH44" s="12"/>
      <c r="JI44" s="12"/>
      <c r="JJ44" s="12"/>
      <c r="JK44" s="12"/>
      <c r="JL44" s="12"/>
      <c r="JM44" s="12"/>
      <c r="JN44" s="12"/>
      <c r="JO44" s="12"/>
      <c r="JP44" s="12"/>
      <c r="JQ44" s="12"/>
      <c r="JR44" s="12"/>
      <c r="JS44" s="12"/>
      <c r="JT44" s="12"/>
      <c r="JU44" s="12"/>
      <c r="JV44" s="12"/>
      <c r="JW44" s="12"/>
      <c r="JX44" s="12"/>
      <c r="JY44" s="12"/>
      <c r="JZ44" s="12"/>
      <c r="KA44" s="12"/>
      <c r="KB44" s="12"/>
      <c r="KC44" s="12"/>
      <c r="KD44" s="12"/>
      <c r="KE44" s="12"/>
      <c r="KF44" s="12"/>
      <c r="KG44" s="12"/>
      <c r="KH44" s="12"/>
      <c r="KI44" s="12"/>
      <c r="KJ44" s="12"/>
      <c r="KK44" s="12"/>
      <c r="KL44" s="12"/>
      <c r="KM44" s="12"/>
      <c r="KN44" s="12"/>
      <c r="KO44" s="12"/>
      <c r="KP44" s="12"/>
      <c r="KQ44" s="12"/>
      <c r="KR44" s="12"/>
      <c r="KS44" s="12"/>
      <c r="KT44" s="12"/>
      <c r="KU44" s="12"/>
      <c r="KV44" s="12"/>
      <c r="KW44" s="12"/>
      <c r="KX44" s="12"/>
      <c r="KY44" s="12"/>
      <c r="KZ44" s="12"/>
      <c r="LA44" s="12"/>
      <c r="LB44" s="12"/>
      <c r="LC44" s="12"/>
      <c r="LD44" s="12"/>
      <c r="LE44" s="12"/>
      <c r="LF44" s="12"/>
      <c r="LG44" s="12"/>
      <c r="LH44" s="12"/>
      <c r="LI44" s="12"/>
      <c r="LJ44" s="12"/>
      <c r="LK44" s="12"/>
      <c r="LL44" s="12"/>
      <c r="LM44" s="12"/>
      <c r="LN44" s="12"/>
      <c r="LO44" s="12"/>
      <c r="LP44" s="12"/>
      <c r="LQ44" s="12"/>
      <c r="LR44" s="12"/>
      <c r="LS44" s="12"/>
      <c r="LT44" s="12"/>
      <c r="LU44" s="12"/>
      <c r="LV44" s="12"/>
      <c r="LW44" s="12"/>
      <c r="LX44" s="12"/>
      <c r="LY44" s="12"/>
      <c r="LZ44" s="12"/>
      <c r="MA44" s="12"/>
      <c r="MB44" s="12"/>
      <c r="MC44" s="12"/>
      <c r="MD44" s="12"/>
      <c r="ME44" s="12"/>
      <c r="MF44" s="12"/>
      <c r="MG44" s="12"/>
      <c r="MH44" s="12"/>
      <c r="MI44" s="12"/>
      <c r="MJ44" s="12"/>
      <c r="MK44" s="12"/>
      <c r="ML44" s="12"/>
      <c r="MM44" s="12"/>
      <c r="MN44" s="12"/>
      <c r="MO44" s="12"/>
      <c r="MP44" s="12"/>
      <c r="MQ44" s="12"/>
      <c r="MR44" s="12"/>
      <c r="MS44" s="12"/>
      <c r="MT44" s="12"/>
      <c r="MU44" s="12"/>
      <c r="MV44" s="12"/>
      <c r="MW44" s="12"/>
      <c r="MX44" s="12"/>
      <c r="MY44" s="12"/>
      <c r="MZ44" s="12"/>
      <c r="NA44" s="12"/>
      <c r="NB44" s="12"/>
      <c r="NC44" s="12"/>
      <c r="ND44" s="12"/>
      <c r="NE44" s="12"/>
      <c r="NF44" s="12"/>
      <c r="NG44" s="12"/>
      <c r="NH44" s="12"/>
      <c r="NI44" s="12"/>
      <c r="NJ44" s="12"/>
      <c r="NK44" s="12"/>
      <c r="NL44" s="12"/>
      <c r="NM44" s="12"/>
      <c r="NN44" s="12"/>
      <c r="NO44" s="12"/>
      <c r="NP44" s="12"/>
      <c r="NQ44" s="12"/>
      <c r="NR44" s="12"/>
      <c r="NS44" s="12"/>
      <c r="NT44" s="12"/>
      <c r="NU44" s="12"/>
      <c r="NV44" s="12"/>
      <c r="NW44" s="12"/>
      <c r="NX44" s="12"/>
      <c r="NY44" s="12"/>
      <c r="NZ44" s="12"/>
      <c r="OA44" s="12"/>
      <c r="OB44" s="12"/>
      <c r="OC44" s="12"/>
      <c r="OD44" s="12"/>
      <c r="OE44" s="12"/>
      <c r="OF44" s="12"/>
      <c r="OG44" s="12"/>
      <c r="OH44" s="12"/>
      <c r="OI44" s="12"/>
      <c r="OJ44" s="12"/>
      <c r="OK44" s="12"/>
      <c r="OL44" s="12"/>
      <c r="OM44" s="12"/>
      <c r="ON44" s="12"/>
      <c r="OO44" s="12"/>
      <c r="OP44" s="12"/>
      <c r="OQ44" s="12"/>
      <c r="OR44" s="12"/>
      <c r="OS44" s="12"/>
      <c r="OT44" s="12"/>
      <c r="OU44" s="12"/>
      <c r="OV44" s="12"/>
      <c r="OW44" s="12"/>
      <c r="OX44" s="12"/>
      <c r="OY44" s="12"/>
      <c r="OZ44" s="12"/>
      <c r="PA44" s="12"/>
      <c r="PB44" s="12"/>
      <c r="PC44" s="12"/>
      <c r="PD44" s="12"/>
      <c r="PE44" s="12"/>
      <c r="PF44" s="12"/>
      <c r="PG44" s="12"/>
      <c r="PH44" s="12"/>
      <c r="PI44" s="12"/>
      <c r="PJ44" s="12"/>
      <c r="PK44" s="12"/>
      <c r="PL44" s="12"/>
      <c r="PM44" s="12"/>
      <c r="PN44" s="12"/>
      <c r="PO44" s="12"/>
      <c r="PP44" s="12"/>
      <c r="PQ44" s="12"/>
      <c r="PR44" s="12"/>
      <c r="PS44" s="12"/>
      <c r="PT44" s="12"/>
      <c r="PU44" s="12"/>
      <c r="PV44" s="12"/>
      <c r="PW44" s="12"/>
      <c r="PX44" s="12"/>
      <c r="PY44" s="12"/>
      <c r="PZ44" s="12"/>
      <c r="QA44" s="12"/>
      <c r="QB44" s="12"/>
      <c r="QC44" s="12"/>
      <c r="QD44" s="12"/>
      <c r="QE44" s="12"/>
      <c r="QF44" s="12"/>
      <c r="QG44" s="12"/>
      <c r="QH44" s="12"/>
      <c r="QI44" s="12"/>
      <c r="QJ44" s="12"/>
      <c r="QK44" s="12"/>
      <c r="QL44" s="12"/>
      <c r="QM44" s="12"/>
      <c r="QN44" s="12"/>
      <c r="QO44" s="12"/>
      <c r="QP44" s="12"/>
      <c r="QQ44" s="12"/>
      <c r="QR44" s="12"/>
      <c r="QS44" s="12"/>
      <c r="QT44" s="12"/>
      <c r="QU44" s="12"/>
      <c r="QV44" s="12"/>
      <c r="QW44" s="12"/>
      <c r="QX44" s="12"/>
      <c r="QY44" s="12"/>
      <c r="QZ44" s="12"/>
      <c r="RA44" s="12"/>
      <c r="RB44" s="12"/>
      <c r="RC44" s="12"/>
      <c r="RD44" s="12"/>
      <c r="RE44" s="12"/>
      <c r="RF44" s="12"/>
      <c r="RG44" s="12"/>
      <c r="RH44" s="12"/>
      <c r="RI44" s="12"/>
      <c r="RJ44" s="12"/>
      <c r="RK44" s="12"/>
      <c r="RL44" s="12"/>
      <c r="RM44" s="12"/>
      <c r="RN44" s="12"/>
      <c r="RO44" s="12"/>
      <c r="RP44" s="12"/>
      <c r="RQ44" s="12"/>
      <c r="RR44" s="12"/>
      <c r="RS44" s="12"/>
      <c r="RT44" s="12"/>
      <c r="RU44" s="12"/>
      <c r="RV44" s="12"/>
      <c r="RW44" s="12"/>
      <c r="RX44" s="12"/>
      <c r="RY44" s="12"/>
      <c r="RZ44" s="12"/>
      <c r="SA44" s="12"/>
      <c r="SB44" s="12"/>
      <c r="SC44" s="12"/>
      <c r="SD44" s="12"/>
      <c r="SE44" s="12"/>
      <c r="SF44" s="12"/>
      <c r="SG44" s="12"/>
      <c r="SH44" s="12"/>
      <c r="SI44" s="12"/>
      <c r="SJ44" s="12"/>
      <c r="SK44" s="12"/>
      <c r="SL44" s="12"/>
      <c r="SM44" s="12"/>
      <c r="SN44" s="12"/>
      <c r="SO44" s="12"/>
      <c r="SP44" s="12"/>
      <c r="SQ44" s="12"/>
      <c r="SR44" s="12"/>
      <c r="SS44" s="12"/>
      <c r="ST44" s="12"/>
      <c r="SU44" s="12"/>
      <c r="SV44" s="12"/>
      <c r="SW44" s="12"/>
      <c r="SX44" s="12"/>
      <c r="SY44" s="12"/>
      <c r="SZ44" s="12"/>
      <c r="TA44" s="12"/>
      <c r="TB44" s="12"/>
      <c r="TC44" s="12"/>
      <c r="TD44" s="12"/>
      <c r="TE44" s="12"/>
      <c r="TF44" s="12"/>
      <c r="TG44" s="12"/>
      <c r="TH44" s="12"/>
      <c r="TI44" s="12"/>
      <c r="TJ44" s="12"/>
      <c r="TK44" s="12"/>
      <c r="TL44" s="12"/>
      <c r="TM44" s="12"/>
      <c r="TN44" s="12"/>
      <c r="TO44" s="12"/>
      <c r="TP44" s="12"/>
      <c r="TQ44" s="12"/>
      <c r="TR44" s="12"/>
      <c r="TS44" s="12"/>
      <c r="TT44" s="12"/>
      <c r="TU44" s="12"/>
      <c r="TV44" s="12"/>
      <c r="TW44" s="12"/>
      <c r="TX44" s="12"/>
      <c r="TY44" s="12"/>
      <c r="TZ44" s="12"/>
      <c r="UA44" s="12"/>
      <c r="UB44" s="12"/>
      <c r="UC44" s="12"/>
      <c r="UD44" s="12"/>
      <c r="UE44" s="12"/>
      <c r="UF44" s="12"/>
      <c r="UG44" s="12"/>
      <c r="UH44" s="12"/>
      <c r="UI44" s="12"/>
      <c r="UJ44" s="12"/>
      <c r="UK44" s="12"/>
      <c r="UL44" s="12"/>
      <c r="UM44" s="12"/>
      <c r="UN44" s="12"/>
      <c r="UO44" s="12"/>
      <c r="UP44" s="12"/>
      <c r="UQ44" s="12"/>
      <c r="UR44" s="12"/>
      <c r="US44" s="12"/>
      <c r="UT44" s="12"/>
      <c r="UU44" s="12"/>
      <c r="UV44" s="12"/>
      <c r="UW44" s="12"/>
      <c r="UX44" s="12"/>
      <c r="UY44" s="12"/>
      <c r="UZ44" s="12"/>
      <c r="VA44" s="12"/>
      <c r="VB44" s="12"/>
      <c r="VC44" s="12"/>
      <c r="VD44" s="12"/>
      <c r="VE44" s="12"/>
      <c r="VF44" s="12"/>
      <c r="VG44" s="12"/>
      <c r="VH44" s="12"/>
      <c r="VI44" s="12"/>
      <c r="VJ44" s="12"/>
      <c r="VK44" s="12"/>
      <c r="VL44" s="12"/>
      <c r="VM44" s="12"/>
      <c r="VN44" s="12"/>
      <c r="VO44" s="12"/>
      <c r="VP44" s="12"/>
      <c r="VQ44" s="12"/>
      <c r="VR44" s="12"/>
      <c r="VS44" s="12"/>
      <c r="VT44" s="12"/>
      <c r="VU44" s="12"/>
      <c r="VV44" s="12"/>
      <c r="VW44" s="12"/>
      <c r="VX44" s="12"/>
      <c r="VY44" s="12"/>
      <c r="VZ44" s="12"/>
      <c r="WA44" s="12"/>
      <c r="WB44" s="12"/>
      <c r="WC44" s="12"/>
      <c r="WD44" s="12"/>
      <c r="WE44" s="12"/>
      <c r="WF44" s="12"/>
      <c r="WG44" s="12"/>
      <c r="WH44" s="12"/>
      <c r="WI44" s="12"/>
      <c r="WJ44" s="12"/>
      <c r="WK44" s="12"/>
      <c r="WL44" s="12"/>
      <c r="WM44" s="12"/>
      <c r="WN44" s="12"/>
      <c r="WO44" s="12"/>
      <c r="WP44" s="12"/>
      <c r="WQ44" s="12"/>
      <c r="WR44" s="12"/>
      <c r="WS44" s="12"/>
      <c r="WT44" s="12"/>
      <c r="WU44" s="12"/>
      <c r="WV44" s="12"/>
      <c r="WW44" s="12"/>
      <c r="WX44" s="12"/>
      <c r="WY44" s="12"/>
      <c r="WZ44" s="12"/>
      <c r="XA44" s="12"/>
      <c r="XB44" s="12"/>
      <c r="XC44" s="12"/>
      <c r="XD44" s="12"/>
      <c r="XE44" s="12"/>
      <c r="XF44" s="12"/>
      <c r="XG44" s="12"/>
      <c r="XH44" s="12"/>
      <c r="XI44" s="12"/>
      <c r="XJ44" s="12"/>
      <c r="XK44" s="12"/>
      <c r="XL44" s="12"/>
      <c r="XM44" s="12"/>
      <c r="XN44" s="12"/>
      <c r="XO44" s="12"/>
      <c r="XP44" s="12"/>
      <c r="XQ44" s="12"/>
      <c r="XR44" s="12"/>
      <c r="XS44" s="12"/>
      <c r="XT44" s="12"/>
      <c r="XU44" s="12"/>
      <c r="XV44" s="12"/>
      <c r="XW44" s="12"/>
      <c r="XX44" s="12"/>
      <c r="XY44" s="12"/>
      <c r="XZ44" s="12"/>
      <c r="YA44" s="12"/>
      <c r="YB44" s="12"/>
      <c r="YC44" s="12"/>
      <c r="YD44" s="12"/>
      <c r="YE44" s="12"/>
      <c r="YF44" s="12"/>
      <c r="YG44" s="12"/>
      <c r="YH44" s="12"/>
      <c r="YI44" s="12"/>
      <c r="YJ44" s="12"/>
      <c r="YK44" s="12"/>
      <c r="YL44" s="12"/>
      <c r="YM44" s="12"/>
      <c r="YN44" s="12"/>
      <c r="YO44" s="12"/>
      <c r="YP44" s="12"/>
      <c r="YQ44" s="12"/>
      <c r="YR44" s="12"/>
      <c r="YS44" s="12"/>
      <c r="YT44" s="12"/>
      <c r="YU44" s="12"/>
      <c r="YV44" s="12"/>
      <c r="YW44" s="12"/>
      <c r="YX44" s="12"/>
      <c r="YY44" s="12"/>
      <c r="YZ44" s="12"/>
      <c r="ZA44" s="12"/>
      <c r="ZB44" s="12"/>
      <c r="ZC44" s="12"/>
      <c r="ZD44" s="12"/>
      <c r="ZE44" s="12"/>
      <c r="ZF44" s="12"/>
      <c r="ZG44" s="12"/>
      <c r="ZH44" s="12"/>
      <c r="ZI44" s="12"/>
      <c r="ZJ44" s="12"/>
      <c r="ZK44" s="12"/>
      <c r="ZL44" s="12"/>
      <c r="ZM44" s="12"/>
      <c r="ZN44" s="12"/>
      <c r="ZO44" s="12"/>
      <c r="ZP44" s="12"/>
      <c r="ZQ44" s="12"/>
      <c r="ZR44" s="12"/>
      <c r="ZS44" s="12"/>
      <c r="ZT44" s="12"/>
      <c r="ZU44" s="12"/>
      <c r="ZV44" s="12"/>
      <c r="ZW44" s="12"/>
      <c r="ZX44" s="12"/>
      <c r="ZY44" s="12"/>
      <c r="ZZ44" s="12"/>
      <c r="AAA44" s="12"/>
      <c r="AAB44" s="12"/>
      <c r="AAC44" s="12"/>
      <c r="AAD44" s="12"/>
      <c r="AAE44" s="12"/>
      <c r="AAF44" s="12"/>
      <c r="AAG44" s="12"/>
      <c r="AAH44" s="12"/>
      <c r="AAI44" s="12"/>
      <c r="AAJ44" s="12"/>
      <c r="AAK44" s="12"/>
      <c r="AAL44" s="12"/>
      <c r="AAM44" s="12"/>
      <c r="AAN44" s="12"/>
      <c r="AAO44" s="12"/>
      <c r="AAP44" s="12"/>
      <c r="AAQ44" s="12"/>
      <c r="AAR44" s="12"/>
      <c r="AAS44" s="12"/>
      <c r="AAT44" s="12"/>
      <c r="AAU44" s="12"/>
      <c r="AAV44" s="12"/>
      <c r="AAW44" s="12"/>
      <c r="AAX44" s="12"/>
      <c r="AAY44" s="12"/>
      <c r="AAZ44" s="12"/>
      <c r="ABA44" s="12"/>
      <c r="ABB44" s="12"/>
      <c r="ABC44" s="12"/>
      <c r="ABD44" s="12"/>
      <c r="ABE44" s="12"/>
      <c r="ABF44" s="12"/>
      <c r="ABG44" s="12"/>
      <c r="ABH44" s="12"/>
      <c r="ABI44" s="12"/>
      <c r="ABJ44" s="12"/>
      <c r="ABK44" s="12"/>
      <c r="ABL44" s="12"/>
      <c r="ABM44" s="12"/>
      <c r="ABN44" s="12"/>
      <c r="ABO44" s="12"/>
      <c r="ABP44" s="12"/>
      <c r="ABQ44" s="12"/>
      <c r="ABR44" s="12"/>
      <c r="ABS44" s="12"/>
      <c r="ABT44" s="12"/>
      <c r="ABU44" s="12"/>
      <c r="ABV44" s="12"/>
      <c r="ABW44" s="12"/>
      <c r="ABX44" s="12"/>
      <c r="ABY44" s="12"/>
      <c r="ABZ44" s="12"/>
      <c r="ACA44" s="12"/>
      <c r="ACB44" s="12"/>
      <c r="ACC44" s="12"/>
      <c r="ACD44" s="12"/>
      <c r="ACE44" s="12"/>
      <c r="ACF44" s="12"/>
      <c r="ACG44" s="12"/>
      <c r="ACH44" s="12"/>
      <c r="ACI44" s="12"/>
      <c r="ACJ44" s="12"/>
      <c r="ACK44" s="12"/>
      <c r="ACL44" s="12"/>
      <c r="ACM44" s="12"/>
      <c r="ACN44" s="12"/>
      <c r="ACO44" s="12"/>
      <c r="ACP44" s="12"/>
      <c r="ACQ44" s="12"/>
      <c r="ACR44" s="12"/>
      <c r="ACS44" s="12"/>
      <c r="ACT44" s="12"/>
      <c r="ACU44" s="12"/>
      <c r="ACV44" s="12"/>
      <c r="ACW44" s="12"/>
      <c r="ACX44" s="12"/>
      <c r="ACY44" s="12"/>
      <c r="ACZ44" s="12"/>
      <c r="ADA44" s="12"/>
      <c r="ADB44" s="12"/>
      <c r="ADC44" s="12"/>
      <c r="ADD44" s="12"/>
      <c r="ADE44" s="12"/>
      <c r="ADF44" s="12"/>
      <c r="ADG44" s="12"/>
      <c r="ADH44" s="12"/>
      <c r="ADI44" s="12"/>
      <c r="ADJ44" s="12"/>
      <c r="ADK44" s="12"/>
      <c r="ADL44" s="12"/>
      <c r="ADM44" s="12"/>
      <c r="ADN44" s="12"/>
      <c r="ADO44" s="12"/>
      <c r="ADP44" s="12"/>
      <c r="ADQ44" s="12"/>
      <c r="ADR44" s="12"/>
      <c r="ADS44" s="12"/>
      <c r="ADT44" s="12"/>
      <c r="ADU44" s="12"/>
      <c r="ADV44" s="12"/>
      <c r="ADW44" s="12"/>
      <c r="ADX44" s="12"/>
      <c r="ADY44" s="12"/>
      <c r="ADZ44" s="12"/>
      <c r="AEA44" s="12"/>
      <c r="AEB44" s="12"/>
      <c r="AEC44" s="12"/>
      <c r="AED44" s="12"/>
      <c r="AEE44" s="12"/>
      <c r="AEF44" s="12"/>
      <c r="AEG44" s="12"/>
      <c r="AEH44" s="12"/>
      <c r="AEI44" s="12"/>
      <c r="AEJ44" s="12"/>
      <c r="AEK44" s="12"/>
      <c r="AEL44" s="12"/>
      <c r="AEM44" s="12"/>
      <c r="AEN44" s="12"/>
      <c r="AEO44" s="12"/>
      <c r="AEP44" s="12"/>
      <c r="AEQ44" s="12"/>
      <c r="AER44" s="12"/>
      <c r="AES44" s="12"/>
      <c r="AET44" s="12"/>
      <c r="AEU44" s="12"/>
      <c r="AEV44" s="12"/>
      <c r="AEW44" s="12"/>
      <c r="AEX44" s="12"/>
      <c r="AEY44" s="12"/>
      <c r="AEZ44" s="12"/>
      <c r="AFA44" s="12"/>
      <c r="AFB44" s="12"/>
      <c r="AFC44" s="12"/>
      <c r="AFD44" s="12"/>
      <c r="AFE44" s="12"/>
      <c r="AFF44" s="12"/>
      <c r="AFG44" s="12"/>
      <c r="AFH44" s="12"/>
      <c r="AFI44" s="12"/>
      <c r="AFJ44" s="12"/>
      <c r="AFK44" s="12"/>
      <c r="AFL44" s="12"/>
      <c r="AFM44" s="12"/>
      <c r="AFN44" s="12"/>
      <c r="AFO44" s="12"/>
      <c r="AFP44" s="12"/>
      <c r="AFQ44" s="12"/>
      <c r="AFR44" s="12"/>
      <c r="AFS44" s="12"/>
      <c r="AFT44" s="12"/>
      <c r="AFU44" s="12"/>
      <c r="AFV44" s="12"/>
      <c r="AFW44" s="12"/>
      <c r="AFX44" s="12"/>
      <c r="AFY44" s="12"/>
      <c r="AFZ44" s="12"/>
      <c r="AGA44" s="12"/>
      <c r="AGB44" s="12"/>
      <c r="AGC44" s="12"/>
      <c r="AGD44" s="12"/>
      <c r="AGE44" s="12"/>
      <c r="AGF44" s="12"/>
      <c r="AGG44" s="12"/>
      <c r="AGH44" s="12"/>
      <c r="AGI44" s="12"/>
      <c r="AGJ44" s="12"/>
      <c r="AGK44" s="12"/>
      <c r="AGL44" s="12"/>
      <c r="AGM44" s="12"/>
      <c r="AGN44" s="12"/>
      <c r="AGO44" s="12"/>
      <c r="AGP44" s="12"/>
      <c r="AGQ44" s="12"/>
      <c r="AGR44" s="12"/>
      <c r="AGS44" s="12"/>
      <c r="AGT44" s="12"/>
      <c r="AGU44" s="12"/>
      <c r="AGV44" s="12"/>
      <c r="AGW44" s="12"/>
      <c r="AGX44" s="12"/>
      <c r="AGY44" s="12"/>
      <c r="AGZ44" s="12"/>
      <c r="AHA44" s="12"/>
      <c r="AHB44" s="12"/>
      <c r="AHC44" s="12"/>
      <c r="AHD44" s="12"/>
      <c r="AHE44" s="12"/>
      <c r="AHF44" s="12"/>
      <c r="AHG44" s="12"/>
      <c r="AHH44" s="12"/>
      <c r="AHI44" s="12"/>
      <c r="AHJ44" s="12"/>
      <c r="AHK44" s="12"/>
      <c r="AHL44" s="12"/>
      <c r="AHM44" s="12"/>
      <c r="AHN44" s="12"/>
      <c r="AHO44" s="12"/>
      <c r="AHP44" s="12"/>
      <c r="AHQ44" s="12"/>
      <c r="AHR44" s="12"/>
      <c r="AHS44" s="12"/>
      <c r="AHT44" s="12"/>
      <c r="AHU44" s="12"/>
      <c r="AHV44" s="12"/>
      <c r="AHW44" s="12"/>
      <c r="AHX44" s="12"/>
      <c r="AHY44" s="12"/>
      <c r="AHZ44" s="12"/>
      <c r="AIA44" s="12"/>
      <c r="AIB44" s="12"/>
      <c r="AIC44" s="12"/>
      <c r="AID44" s="12"/>
      <c r="AIE44" s="12"/>
      <c r="AIF44" s="12"/>
      <c r="AIG44" s="12"/>
      <c r="AIH44" s="12"/>
      <c r="AII44" s="12"/>
      <c r="AIJ44" s="12"/>
      <c r="AIK44" s="12"/>
      <c r="AIL44" s="12"/>
      <c r="AIM44" s="12"/>
      <c r="AIN44" s="12"/>
      <c r="AIO44" s="12"/>
      <c r="AIP44" s="12"/>
      <c r="AIQ44" s="12"/>
      <c r="AIR44" s="12"/>
      <c r="AIS44" s="12"/>
      <c r="AIT44" s="12"/>
      <c r="AIU44" s="12"/>
      <c r="AIV44" s="12"/>
      <c r="AIW44" s="12"/>
      <c r="AIX44" s="12"/>
      <c r="AIY44" s="12"/>
      <c r="AIZ44" s="12"/>
      <c r="AJA44" s="12"/>
      <c r="AJB44" s="12"/>
      <c r="AJC44" s="12"/>
      <c r="AJD44" s="12"/>
      <c r="AJE44" s="12"/>
      <c r="AJF44" s="12"/>
      <c r="AJG44" s="12"/>
      <c r="AJH44" s="12"/>
      <c r="AJI44" s="12"/>
      <c r="AJJ44" s="12"/>
      <c r="AJK44" s="12"/>
      <c r="AJL44" s="12"/>
      <c r="AJM44" s="12"/>
      <c r="AJN44" s="12"/>
      <c r="AJO44" s="12"/>
      <c r="AJP44" s="12"/>
      <c r="AJQ44" s="12"/>
      <c r="AJR44" s="12"/>
      <c r="AJS44" s="12"/>
      <c r="AJT44" s="12"/>
      <c r="AJU44" s="12"/>
      <c r="AJV44" s="12"/>
      <c r="AJW44" s="12"/>
      <c r="AJX44" s="12"/>
      <c r="AJY44" s="12"/>
      <c r="AJZ44" s="12"/>
      <c r="AKA44" s="12"/>
      <c r="AKB44" s="12"/>
      <c r="AKC44" s="12"/>
      <c r="AKD44" s="12"/>
      <c r="AKE44" s="12"/>
      <c r="AKF44" s="12"/>
      <c r="AKG44" s="12"/>
      <c r="AKH44" s="12"/>
      <c r="AKI44" s="12"/>
      <c r="AKJ44" s="12"/>
      <c r="AKK44" s="12"/>
      <c r="AKL44" s="12"/>
      <c r="AKM44" s="12"/>
      <c r="AKN44" s="12"/>
      <c r="AKO44" s="12"/>
      <c r="AKP44" s="12"/>
      <c r="AKQ44" s="12"/>
      <c r="AKR44" s="12"/>
      <c r="AKS44" s="12"/>
      <c r="AKT44" s="12"/>
      <c r="AKU44" s="12"/>
      <c r="AKV44" s="12"/>
      <c r="AKW44" s="12"/>
      <c r="AKX44" s="12"/>
      <c r="AKY44" s="12"/>
      <c r="AKZ44" s="12"/>
      <c r="ALA44" s="12"/>
      <c r="ALB44" s="12"/>
      <c r="ALC44" s="12"/>
      <c r="ALD44" s="12"/>
      <c r="ALE44" s="12"/>
      <c r="ALF44" s="12"/>
      <c r="ALG44" s="12"/>
      <c r="ALH44" s="12"/>
      <c r="ALI44" s="12"/>
      <c r="ALJ44" s="12"/>
      <c r="ALK44" s="12"/>
      <c r="ALL44" s="12"/>
      <c r="ALM44" s="12"/>
      <c r="ALN44" s="12"/>
      <c r="ALO44" s="12"/>
      <c r="ALP44" s="12"/>
      <c r="ALQ44" s="12"/>
      <c r="ALR44" s="12"/>
      <c r="ALS44" s="12"/>
      <c r="ALT44" s="12"/>
      <c r="ALU44" s="12"/>
      <c r="ALV44" s="12"/>
      <c r="ALW44" s="12"/>
      <c r="ALX44" s="12"/>
      <c r="ALY44" s="12"/>
      <c r="ALZ44" s="12"/>
      <c r="AMA44" s="12"/>
      <c r="AMB44" s="12"/>
      <c r="AMC44" s="12"/>
      <c r="AMD44" s="12"/>
      <c r="AME44" s="12"/>
      <c r="AMF44" s="12"/>
      <c r="AMG44" s="12"/>
      <c r="AMH44" s="12"/>
      <c r="AMI44" s="12"/>
      <c r="AMJ44" s="12"/>
      <c r="AMK44" s="12"/>
      <c r="AML44" s="12"/>
      <c r="AMM44" s="12"/>
      <c r="AMN44" s="12"/>
      <c r="AMO44" s="12"/>
      <c r="AMP44" s="12"/>
      <c r="AMQ44" s="12"/>
      <c r="AMR44" s="12"/>
      <c r="AMS44" s="12"/>
      <c r="AMT44" s="12"/>
      <c r="AMU44" s="12"/>
      <c r="AMV44" s="12"/>
      <c r="AMW44" s="12"/>
      <c r="AMX44" s="12"/>
      <c r="AMY44" s="12"/>
      <c r="AMZ44" s="12"/>
      <c r="ANA44" s="12"/>
      <c r="ANB44" s="12"/>
      <c r="ANC44" s="12"/>
      <c r="AND44" s="12"/>
      <c r="ANE44" s="12"/>
      <c r="ANF44" s="12"/>
      <c r="ANG44" s="12"/>
      <c r="ANH44" s="12"/>
      <c r="ANI44" s="12"/>
      <c r="ANJ44" s="12"/>
      <c r="ANK44" s="12"/>
      <c r="ANL44" s="12"/>
      <c r="ANM44" s="12"/>
      <c r="ANN44" s="12"/>
      <c r="ANO44" s="12"/>
      <c r="ANP44" s="12"/>
      <c r="ANQ44" s="12"/>
      <c r="ANR44" s="12"/>
      <c r="ANS44" s="12"/>
      <c r="ANT44" s="12"/>
      <c r="ANU44" s="12"/>
      <c r="ANV44" s="12"/>
      <c r="ANW44" s="12"/>
      <c r="ANX44" s="12"/>
      <c r="ANY44" s="12"/>
      <c r="ANZ44" s="12"/>
      <c r="AOA44" s="12"/>
      <c r="AOB44" s="12"/>
      <c r="AOC44" s="12"/>
      <c r="AOD44" s="12"/>
      <c r="AOE44" s="12"/>
      <c r="AOF44" s="12"/>
      <c r="AOG44" s="12"/>
      <c r="AOH44" s="12"/>
      <c r="AOI44" s="12"/>
      <c r="AOJ44" s="12"/>
      <c r="AOK44" s="12"/>
      <c r="AOL44" s="12"/>
      <c r="AOM44" s="12"/>
      <c r="AON44" s="12"/>
      <c r="AOO44" s="12"/>
      <c r="AOP44" s="12"/>
      <c r="AOQ44" s="12"/>
      <c r="AOR44" s="12"/>
      <c r="AOS44" s="12"/>
      <c r="AOT44" s="12"/>
      <c r="AOU44" s="12"/>
      <c r="AOV44" s="12"/>
      <c r="AOW44" s="12"/>
      <c r="AOX44" s="12"/>
      <c r="AOY44" s="12"/>
      <c r="AOZ44" s="12"/>
      <c r="APA44" s="12"/>
      <c r="APB44" s="12"/>
      <c r="APC44" s="12"/>
      <c r="APD44" s="12"/>
      <c r="APE44" s="12"/>
      <c r="APF44" s="12"/>
      <c r="APG44" s="12"/>
      <c r="APH44" s="12"/>
      <c r="API44" s="12"/>
      <c r="APJ44" s="12"/>
      <c r="APK44" s="12"/>
      <c r="APL44" s="12"/>
      <c r="APM44" s="12"/>
      <c r="APN44" s="12"/>
      <c r="APO44" s="12"/>
      <c r="APP44" s="12"/>
      <c r="APQ44" s="12"/>
      <c r="APR44" s="12"/>
      <c r="APS44" s="12"/>
      <c r="APT44" s="12"/>
      <c r="APU44" s="12"/>
      <c r="APV44" s="12"/>
      <c r="APW44" s="12"/>
      <c r="APX44" s="12"/>
      <c r="APY44" s="12"/>
      <c r="APZ44" s="12"/>
      <c r="AQA44" s="12"/>
      <c r="AQB44" s="12"/>
      <c r="AQC44" s="12"/>
      <c r="AQD44" s="12"/>
      <c r="AQE44" s="12"/>
      <c r="AQF44" s="12"/>
      <c r="AQG44" s="12"/>
      <c r="AQH44" s="12"/>
      <c r="AQI44" s="12"/>
      <c r="AQJ44" s="12"/>
      <c r="AQK44" s="12"/>
      <c r="AQL44" s="12"/>
      <c r="AQM44" s="12"/>
      <c r="AQN44" s="12"/>
      <c r="AQO44" s="12"/>
      <c r="AQP44" s="12"/>
      <c r="AQQ44" s="12"/>
      <c r="AQR44" s="12"/>
      <c r="AQS44" s="12"/>
      <c r="AQT44" s="12"/>
      <c r="AQU44" s="12"/>
      <c r="AQV44" s="12"/>
      <c r="AQW44" s="12"/>
      <c r="AQX44" s="12"/>
      <c r="AQY44" s="12"/>
      <c r="AQZ44" s="12"/>
      <c r="ARA44" s="12"/>
      <c r="ARB44" s="12"/>
      <c r="ARC44" s="12"/>
      <c r="ARD44" s="12"/>
      <c r="ARE44" s="12"/>
      <c r="ARF44" s="12"/>
      <c r="ARG44" s="12"/>
      <c r="ARH44" s="12"/>
      <c r="ARI44" s="12"/>
      <c r="ARJ44" s="12"/>
      <c r="ARK44" s="12"/>
      <c r="ARL44" s="12"/>
      <c r="ARM44" s="12"/>
      <c r="ARN44" s="12"/>
      <c r="ARO44" s="12"/>
      <c r="ARP44" s="12"/>
      <c r="ARQ44" s="12"/>
      <c r="ARR44" s="12"/>
      <c r="ARS44" s="12"/>
      <c r="ART44" s="12"/>
      <c r="ARU44" s="12"/>
      <c r="ARV44" s="12"/>
      <c r="ARW44" s="12"/>
      <c r="ARX44" s="12"/>
      <c r="ARY44" s="12"/>
      <c r="ARZ44" s="12"/>
      <c r="ASA44" s="12"/>
      <c r="ASB44" s="12"/>
      <c r="ASC44" s="12"/>
      <c r="ASD44" s="12"/>
      <c r="ASE44" s="12"/>
      <c r="ASF44" s="12"/>
      <c r="ASG44" s="12"/>
      <c r="ASH44" s="12"/>
      <c r="ASI44" s="12"/>
      <c r="ASJ44" s="12"/>
      <c r="ASK44" s="12"/>
      <c r="ASL44" s="12"/>
      <c r="ASM44" s="12"/>
      <c r="ASN44" s="12"/>
      <c r="ASO44" s="12"/>
      <c r="ASP44" s="12"/>
      <c r="ASQ44" s="12"/>
      <c r="ASR44" s="12"/>
      <c r="ASS44" s="12"/>
      <c r="AST44" s="12"/>
      <c r="ASU44" s="12"/>
      <c r="ASV44" s="12"/>
      <c r="ASW44" s="12"/>
      <c r="ASX44" s="12"/>
      <c r="ASY44" s="12"/>
      <c r="ASZ44" s="12"/>
      <c r="ATA44" s="12"/>
      <c r="ATB44" s="12"/>
      <c r="ATC44" s="12"/>
      <c r="ATD44" s="12"/>
      <c r="ATE44" s="12"/>
      <c r="ATF44" s="12"/>
      <c r="ATG44" s="12"/>
      <c r="ATH44" s="12"/>
      <c r="ATI44" s="12"/>
      <c r="ATJ44" s="12"/>
      <c r="ATK44" s="12"/>
      <c r="ATL44" s="12"/>
      <c r="ATM44" s="12"/>
      <c r="ATN44" s="12"/>
      <c r="ATO44" s="12"/>
      <c r="ATP44" s="12"/>
      <c r="ATQ44" s="12"/>
      <c r="ATR44" s="12"/>
      <c r="ATS44" s="12"/>
      <c r="ATT44" s="12"/>
      <c r="ATU44" s="12"/>
      <c r="ATV44" s="12"/>
      <c r="ATW44" s="12"/>
      <c r="ATX44" s="12"/>
      <c r="ATY44" s="12"/>
      <c r="ATZ44" s="12"/>
      <c r="AUA44" s="12"/>
      <c r="AUB44" s="12"/>
      <c r="AUC44" s="12"/>
      <c r="AUD44" s="12"/>
      <c r="AUE44" s="12"/>
      <c r="AUF44" s="12"/>
      <c r="AUG44" s="12"/>
      <c r="AUH44" s="12"/>
      <c r="AUI44" s="12"/>
      <c r="AUJ44" s="12"/>
      <c r="AUK44" s="12"/>
      <c r="AUL44" s="12"/>
      <c r="AUM44" s="12"/>
      <c r="AUN44" s="12"/>
      <c r="AUO44" s="12"/>
      <c r="AUP44" s="12"/>
      <c r="AUQ44" s="12"/>
      <c r="AUR44" s="12"/>
      <c r="AUS44" s="12"/>
      <c r="AUT44" s="12"/>
      <c r="AUU44" s="12"/>
      <c r="AUV44" s="12"/>
      <c r="AUW44" s="12"/>
      <c r="AUX44" s="12"/>
      <c r="AUY44" s="12"/>
      <c r="AUZ44" s="12"/>
      <c r="AVA44" s="12"/>
      <c r="AVB44" s="12"/>
      <c r="AVC44" s="12"/>
      <c r="AVD44" s="12"/>
      <c r="AVE44" s="12"/>
      <c r="AVF44" s="12"/>
      <c r="AVG44" s="12"/>
      <c r="AVH44" s="12"/>
      <c r="AVI44" s="12"/>
      <c r="AVJ44" s="12"/>
      <c r="AVK44" s="12"/>
      <c r="AVL44" s="12"/>
      <c r="AVM44" s="12"/>
      <c r="AVN44" s="12"/>
      <c r="AVO44" s="12"/>
      <c r="AVP44" s="12"/>
      <c r="AVQ44" s="12"/>
      <c r="AVR44" s="12"/>
      <c r="AVS44" s="12"/>
      <c r="AVT44" s="12"/>
      <c r="AVU44" s="12"/>
      <c r="AVV44" s="12"/>
      <c r="AVW44" s="12"/>
      <c r="AVX44" s="12"/>
      <c r="AVY44" s="12"/>
      <c r="AVZ44" s="12"/>
      <c r="AWA44" s="12"/>
      <c r="AWB44" s="12"/>
      <c r="AWC44" s="12"/>
      <c r="AWD44" s="12"/>
      <c r="AWE44" s="12"/>
      <c r="AWF44" s="12"/>
      <c r="AWG44" s="12"/>
      <c r="AWH44" s="12"/>
      <c r="AWI44" s="12"/>
      <c r="AWJ44" s="12"/>
      <c r="AWK44" s="12"/>
      <c r="AWL44" s="12"/>
      <c r="AWM44" s="12"/>
      <c r="AWN44" s="12"/>
      <c r="AWO44" s="12"/>
      <c r="AWP44" s="12"/>
      <c r="AWQ44" s="12"/>
      <c r="AWR44" s="12"/>
      <c r="AWS44" s="12"/>
      <c r="AWT44" s="12"/>
      <c r="AWU44" s="12"/>
      <c r="AWV44" s="12"/>
      <c r="AWW44" s="12"/>
      <c r="AWX44" s="12"/>
      <c r="AWY44" s="12"/>
      <c r="AWZ44" s="12"/>
      <c r="AXA44" s="12"/>
      <c r="AXB44" s="12"/>
      <c r="AXC44" s="12"/>
      <c r="AXD44" s="12"/>
      <c r="AXE44" s="12"/>
      <c r="AXF44" s="12"/>
      <c r="AXG44" s="12"/>
      <c r="AXH44" s="12"/>
      <c r="AXI44" s="12"/>
      <c r="AXJ44" s="12"/>
      <c r="AXK44" s="12"/>
      <c r="AXL44" s="12"/>
      <c r="AXM44" s="12"/>
      <c r="AXN44" s="12"/>
      <c r="AXO44" s="12"/>
      <c r="AXP44" s="12"/>
      <c r="AXQ44" s="12"/>
      <c r="AXR44" s="12"/>
      <c r="AXS44" s="12"/>
      <c r="AXT44" s="12"/>
      <c r="AXU44" s="12"/>
      <c r="AXV44" s="12"/>
      <c r="AXW44" s="12"/>
      <c r="AXX44" s="12"/>
      <c r="AXY44" s="12"/>
      <c r="AXZ44" s="12"/>
      <c r="AYA44" s="12"/>
      <c r="AYB44" s="12"/>
      <c r="AYC44" s="12"/>
      <c r="AYD44" s="12"/>
      <c r="AYE44" s="12"/>
      <c r="AYF44" s="12"/>
      <c r="AYG44" s="12"/>
      <c r="AYH44" s="12"/>
      <c r="AYI44" s="12"/>
      <c r="AYJ44" s="12"/>
      <c r="AYK44" s="12"/>
      <c r="AYL44" s="12"/>
      <c r="AYM44" s="12"/>
      <c r="AYN44" s="12"/>
      <c r="AYO44" s="12"/>
      <c r="AYP44" s="12"/>
      <c r="AYQ44" s="12"/>
      <c r="AYR44" s="12"/>
      <c r="AYS44" s="12"/>
      <c r="AYT44" s="12"/>
      <c r="AYU44" s="12"/>
      <c r="AYV44" s="12"/>
      <c r="AYW44" s="12"/>
      <c r="AYX44" s="12"/>
      <c r="AYY44" s="12"/>
      <c r="AYZ44" s="12"/>
      <c r="AZA44" s="12"/>
      <c r="AZB44" s="12"/>
      <c r="AZC44" s="12"/>
      <c r="AZD44" s="12"/>
      <c r="AZE44" s="12"/>
      <c r="AZF44" s="12"/>
      <c r="AZG44" s="12"/>
      <c r="AZH44" s="12"/>
      <c r="AZI44" s="12"/>
      <c r="AZJ44" s="12"/>
      <c r="AZK44" s="12"/>
      <c r="AZL44" s="12"/>
      <c r="AZM44" s="12"/>
      <c r="AZN44" s="12"/>
      <c r="AZO44" s="12"/>
      <c r="AZP44" s="12"/>
      <c r="AZQ44" s="12"/>
      <c r="AZR44" s="12"/>
      <c r="AZS44" s="12"/>
      <c r="AZT44" s="12"/>
      <c r="AZU44" s="12"/>
      <c r="AZV44" s="12"/>
      <c r="AZW44" s="12"/>
      <c r="AZX44" s="12"/>
      <c r="AZY44" s="12"/>
      <c r="AZZ44" s="12"/>
      <c r="BAA44" s="12"/>
      <c r="BAB44" s="12"/>
      <c r="BAC44" s="12"/>
      <c r="BAD44" s="12"/>
      <c r="BAE44" s="12"/>
      <c r="BAF44" s="12"/>
      <c r="BAG44" s="12"/>
      <c r="BAH44" s="12"/>
      <c r="BAI44" s="12"/>
      <c r="BAJ44" s="12"/>
      <c r="BAK44" s="12"/>
      <c r="BAL44" s="12"/>
      <c r="BAM44" s="12"/>
      <c r="BAN44" s="12"/>
      <c r="BAO44" s="12"/>
      <c r="BAP44" s="12"/>
      <c r="BAQ44" s="12"/>
      <c r="BAR44" s="12"/>
      <c r="BAS44" s="12"/>
      <c r="BAT44" s="12"/>
      <c r="BAU44" s="12"/>
      <c r="BAV44" s="12"/>
      <c r="BAW44" s="12"/>
      <c r="BAX44" s="12"/>
      <c r="BAY44" s="12"/>
      <c r="BAZ44" s="12"/>
      <c r="BBA44" s="12"/>
      <c r="BBB44" s="12"/>
      <c r="BBC44" s="12"/>
      <c r="BBD44" s="12"/>
      <c r="BBE44" s="12"/>
      <c r="BBF44" s="12"/>
      <c r="BBG44" s="12"/>
      <c r="BBH44" s="12"/>
      <c r="BBI44" s="12"/>
      <c r="BBJ44" s="12"/>
      <c r="BBK44" s="12"/>
      <c r="BBL44" s="12"/>
      <c r="BBM44" s="12"/>
      <c r="BBN44" s="12"/>
      <c r="BBO44" s="12"/>
      <c r="BBP44" s="12"/>
      <c r="BBQ44" s="12"/>
      <c r="BBR44" s="12"/>
      <c r="BBS44" s="12"/>
      <c r="BBT44" s="12"/>
      <c r="BBU44" s="12"/>
      <c r="BBV44" s="12"/>
      <c r="BBW44" s="12"/>
      <c r="BBX44" s="12"/>
      <c r="BBY44" s="12"/>
      <c r="BBZ44" s="12"/>
      <c r="BCA44" s="12"/>
      <c r="BCB44" s="12"/>
      <c r="BCC44" s="12"/>
      <c r="BCD44" s="12"/>
      <c r="BCE44" s="12"/>
      <c r="BCF44" s="12"/>
      <c r="BCG44" s="12"/>
      <c r="BCH44" s="12"/>
      <c r="BCI44" s="12"/>
      <c r="BCJ44" s="12"/>
      <c r="BCK44" s="12"/>
      <c r="BCL44" s="12"/>
      <c r="BCM44" s="12"/>
      <c r="BCN44" s="12"/>
      <c r="BCO44" s="12"/>
      <c r="BCP44" s="12"/>
      <c r="BCQ44" s="12"/>
      <c r="BCR44" s="12"/>
      <c r="BCS44" s="12"/>
      <c r="BCT44" s="12"/>
      <c r="BCU44" s="12"/>
      <c r="BCV44" s="12"/>
      <c r="BCW44" s="12"/>
      <c r="BCX44" s="12"/>
      <c r="BCY44" s="12"/>
      <c r="BCZ44" s="12"/>
      <c r="BDA44" s="12"/>
      <c r="BDB44" s="12"/>
      <c r="BDC44" s="12"/>
      <c r="BDD44" s="12"/>
      <c r="BDE44" s="12"/>
      <c r="BDF44" s="12"/>
      <c r="BDG44" s="12"/>
      <c r="BDH44" s="12"/>
      <c r="BDI44" s="12"/>
      <c r="BDJ44" s="12"/>
      <c r="BDK44" s="12"/>
      <c r="BDL44" s="12"/>
      <c r="BDM44" s="12"/>
      <c r="BDN44" s="12"/>
      <c r="BDO44" s="12"/>
      <c r="BDP44" s="12"/>
      <c r="BDQ44" s="12"/>
      <c r="BDR44" s="12"/>
      <c r="BDS44" s="12"/>
      <c r="BDT44" s="12"/>
      <c r="BDU44" s="12"/>
      <c r="BDV44" s="12"/>
      <c r="BDW44" s="12"/>
      <c r="BDX44" s="12"/>
      <c r="BDY44" s="12"/>
      <c r="BDZ44" s="12"/>
      <c r="BEA44" s="12"/>
      <c r="BEB44" s="12"/>
      <c r="BEC44" s="12"/>
      <c r="BED44" s="12"/>
      <c r="BEE44" s="12"/>
      <c r="BEF44" s="12"/>
      <c r="BEG44" s="12"/>
      <c r="BEH44" s="12"/>
      <c r="BEI44" s="12"/>
      <c r="BEJ44" s="12"/>
      <c r="BEK44" s="12"/>
      <c r="BEL44" s="12"/>
      <c r="BEM44" s="12"/>
      <c r="BEN44" s="12"/>
      <c r="BEO44" s="12"/>
      <c r="BEP44" s="12"/>
      <c r="BEQ44" s="12"/>
      <c r="BER44" s="12"/>
      <c r="BES44" s="12"/>
      <c r="BET44" s="12"/>
      <c r="BEU44" s="12"/>
      <c r="BEV44" s="12"/>
      <c r="BEW44" s="12"/>
      <c r="BEX44" s="12"/>
      <c r="BEY44" s="12"/>
      <c r="BEZ44" s="12"/>
      <c r="BFA44" s="12"/>
      <c r="BFB44" s="12"/>
      <c r="BFC44" s="12"/>
      <c r="BFD44" s="12"/>
      <c r="BFE44" s="12"/>
      <c r="BFF44" s="12"/>
      <c r="BFG44" s="12"/>
      <c r="BFH44" s="12"/>
      <c r="BFI44" s="12"/>
      <c r="BFJ44" s="12"/>
      <c r="BFK44" s="12"/>
      <c r="BFL44" s="12"/>
      <c r="BFM44" s="12"/>
      <c r="BFN44" s="12"/>
      <c r="BFO44" s="12"/>
      <c r="BFP44" s="12"/>
      <c r="BFQ44" s="12"/>
      <c r="BFR44" s="12"/>
      <c r="BFS44" s="12"/>
      <c r="BFT44" s="12"/>
      <c r="BFU44" s="12"/>
      <c r="BFV44" s="12"/>
      <c r="BFW44" s="12"/>
      <c r="BFX44" s="12"/>
      <c r="BFY44" s="12"/>
      <c r="BFZ44" s="12"/>
      <c r="BGA44" s="12"/>
      <c r="BGB44" s="12"/>
      <c r="BGC44" s="12"/>
      <c r="BGD44" s="12"/>
      <c r="BGE44" s="12"/>
      <c r="BGF44" s="12"/>
      <c r="BGG44" s="12"/>
      <c r="BGH44" s="12"/>
      <c r="BGI44" s="12"/>
      <c r="BGJ44" s="12"/>
      <c r="BGK44" s="12"/>
      <c r="BGL44" s="12"/>
      <c r="BGM44" s="12"/>
      <c r="BGN44" s="12"/>
      <c r="BGO44" s="12"/>
      <c r="BGP44" s="12"/>
      <c r="BGQ44" s="12"/>
      <c r="BGR44" s="12"/>
      <c r="BGS44" s="12"/>
      <c r="BGT44" s="12"/>
      <c r="BGU44" s="12"/>
      <c r="BGV44" s="12"/>
      <c r="BGW44" s="12"/>
      <c r="BGX44" s="12"/>
      <c r="BGY44" s="12"/>
      <c r="BGZ44" s="12"/>
      <c r="BHA44" s="12"/>
      <c r="BHB44" s="12"/>
      <c r="BHC44" s="12"/>
      <c r="BHD44" s="12"/>
      <c r="BHE44" s="12"/>
      <c r="BHF44" s="12"/>
      <c r="BHG44" s="12"/>
      <c r="BHH44" s="12"/>
      <c r="BHI44" s="12"/>
      <c r="BHJ44" s="12"/>
      <c r="BHK44" s="12"/>
      <c r="BHL44" s="12"/>
      <c r="BHM44" s="12"/>
      <c r="BHN44" s="12"/>
      <c r="BHO44" s="12"/>
      <c r="BHP44" s="12"/>
      <c r="BHQ44" s="12"/>
      <c r="BHR44" s="12"/>
      <c r="BHS44" s="12"/>
      <c r="BHT44" s="12"/>
      <c r="BHU44" s="12"/>
      <c r="BHV44" s="12"/>
      <c r="BHW44" s="12"/>
      <c r="BHX44" s="12"/>
      <c r="BHY44" s="12"/>
      <c r="BHZ44" s="12"/>
      <c r="BIA44" s="12"/>
      <c r="BIB44" s="12"/>
      <c r="BIC44" s="12"/>
      <c r="BID44" s="12"/>
      <c r="BIE44" s="12"/>
      <c r="BIF44" s="12"/>
      <c r="BIG44" s="12"/>
      <c r="BIH44" s="12"/>
      <c r="BII44" s="12"/>
      <c r="BIJ44" s="12"/>
      <c r="BIK44" s="12"/>
      <c r="BIL44" s="12"/>
      <c r="BIM44" s="12"/>
      <c r="BIN44" s="12"/>
      <c r="BIO44" s="12"/>
      <c r="BIP44" s="12"/>
      <c r="BIQ44" s="12"/>
      <c r="BIR44" s="12"/>
      <c r="BIS44" s="12"/>
      <c r="BIT44" s="12"/>
      <c r="BIU44" s="12"/>
      <c r="BIV44" s="12"/>
      <c r="BIW44" s="12"/>
      <c r="BIX44" s="12"/>
      <c r="BIY44" s="12"/>
      <c r="BIZ44" s="12"/>
      <c r="BJA44" s="12"/>
      <c r="BJB44" s="12"/>
      <c r="BJC44" s="12"/>
      <c r="BJD44" s="12"/>
      <c r="BJE44" s="12"/>
      <c r="BJF44" s="12"/>
      <c r="BJG44" s="12"/>
      <c r="BJH44" s="12"/>
      <c r="BJI44" s="12"/>
      <c r="BJJ44" s="12"/>
      <c r="BJK44" s="12"/>
      <c r="BJL44" s="12"/>
      <c r="BJM44" s="12"/>
      <c r="BJN44" s="12"/>
      <c r="BJO44" s="12"/>
      <c r="BJP44" s="12"/>
      <c r="BJQ44" s="12"/>
      <c r="BJR44" s="12"/>
      <c r="BJS44" s="12"/>
      <c r="BJT44" s="12"/>
      <c r="BJU44" s="12"/>
      <c r="BJV44" s="12"/>
      <c r="BJW44" s="12"/>
      <c r="BJX44" s="12"/>
      <c r="BJY44" s="12"/>
      <c r="BJZ44" s="12"/>
      <c r="BKA44" s="12"/>
      <c r="BKB44" s="12"/>
      <c r="BKC44" s="12"/>
      <c r="BKD44" s="12"/>
      <c r="BKE44" s="12"/>
      <c r="BKF44" s="12"/>
      <c r="BKG44" s="12"/>
      <c r="BKH44" s="12"/>
      <c r="BKI44" s="12"/>
      <c r="BKJ44" s="12"/>
      <c r="BKK44" s="12"/>
      <c r="BKL44" s="12"/>
      <c r="BKM44" s="12"/>
      <c r="BKN44" s="12"/>
      <c r="BKO44" s="12"/>
      <c r="BKP44" s="12"/>
      <c r="BKQ44" s="12"/>
      <c r="BKR44" s="12"/>
      <c r="BKS44" s="12"/>
      <c r="BKT44" s="12"/>
      <c r="BKU44" s="12"/>
      <c r="BKV44" s="12"/>
      <c r="BKW44" s="12"/>
      <c r="BKX44" s="12"/>
      <c r="BKY44" s="12"/>
      <c r="BKZ44" s="12"/>
      <c r="BLA44" s="12"/>
      <c r="BLB44" s="12"/>
      <c r="BLC44" s="12"/>
      <c r="BLD44" s="12"/>
      <c r="BLE44" s="12"/>
      <c r="BLF44" s="12"/>
      <c r="BLG44" s="12"/>
      <c r="BLH44" s="12"/>
      <c r="BLI44" s="12"/>
      <c r="BLJ44" s="12"/>
      <c r="BLK44" s="12"/>
      <c r="BLL44" s="12"/>
      <c r="BLM44" s="12"/>
      <c r="BLN44" s="12"/>
      <c r="BLO44" s="12"/>
      <c r="BLP44" s="12"/>
      <c r="BLQ44" s="12"/>
      <c r="BLR44" s="12"/>
      <c r="BLS44" s="12"/>
      <c r="BLT44" s="12"/>
      <c r="BLU44" s="12"/>
      <c r="BLV44" s="12"/>
      <c r="BLW44" s="12"/>
      <c r="BLX44" s="12"/>
      <c r="BLY44" s="12"/>
      <c r="BLZ44" s="12"/>
      <c r="BMA44" s="12"/>
      <c r="BMB44" s="12"/>
      <c r="BMC44" s="12"/>
      <c r="BMD44" s="12"/>
      <c r="BME44" s="12"/>
      <c r="BMF44" s="12"/>
      <c r="BMG44" s="12"/>
      <c r="BMH44" s="12"/>
      <c r="BMI44" s="12"/>
      <c r="BMJ44" s="12"/>
      <c r="BMK44" s="12"/>
      <c r="BML44" s="12"/>
      <c r="BMM44" s="12"/>
      <c r="BMN44" s="12"/>
      <c r="BMO44" s="12"/>
      <c r="BMP44" s="12"/>
      <c r="BMQ44" s="12"/>
      <c r="BMR44" s="12"/>
      <c r="BMS44" s="12"/>
      <c r="BMT44" s="12"/>
      <c r="BMU44" s="12"/>
      <c r="BMV44" s="12"/>
      <c r="BMW44" s="12"/>
      <c r="BMX44" s="12"/>
      <c r="BMY44" s="12"/>
      <c r="BMZ44" s="12"/>
      <c r="BNA44" s="12"/>
      <c r="BNB44" s="12"/>
      <c r="BNC44" s="12"/>
      <c r="BND44" s="12"/>
      <c r="BNE44" s="12"/>
      <c r="BNF44" s="12"/>
      <c r="BNG44" s="12"/>
      <c r="BNH44" s="12"/>
      <c r="BNI44" s="12"/>
      <c r="BNJ44" s="12"/>
      <c r="BNK44" s="12"/>
      <c r="BNL44" s="12"/>
      <c r="BNM44" s="12"/>
      <c r="BNN44" s="12"/>
      <c r="BNO44" s="12"/>
      <c r="BNP44" s="12"/>
      <c r="BNQ44" s="12"/>
      <c r="BNR44" s="12"/>
      <c r="BNS44" s="12"/>
      <c r="BNT44" s="12"/>
      <c r="BNU44" s="12"/>
      <c r="BNV44" s="12"/>
      <c r="BNW44" s="12"/>
      <c r="BNX44" s="12"/>
      <c r="BNY44" s="12"/>
      <c r="BNZ44" s="12"/>
      <c r="BOA44" s="12"/>
      <c r="BOB44" s="12"/>
      <c r="BOC44" s="12"/>
      <c r="BOD44" s="12"/>
      <c r="BOE44" s="12"/>
      <c r="BOF44" s="12"/>
      <c r="BOG44" s="12"/>
      <c r="BOH44" s="12"/>
      <c r="BOI44" s="12"/>
      <c r="BOJ44" s="12"/>
      <c r="BOK44" s="12"/>
      <c r="BOL44" s="12"/>
      <c r="BOM44" s="12"/>
      <c r="BON44" s="12"/>
      <c r="BOO44" s="12"/>
      <c r="BOP44" s="12"/>
      <c r="BOQ44" s="12"/>
      <c r="BOR44" s="12"/>
      <c r="BOS44" s="12"/>
      <c r="BOT44" s="12"/>
      <c r="BOU44" s="12"/>
      <c r="BOV44" s="12"/>
      <c r="BOW44" s="12"/>
      <c r="BOX44" s="12"/>
      <c r="BOY44" s="12"/>
      <c r="BOZ44" s="12"/>
      <c r="BPA44" s="12"/>
      <c r="BPB44" s="12"/>
      <c r="BPC44" s="12"/>
      <c r="BPD44" s="12"/>
      <c r="BPE44" s="12"/>
      <c r="BPF44" s="12"/>
      <c r="BPG44" s="12"/>
      <c r="BPH44" s="12"/>
      <c r="BPI44" s="12"/>
      <c r="BPJ44" s="12"/>
      <c r="BPK44" s="12"/>
      <c r="BPL44" s="12"/>
      <c r="BPM44" s="12"/>
      <c r="BPN44" s="12"/>
      <c r="BPO44" s="12"/>
      <c r="BPP44" s="12"/>
      <c r="BPQ44" s="12"/>
      <c r="BPR44" s="12"/>
      <c r="BPS44" s="12"/>
      <c r="BPT44" s="12"/>
      <c r="BPU44" s="12"/>
      <c r="BPV44" s="12"/>
      <c r="BPW44" s="12"/>
      <c r="BPX44" s="12"/>
      <c r="BPY44" s="12"/>
      <c r="BPZ44" s="12"/>
      <c r="BQA44" s="12"/>
      <c r="BQB44" s="12"/>
      <c r="BQC44" s="12"/>
      <c r="BQD44" s="12"/>
      <c r="BQE44" s="12"/>
      <c r="BQF44" s="12"/>
      <c r="BQG44" s="12"/>
      <c r="BQH44" s="12"/>
      <c r="BQI44" s="12"/>
      <c r="BQJ44" s="12"/>
      <c r="BQK44" s="12"/>
      <c r="BQL44" s="12"/>
      <c r="BQM44" s="12"/>
      <c r="BQN44" s="12"/>
      <c r="BQO44" s="12"/>
      <c r="BQP44" s="12"/>
      <c r="BQQ44" s="12"/>
      <c r="BQR44" s="12"/>
      <c r="BQS44" s="12"/>
      <c r="BQT44" s="12"/>
      <c r="BQU44" s="12"/>
      <c r="BQV44" s="12"/>
      <c r="BQW44" s="12"/>
      <c r="BQX44" s="12"/>
      <c r="BQY44" s="12"/>
      <c r="BQZ44" s="12"/>
      <c r="BRA44" s="12"/>
      <c r="BRB44" s="12"/>
      <c r="BRC44" s="12"/>
      <c r="BRD44" s="12"/>
      <c r="BRE44" s="12"/>
      <c r="BRF44" s="12"/>
      <c r="BRG44" s="12"/>
      <c r="BRH44" s="12"/>
      <c r="BRI44" s="12"/>
      <c r="BRJ44" s="12"/>
      <c r="BRK44" s="12"/>
      <c r="BRL44" s="12"/>
      <c r="BRM44" s="12"/>
      <c r="BRN44" s="12"/>
      <c r="BRO44" s="12"/>
      <c r="BRP44" s="12"/>
      <c r="BRQ44" s="12"/>
      <c r="BRR44" s="12"/>
      <c r="BRS44" s="12"/>
      <c r="BRT44" s="12"/>
      <c r="BRU44" s="12"/>
      <c r="BRV44" s="12"/>
      <c r="BRW44" s="12"/>
      <c r="BRX44" s="12"/>
      <c r="BRY44" s="12"/>
      <c r="BRZ44" s="12"/>
      <c r="BSA44" s="12"/>
      <c r="BSB44" s="12"/>
      <c r="BSC44" s="12"/>
      <c r="BSD44" s="12"/>
      <c r="BSE44" s="12"/>
      <c r="BSF44" s="12"/>
      <c r="BSG44" s="12"/>
      <c r="BSH44" s="12"/>
      <c r="BSI44" s="12"/>
      <c r="BSJ44" s="12"/>
      <c r="BSK44" s="12"/>
      <c r="BSL44" s="12"/>
      <c r="BSM44" s="12"/>
      <c r="BSN44" s="12"/>
      <c r="BSO44" s="12"/>
      <c r="BSP44" s="12"/>
      <c r="BSQ44" s="12"/>
      <c r="BSR44" s="12"/>
      <c r="BSS44" s="12"/>
      <c r="BST44" s="12"/>
      <c r="BSU44" s="12"/>
      <c r="BSV44" s="12"/>
      <c r="BSW44" s="12"/>
      <c r="BSX44" s="12"/>
      <c r="BSY44" s="12"/>
      <c r="BSZ44" s="12"/>
      <c r="BTA44" s="12"/>
      <c r="BTB44" s="12"/>
      <c r="BTC44" s="12"/>
      <c r="BTD44" s="12"/>
      <c r="BTE44" s="12"/>
      <c r="BTF44" s="12"/>
      <c r="BTG44" s="12"/>
      <c r="BTH44" s="12"/>
      <c r="BTI44" s="12"/>
      <c r="BTJ44" s="12"/>
      <c r="BTK44" s="12"/>
      <c r="BTL44" s="12"/>
      <c r="BTM44" s="12"/>
      <c r="BTN44" s="12"/>
      <c r="BTO44" s="12"/>
      <c r="BTP44" s="12"/>
      <c r="BTQ44" s="12"/>
      <c r="BTR44" s="12"/>
      <c r="BTS44" s="12"/>
      <c r="BTT44" s="12"/>
      <c r="BTU44" s="12"/>
      <c r="BTV44" s="12"/>
      <c r="BTW44" s="12"/>
      <c r="BTX44" s="12"/>
      <c r="BTY44" s="12"/>
      <c r="BTZ44" s="12"/>
      <c r="BUA44" s="12"/>
      <c r="BUB44" s="12"/>
      <c r="BUC44" s="12"/>
      <c r="BUD44" s="12"/>
      <c r="BUE44" s="12"/>
      <c r="BUF44" s="12"/>
      <c r="BUG44" s="12"/>
      <c r="BUH44" s="12"/>
      <c r="BUI44" s="12"/>
      <c r="BUJ44" s="12"/>
      <c r="BUK44" s="12"/>
      <c r="BUL44" s="12"/>
      <c r="BUM44" s="12"/>
      <c r="BUN44" s="12"/>
      <c r="BUO44" s="12"/>
      <c r="BUP44" s="12"/>
      <c r="BUQ44" s="12"/>
      <c r="BUR44" s="12"/>
      <c r="BUS44" s="12"/>
      <c r="BUT44" s="12"/>
      <c r="BUU44" s="12"/>
      <c r="BUV44" s="12"/>
      <c r="BUW44" s="12"/>
      <c r="BUX44" s="12"/>
      <c r="BUY44" s="12"/>
      <c r="BUZ44" s="12"/>
      <c r="BVA44" s="12"/>
      <c r="BVB44" s="12"/>
      <c r="BVC44" s="12"/>
      <c r="BVD44" s="12"/>
      <c r="BVE44" s="12"/>
      <c r="BVF44" s="12"/>
      <c r="BVG44" s="12"/>
      <c r="BVH44" s="12"/>
      <c r="BVI44" s="12"/>
      <c r="BVJ44" s="12"/>
      <c r="BVK44" s="12"/>
      <c r="BVL44" s="12"/>
      <c r="BVM44" s="12"/>
      <c r="BVN44" s="12"/>
      <c r="BVO44" s="12"/>
      <c r="BVP44" s="12"/>
      <c r="BVQ44" s="12"/>
      <c r="BVR44" s="12"/>
      <c r="BVS44" s="12"/>
      <c r="BVT44" s="12"/>
      <c r="BVU44" s="12"/>
      <c r="BVV44" s="12"/>
      <c r="BVW44" s="12"/>
      <c r="BVX44" s="12"/>
      <c r="BVY44" s="12"/>
      <c r="BVZ44" s="12"/>
      <c r="BWA44" s="12"/>
      <c r="BWB44" s="12"/>
      <c r="BWC44" s="12"/>
      <c r="BWD44" s="12"/>
      <c r="BWE44" s="12"/>
      <c r="BWF44" s="12"/>
      <c r="BWG44" s="12"/>
      <c r="BWH44" s="12"/>
      <c r="BWI44" s="12"/>
      <c r="BWJ44" s="12"/>
      <c r="BWK44" s="12"/>
      <c r="BWL44" s="12"/>
      <c r="BWM44" s="12"/>
      <c r="BWN44" s="12"/>
      <c r="BWO44" s="12"/>
      <c r="BWP44" s="12"/>
      <c r="BWQ44" s="12"/>
      <c r="BWR44" s="12"/>
      <c r="BWS44" s="12"/>
      <c r="BWT44" s="12"/>
      <c r="BWU44" s="12"/>
      <c r="BWV44" s="12"/>
      <c r="BWW44" s="12"/>
      <c r="BWX44" s="12"/>
      <c r="BWY44" s="12"/>
      <c r="BWZ44" s="12"/>
      <c r="BXA44" s="12"/>
      <c r="BXB44" s="12"/>
      <c r="BXC44" s="12"/>
      <c r="BXD44" s="12"/>
      <c r="BXE44" s="12"/>
      <c r="BXF44" s="12"/>
      <c r="BXG44" s="12"/>
      <c r="BXH44" s="12"/>
      <c r="BXI44" s="12"/>
      <c r="BXJ44" s="12"/>
      <c r="BXK44" s="12"/>
      <c r="BXL44" s="12"/>
      <c r="BXM44" s="12"/>
      <c r="BXN44" s="12"/>
      <c r="BXO44" s="12"/>
      <c r="BXP44" s="12"/>
      <c r="BXQ44" s="12"/>
      <c r="BXR44" s="12"/>
      <c r="BXS44" s="12"/>
      <c r="BXT44" s="12"/>
      <c r="BXU44" s="12"/>
      <c r="BXV44" s="12"/>
      <c r="BXW44" s="12"/>
      <c r="BXX44" s="12"/>
      <c r="BXY44" s="12"/>
      <c r="BXZ44" s="12"/>
      <c r="BYA44" s="12"/>
      <c r="BYB44" s="12"/>
      <c r="BYC44" s="12"/>
      <c r="BYD44" s="12"/>
      <c r="BYE44" s="12"/>
      <c r="BYF44" s="12"/>
      <c r="BYG44" s="12"/>
      <c r="BYH44" s="12"/>
      <c r="BYI44" s="12"/>
      <c r="BYJ44" s="12"/>
      <c r="BYK44" s="12"/>
      <c r="BYL44" s="12"/>
      <c r="BYM44" s="12"/>
      <c r="BYN44" s="12"/>
      <c r="BYO44" s="12"/>
      <c r="BYP44" s="12"/>
      <c r="BYQ44" s="12"/>
      <c r="BYR44" s="12"/>
      <c r="BYS44" s="12"/>
      <c r="BYT44" s="12"/>
      <c r="BYU44" s="12"/>
      <c r="BYV44" s="12"/>
      <c r="BYW44" s="12"/>
      <c r="BYX44" s="12"/>
      <c r="BYY44" s="12"/>
      <c r="BYZ44" s="12"/>
      <c r="BZA44" s="12"/>
      <c r="BZB44" s="12"/>
      <c r="BZC44" s="12"/>
      <c r="BZD44" s="12"/>
      <c r="BZE44" s="12"/>
      <c r="BZF44" s="12"/>
      <c r="BZG44" s="12"/>
      <c r="BZH44" s="12"/>
      <c r="BZI44" s="12"/>
      <c r="BZJ44" s="12"/>
      <c r="BZK44" s="12"/>
      <c r="BZL44" s="12"/>
      <c r="BZM44" s="12"/>
      <c r="BZN44" s="12"/>
      <c r="BZO44" s="12"/>
      <c r="BZP44" s="12"/>
      <c r="BZQ44" s="12"/>
      <c r="BZR44" s="12"/>
      <c r="BZS44" s="12"/>
      <c r="BZT44" s="12"/>
      <c r="BZU44" s="12"/>
      <c r="BZV44" s="12"/>
      <c r="BZW44" s="12"/>
      <c r="BZX44" s="12"/>
      <c r="BZY44" s="12"/>
      <c r="BZZ44" s="12"/>
      <c r="CAA44" s="12"/>
      <c r="CAB44" s="12"/>
      <c r="CAC44" s="12"/>
      <c r="CAD44" s="12"/>
      <c r="CAE44" s="12"/>
      <c r="CAF44" s="12"/>
      <c r="CAG44" s="12"/>
      <c r="CAH44" s="12"/>
      <c r="CAI44" s="12"/>
      <c r="CAJ44" s="12"/>
      <c r="CAK44" s="12"/>
      <c r="CAL44" s="12"/>
      <c r="CAM44" s="12"/>
      <c r="CAN44" s="12"/>
      <c r="CAO44" s="12"/>
      <c r="CAP44" s="12"/>
      <c r="CAQ44" s="12"/>
      <c r="CAR44" s="12"/>
      <c r="CAS44" s="12"/>
      <c r="CAT44" s="12"/>
      <c r="CAU44" s="12"/>
      <c r="CAV44" s="12"/>
      <c r="CAW44" s="12"/>
      <c r="CAX44" s="12"/>
      <c r="CAY44" s="12"/>
      <c r="CAZ44" s="12"/>
      <c r="CBA44" s="12"/>
      <c r="CBB44" s="12"/>
      <c r="CBC44" s="12"/>
      <c r="CBD44" s="12"/>
      <c r="CBE44" s="12"/>
      <c r="CBF44" s="12"/>
      <c r="CBG44" s="12"/>
      <c r="CBH44" s="12"/>
      <c r="CBI44" s="12"/>
      <c r="CBJ44" s="12"/>
      <c r="CBK44" s="12"/>
      <c r="CBL44" s="12"/>
      <c r="CBM44" s="12"/>
      <c r="CBN44" s="12"/>
      <c r="CBO44" s="12"/>
      <c r="CBP44" s="12"/>
      <c r="CBQ44" s="12"/>
      <c r="CBR44" s="12"/>
      <c r="CBS44" s="12"/>
      <c r="CBT44" s="12"/>
      <c r="CBU44" s="12"/>
      <c r="CBV44" s="12"/>
      <c r="CBW44" s="12"/>
      <c r="CBX44" s="12"/>
      <c r="CBY44" s="12"/>
      <c r="CBZ44" s="12"/>
      <c r="CCA44" s="12"/>
      <c r="CCB44" s="12"/>
      <c r="CCC44" s="12"/>
      <c r="CCD44" s="12"/>
      <c r="CCE44" s="12"/>
      <c r="CCF44" s="12"/>
      <c r="CCG44" s="12"/>
      <c r="CCH44" s="12"/>
      <c r="CCI44" s="12"/>
      <c r="CCJ44" s="12"/>
      <c r="CCK44" s="12"/>
      <c r="CCL44" s="12"/>
      <c r="CCM44" s="12"/>
      <c r="CCN44" s="12"/>
      <c r="CCO44" s="12"/>
      <c r="CCP44" s="12"/>
      <c r="CCQ44" s="12"/>
      <c r="CCR44" s="12"/>
      <c r="CCS44" s="12"/>
      <c r="CCT44" s="12"/>
      <c r="CCU44" s="12"/>
      <c r="CCV44" s="12"/>
      <c r="CCW44" s="12"/>
      <c r="CCX44" s="12"/>
      <c r="CCY44" s="12"/>
      <c r="CCZ44" s="12"/>
      <c r="CDA44" s="12"/>
      <c r="CDB44" s="12"/>
      <c r="CDC44" s="12"/>
      <c r="CDD44" s="12"/>
      <c r="CDE44" s="12"/>
      <c r="CDF44" s="12"/>
      <c r="CDG44" s="12"/>
      <c r="CDH44" s="12"/>
      <c r="CDI44" s="12"/>
      <c r="CDJ44" s="12"/>
      <c r="CDK44" s="12"/>
      <c r="CDL44" s="12"/>
      <c r="CDM44" s="12"/>
      <c r="CDN44" s="12"/>
      <c r="CDO44" s="12"/>
      <c r="CDP44" s="12"/>
      <c r="CDQ44" s="12"/>
      <c r="CDR44" s="12"/>
      <c r="CDS44" s="12"/>
      <c r="CDT44" s="12"/>
      <c r="CDU44" s="12"/>
      <c r="CDV44" s="12"/>
      <c r="CDW44" s="12"/>
      <c r="CDX44" s="12"/>
      <c r="CDY44" s="12"/>
      <c r="CDZ44" s="12"/>
      <c r="CEA44" s="12"/>
      <c r="CEB44" s="12"/>
      <c r="CEC44" s="12"/>
      <c r="CED44" s="12"/>
      <c r="CEE44" s="12"/>
      <c r="CEF44" s="12"/>
      <c r="CEG44" s="12"/>
      <c r="CEH44" s="12"/>
      <c r="CEI44" s="12"/>
      <c r="CEJ44" s="12"/>
      <c r="CEK44" s="12"/>
      <c r="CEL44" s="12"/>
      <c r="CEM44" s="12"/>
      <c r="CEN44" s="12"/>
      <c r="CEO44" s="12"/>
      <c r="CEP44" s="12"/>
      <c r="CEQ44" s="12"/>
      <c r="CER44" s="12"/>
      <c r="CES44" s="12"/>
      <c r="CET44" s="12"/>
      <c r="CEU44" s="12"/>
      <c r="CEV44" s="12"/>
      <c r="CEW44" s="12"/>
      <c r="CEX44" s="12"/>
      <c r="CEY44" s="12"/>
      <c r="CEZ44" s="12"/>
      <c r="CFA44" s="12"/>
      <c r="CFB44" s="12"/>
      <c r="CFC44" s="12"/>
      <c r="CFD44" s="12"/>
      <c r="CFE44" s="12"/>
      <c r="CFF44" s="12"/>
      <c r="CFG44" s="12"/>
      <c r="CFH44" s="12"/>
      <c r="CFI44" s="12"/>
      <c r="CFJ44" s="12"/>
      <c r="CFK44" s="12"/>
      <c r="CFL44" s="12"/>
      <c r="CFM44" s="12"/>
      <c r="CFN44" s="12"/>
      <c r="CFO44" s="12"/>
      <c r="CFP44" s="12"/>
      <c r="CFQ44" s="12"/>
      <c r="CFR44" s="12"/>
      <c r="CFS44" s="12"/>
      <c r="CFT44" s="12"/>
      <c r="CFU44" s="12"/>
      <c r="CFV44" s="12"/>
      <c r="CFW44" s="12"/>
      <c r="CFX44" s="12"/>
      <c r="CFY44" s="12"/>
      <c r="CFZ44" s="12"/>
      <c r="CGA44" s="12"/>
      <c r="CGB44" s="12"/>
      <c r="CGC44" s="12"/>
      <c r="CGD44" s="12"/>
      <c r="CGE44" s="12"/>
      <c r="CGF44" s="12"/>
      <c r="CGG44" s="12"/>
      <c r="CGH44" s="12"/>
      <c r="CGI44" s="12"/>
      <c r="CGJ44" s="12"/>
      <c r="CGK44" s="12"/>
      <c r="CGL44" s="12"/>
      <c r="CGM44" s="12"/>
      <c r="CGN44" s="12"/>
      <c r="CGO44" s="12"/>
      <c r="CGP44" s="12"/>
      <c r="CGQ44" s="12"/>
      <c r="CGR44" s="12"/>
      <c r="CGS44" s="12"/>
      <c r="CGT44" s="12"/>
      <c r="CGU44" s="12"/>
      <c r="CGV44" s="12"/>
      <c r="CGW44" s="12"/>
      <c r="CGX44" s="12"/>
      <c r="CGY44" s="12"/>
      <c r="CGZ44" s="12"/>
      <c r="CHA44" s="12"/>
      <c r="CHB44" s="12"/>
      <c r="CHC44" s="12"/>
      <c r="CHD44" s="12"/>
      <c r="CHE44" s="12"/>
      <c r="CHF44" s="12"/>
      <c r="CHG44" s="12"/>
      <c r="CHH44" s="12"/>
      <c r="CHI44" s="12"/>
      <c r="CHJ44" s="12"/>
      <c r="CHK44" s="12"/>
      <c r="CHL44" s="12"/>
      <c r="CHM44" s="12"/>
      <c r="CHN44" s="12"/>
      <c r="CHO44" s="12"/>
      <c r="CHP44" s="12"/>
      <c r="CHQ44" s="12"/>
      <c r="CHR44" s="12"/>
      <c r="CHS44" s="12"/>
      <c r="CHT44" s="12"/>
      <c r="CHU44" s="12"/>
      <c r="CHV44" s="12"/>
      <c r="CHW44" s="12"/>
      <c r="CHX44" s="12"/>
      <c r="CHY44" s="12"/>
      <c r="CHZ44" s="12"/>
      <c r="CIA44" s="12"/>
      <c r="CIB44" s="12"/>
      <c r="CIC44" s="12"/>
      <c r="CID44" s="12"/>
      <c r="CIE44" s="12"/>
      <c r="CIF44" s="12"/>
      <c r="CIG44" s="12"/>
      <c r="CIH44" s="12"/>
      <c r="CII44" s="12"/>
      <c r="CIJ44" s="12"/>
      <c r="CIK44" s="12"/>
      <c r="CIL44" s="12"/>
      <c r="CIM44" s="12"/>
      <c r="CIN44" s="12"/>
      <c r="CIO44" s="12"/>
      <c r="CIP44" s="12"/>
      <c r="CIQ44" s="12"/>
      <c r="CIR44" s="12"/>
      <c r="CIS44" s="12"/>
      <c r="CIT44" s="12"/>
      <c r="CIU44" s="12"/>
      <c r="CIV44" s="12"/>
      <c r="CIW44" s="12"/>
      <c r="CIX44" s="12"/>
      <c r="CIY44" s="12"/>
      <c r="CIZ44" s="12"/>
      <c r="CJA44" s="12"/>
      <c r="CJB44" s="12"/>
      <c r="CJC44" s="12"/>
      <c r="CJD44" s="12"/>
      <c r="CJE44" s="12"/>
      <c r="CJF44" s="12"/>
      <c r="CJG44" s="12"/>
      <c r="CJH44" s="12"/>
      <c r="CJI44" s="12"/>
      <c r="CJJ44" s="12"/>
      <c r="CJK44" s="12"/>
      <c r="CJL44" s="12"/>
      <c r="CJM44" s="12"/>
      <c r="CJN44" s="12"/>
      <c r="CJO44" s="12"/>
      <c r="CJP44" s="12"/>
      <c r="CJQ44" s="12"/>
      <c r="CJR44" s="12"/>
      <c r="CJS44" s="12"/>
      <c r="CJT44" s="12"/>
      <c r="CJU44" s="12"/>
      <c r="CJV44" s="12"/>
      <c r="CJW44" s="12"/>
      <c r="CJX44" s="12"/>
      <c r="CJY44" s="12"/>
      <c r="CJZ44" s="12"/>
      <c r="CKA44" s="12"/>
      <c r="CKB44" s="12"/>
      <c r="CKC44" s="12"/>
      <c r="CKD44" s="12"/>
      <c r="CKE44" s="12"/>
      <c r="CKF44" s="12"/>
      <c r="CKG44" s="12"/>
      <c r="CKH44" s="12"/>
      <c r="CKI44" s="12"/>
      <c r="CKJ44" s="12"/>
      <c r="CKK44" s="12"/>
      <c r="CKL44" s="12"/>
      <c r="CKM44" s="12"/>
      <c r="CKN44" s="12"/>
      <c r="CKO44" s="12"/>
      <c r="CKP44" s="12"/>
      <c r="CKQ44" s="12"/>
      <c r="CKR44" s="12"/>
      <c r="CKS44" s="12"/>
      <c r="CKT44" s="12"/>
      <c r="CKU44" s="12"/>
      <c r="CKV44" s="12"/>
      <c r="CKW44" s="12"/>
      <c r="CKX44" s="12"/>
      <c r="CKY44" s="12"/>
      <c r="CKZ44" s="12"/>
      <c r="CLA44" s="12"/>
      <c r="CLB44" s="12"/>
      <c r="CLC44" s="12"/>
      <c r="CLD44" s="12"/>
      <c r="CLE44" s="12"/>
      <c r="CLF44" s="12"/>
      <c r="CLG44" s="12"/>
      <c r="CLH44" s="12"/>
      <c r="CLI44" s="12"/>
      <c r="CLJ44" s="12"/>
      <c r="CLK44" s="12"/>
      <c r="CLL44" s="12"/>
      <c r="CLM44" s="12"/>
      <c r="CLN44" s="12"/>
      <c r="CLO44" s="12"/>
      <c r="CLP44" s="12"/>
      <c r="CLQ44" s="12"/>
      <c r="CLR44" s="12"/>
      <c r="CLS44" s="12"/>
      <c r="CLT44" s="12"/>
      <c r="CLU44" s="12"/>
      <c r="CLV44" s="12"/>
      <c r="CLW44" s="12"/>
      <c r="CLX44" s="12"/>
      <c r="CLY44" s="12"/>
      <c r="CLZ44" s="12"/>
      <c r="CMA44" s="12"/>
      <c r="CMB44" s="12"/>
      <c r="CMC44" s="12"/>
      <c r="CMD44" s="12"/>
      <c r="CME44" s="12"/>
      <c r="CMF44" s="12"/>
      <c r="CMG44" s="12"/>
      <c r="CMH44" s="12"/>
      <c r="CMI44" s="12"/>
      <c r="CMJ44" s="12"/>
      <c r="CMK44" s="12"/>
      <c r="CML44" s="12"/>
      <c r="CMM44" s="12"/>
      <c r="CMN44" s="12"/>
      <c r="CMO44" s="12"/>
      <c r="CMP44" s="12"/>
      <c r="CMQ44" s="12"/>
      <c r="CMR44" s="12"/>
      <c r="CMS44" s="12"/>
      <c r="CMT44" s="12"/>
      <c r="CMU44" s="12"/>
      <c r="CMV44" s="12"/>
      <c r="CMW44" s="12"/>
      <c r="CMX44" s="12"/>
      <c r="CMY44" s="12"/>
      <c r="CMZ44" s="12"/>
      <c r="CNA44" s="12"/>
      <c r="CNB44" s="12"/>
      <c r="CNC44" s="12"/>
      <c r="CND44" s="12"/>
      <c r="CNE44" s="12"/>
      <c r="CNF44" s="12"/>
      <c r="CNG44" s="12"/>
      <c r="CNH44" s="12"/>
      <c r="CNI44" s="12"/>
      <c r="CNJ44" s="12"/>
      <c r="CNK44" s="12"/>
      <c r="CNL44" s="12"/>
      <c r="CNM44" s="12"/>
      <c r="CNN44" s="12"/>
      <c r="CNO44" s="12"/>
      <c r="CNP44" s="12"/>
      <c r="CNQ44" s="12"/>
      <c r="CNR44" s="12"/>
      <c r="CNS44" s="12"/>
      <c r="CNT44" s="12"/>
      <c r="CNU44" s="12"/>
      <c r="CNV44" s="12"/>
      <c r="CNW44" s="12"/>
      <c r="CNX44" s="12"/>
      <c r="CNY44" s="12"/>
      <c r="CNZ44" s="12"/>
      <c r="COA44" s="12"/>
      <c r="COB44" s="12"/>
      <c r="COC44" s="12"/>
      <c r="COD44" s="12"/>
      <c r="COE44" s="12"/>
      <c r="COF44" s="12"/>
      <c r="COG44" s="12"/>
      <c r="COH44" s="12"/>
      <c r="COI44" s="12"/>
      <c r="COJ44" s="12"/>
      <c r="COK44" s="12"/>
      <c r="COL44" s="12"/>
      <c r="COM44" s="12"/>
      <c r="CON44" s="12"/>
      <c r="COO44" s="12"/>
      <c r="COP44" s="12"/>
      <c r="COQ44" s="12"/>
      <c r="COR44" s="12"/>
      <c r="COS44" s="12"/>
      <c r="COT44" s="12"/>
      <c r="COU44" s="12"/>
      <c r="COV44" s="12"/>
      <c r="COW44" s="12"/>
      <c r="COX44" s="12"/>
      <c r="COY44" s="12"/>
      <c r="COZ44" s="12"/>
      <c r="CPA44" s="12"/>
      <c r="CPB44" s="12"/>
      <c r="CPC44" s="12"/>
      <c r="CPD44" s="12"/>
      <c r="CPE44" s="12"/>
      <c r="CPF44" s="12"/>
      <c r="CPG44" s="12"/>
      <c r="CPH44" s="12"/>
      <c r="CPI44" s="12"/>
      <c r="CPJ44" s="12"/>
      <c r="CPK44" s="12"/>
      <c r="CPL44" s="12"/>
      <c r="CPM44" s="12"/>
      <c r="CPN44" s="12"/>
      <c r="CPO44" s="12"/>
      <c r="CPP44" s="12"/>
      <c r="CPQ44" s="12"/>
      <c r="CPR44" s="12"/>
      <c r="CPS44" s="12"/>
      <c r="CPT44" s="12"/>
      <c r="CPU44" s="12"/>
      <c r="CPV44" s="12"/>
      <c r="CPW44" s="12"/>
      <c r="CPX44" s="12"/>
      <c r="CPY44" s="12"/>
      <c r="CPZ44" s="12"/>
      <c r="CQA44" s="12"/>
      <c r="CQB44" s="12"/>
      <c r="CQC44" s="12"/>
      <c r="CQD44" s="12"/>
      <c r="CQE44" s="12"/>
      <c r="CQF44" s="12"/>
      <c r="CQG44" s="12"/>
      <c r="CQH44" s="12"/>
      <c r="CQI44" s="12"/>
      <c r="CQJ44" s="12"/>
      <c r="CQK44" s="12"/>
      <c r="CQL44" s="12"/>
      <c r="CQM44" s="12"/>
      <c r="CQN44" s="12"/>
      <c r="CQO44" s="12"/>
      <c r="CQP44" s="12"/>
      <c r="CQQ44" s="12"/>
      <c r="CQR44" s="12"/>
      <c r="CQS44" s="12"/>
      <c r="CQT44" s="12"/>
      <c r="CQU44" s="12"/>
      <c r="CQV44" s="12"/>
      <c r="CQW44" s="12"/>
      <c r="CQX44" s="12"/>
      <c r="CQY44" s="12"/>
      <c r="CQZ44" s="12"/>
      <c r="CRA44" s="12"/>
      <c r="CRB44" s="12"/>
      <c r="CRC44" s="12"/>
      <c r="CRD44" s="12"/>
      <c r="CRE44" s="12"/>
      <c r="CRF44" s="12"/>
      <c r="CRG44" s="12"/>
      <c r="CRH44" s="12"/>
      <c r="CRI44" s="12"/>
      <c r="CRJ44" s="12"/>
      <c r="CRK44" s="12"/>
      <c r="CRL44" s="12"/>
      <c r="CRM44" s="12"/>
      <c r="CRN44" s="12"/>
      <c r="CRO44" s="12"/>
      <c r="CRP44" s="12"/>
      <c r="CRQ44" s="12"/>
      <c r="CRR44" s="12"/>
      <c r="CRS44" s="12"/>
      <c r="CRT44" s="12"/>
      <c r="CRU44" s="12"/>
      <c r="CRV44" s="12"/>
      <c r="CRW44" s="12"/>
      <c r="CRX44" s="12"/>
      <c r="CRY44" s="12"/>
      <c r="CRZ44" s="12"/>
      <c r="CSA44" s="12"/>
      <c r="CSB44" s="12"/>
      <c r="CSC44" s="12"/>
      <c r="CSD44" s="12"/>
      <c r="CSE44" s="12"/>
      <c r="CSF44" s="12"/>
      <c r="CSG44" s="12"/>
      <c r="CSH44" s="12"/>
      <c r="CSI44" s="12"/>
      <c r="CSJ44" s="12"/>
      <c r="CSK44" s="12"/>
      <c r="CSL44" s="12"/>
      <c r="CSM44" s="12"/>
      <c r="CSN44" s="12"/>
      <c r="CSO44" s="12"/>
      <c r="CSP44" s="12"/>
      <c r="CSQ44" s="12"/>
      <c r="CSR44" s="12"/>
      <c r="CSS44" s="12"/>
      <c r="CST44" s="12"/>
      <c r="CSU44" s="12"/>
      <c r="CSV44" s="12"/>
      <c r="CSW44" s="12"/>
      <c r="CSX44" s="12"/>
      <c r="CSY44" s="12"/>
      <c r="CSZ44" s="12"/>
      <c r="CTA44" s="12"/>
      <c r="CTB44" s="12"/>
      <c r="CTC44" s="12"/>
      <c r="CTD44" s="12"/>
      <c r="CTE44" s="12"/>
      <c r="CTF44" s="12"/>
      <c r="CTG44" s="12"/>
      <c r="CTH44" s="12"/>
      <c r="CTI44" s="12"/>
      <c r="CTJ44" s="12"/>
      <c r="CTK44" s="12"/>
      <c r="CTL44" s="12"/>
      <c r="CTM44" s="12"/>
      <c r="CTN44" s="12"/>
      <c r="CTO44" s="12"/>
      <c r="CTP44" s="12"/>
      <c r="CTQ44" s="12"/>
      <c r="CTR44" s="12"/>
      <c r="CTS44" s="12"/>
      <c r="CTT44" s="12"/>
      <c r="CTU44" s="12"/>
      <c r="CTV44" s="12"/>
      <c r="CTW44" s="12"/>
      <c r="CTX44" s="12"/>
      <c r="CTY44" s="12"/>
      <c r="CTZ44" s="12"/>
      <c r="CUA44" s="12"/>
      <c r="CUB44" s="12"/>
      <c r="CUC44" s="12"/>
      <c r="CUD44" s="12"/>
      <c r="CUE44" s="12"/>
      <c r="CUF44" s="12"/>
      <c r="CUG44" s="12"/>
      <c r="CUH44" s="12"/>
      <c r="CUI44" s="12"/>
      <c r="CUJ44" s="12"/>
      <c r="CUK44" s="12"/>
      <c r="CUL44" s="12"/>
      <c r="CUM44" s="12"/>
      <c r="CUN44" s="12"/>
      <c r="CUO44" s="12"/>
      <c r="CUP44" s="12"/>
      <c r="CUQ44" s="12"/>
      <c r="CUR44" s="12"/>
      <c r="CUS44" s="12"/>
      <c r="CUT44" s="12"/>
      <c r="CUU44" s="12"/>
      <c r="CUV44" s="12"/>
      <c r="CUW44" s="12"/>
      <c r="CUX44" s="12"/>
      <c r="CUY44" s="12"/>
      <c r="CUZ44" s="12"/>
      <c r="CVA44" s="12"/>
      <c r="CVB44" s="12"/>
      <c r="CVC44" s="12"/>
      <c r="CVD44" s="12"/>
      <c r="CVE44" s="12"/>
      <c r="CVF44" s="12"/>
      <c r="CVG44" s="12"/>
      <c r="CVH44" s="12"/>
      <c r="CVI44" s="12"/>
      <c r="CVJ44" s="12"/>
      <c r="CVK44" s="12"/>
      <c r="CVL44" s="12"/>
      <c r="CVM44" s="12"/>
      <c r="CVN44" s="12"/>
      <c r="CVO44" s="12"/>
      <c r="CVP44" s="12"/>
      <c r="CVQ44" s="12"/>
      <c r="CVR44" s="12"/>
      <c r="CVS44" s="12"/>
      <c r="CVT44" s="12"/>
      <c r="CVU44" s="12"/>
      <c r="CVV44" s="12"/>
      <c r="CVW44" s="12"/>
      <c r="CVX44" s="12"/>
      <c r="CVY44" s="12"/>
      <c r="CVZ44" s="12"/>
      <c r="CWA44" s="12"/>
      <c r="CWB44" s="12"/>
      <c r="CWC44" s="12"/>
      <c r="CWD44" s="12"/>
      <c r="CWE44" s="12"/>
      <c r="CWF44" s="12"/>
      <c r="CWG44" s="12"/>
      <c r="CWH44" s="12"/>
      <c r="CWI44" s="12"/>
      <c r="CWJ44" s="12"/>
      <c r="CWK44" s="12"/>
      <c r="CWL44" s="12"/>
      <c r="CWM44" s="12"/>
      <c r="CWN44" s="12"/>
      <c r="CWO44" s="12"/>
      <c r="CWP44" s="12"/>
      <c r="CWQ44" s="12"/>
      <c r="CWR44" s="12"/>
      <c r="CWS44" s="12"/>
      <c r="CWT44" s="12"/>
      <c r="CWU44" s="12"/>
      <c r="CWV44" s="12"/>
      <c r="CWW44" s="12"/>
      <c r="CWX44" s="12"/>
      <c r="CWY44" s="12"/>
      <c r="CWZ44" s="12"/>
      <c r="CXA44" s="12"/>
      <c r="CXB44" s="12"/>
      <c r="CXC44" s="12"/>
      <c r="CXD44" s="12"/>
      <c r="CXE44" s="12"/>
      <c r="CXF44" s="12"/>
      <c r="CXG44" s="12"/>
      <c r="CXH44" s="12"/>
      <c r="CXI44" s="12"/>
      <c r="CXJ44" s="12"/>
      <c r="CXK44" s="12"/>
      <c r="CXL44" s="12"/>
      <c r="CXM44" s="12"/>
      <c r="CXN44" s="12"/>
      <c r="CXO44" s="12"/>
      <c r="CXP44" s="12"/>
      <c r="CXQ44" s="12"/>
      <c r="CXR44" s="12"/>
      <c r="CXS44" s="12"/>
      <c r="CXT44" s="12"/>
      <c r="CXU44" s="12"/>
      <c r="CXV44" s="12"/>
      <c r="CXW44" s="12"/>
      <c r="CXX44" s="12"/>
      <c r="CXY44" s="12"/>
      <c r="CXZ44" s="12"/>
      <c r="CYA44" s="12"/>
      <c r="CYB44" s="12"/>
      <c r="CYC44" s="12"/>
      <c r="CYD44" s="12"/>
      <c r="CYE44" s="12"/>
      <c r="CYF44" s="12"/>
      <c r="CYG44" s="12"/>
      <c r="CYH44" s="12"/>
      <c r="CYI44" s="12"/>
      <c r="CYJ44" s="12"/>
      <c r="CYK44" s="12"/>
      <c r="CYL44" s="12"/>
      <c r="CYM44" s="12"/>
      <c r="CYN44" s="12"/>
      <c r="CYO44" s="12"/>
      <c r="CYP44" s="12"/>
      <c r="CYQ44" s="12"/>
      <c r="CYR44" s="12"/>
      <c r="CYS44" s="12"/>
      <c r="CYT44" s="12"/>
      <c r="CYU44" s="12"/>
      <c r="CYV44" s="12"/>
      <c r="CYW44" s="12"/>
      <c r="CYX44" s="12"/>
      <c r="CYY44" s="12"/>
      <c r="CYZ44" s="12"/>
      <c r="CZA44" s="12"/>
      <c r="CZB44" s="12"/>
      <c r="CZC44" s="12"/>
      <c r="CZD44" s="12"/>
      <c r="CZE44" s="12"/>
      <c r="CZF44" s="12"/>
      <c r="CZG44" s="12"/>
      <c r="CZH44" s="12"/>
      <c r="CZI44" s="12"/>
      <c r="CZJ44" s="12"/>
      <c r="CZK44" s="12"/>
      <c r="CZL44" s="12"/>
      <c r="CZM44" s="12"/>
      <c r="CZN44" s="12"/>
      <c r="CZO44" s="12"/>
      <c r="CZP44" s="12"/>
      <c r="CZQ44" s="12"/>
      <c r="CZR44" s="12"/>
      <c r="CZS44" s="12"/>
      <c r="CZT44" s="12"/>
      <c r="CZU44" s="12"/>
      <c r="CZV44" s="12"/>
      <c r="CZW44" s="12"/>
      <c r="CZX44" s="12"/>
      <c r="CZY44" s="12"/>
      <c r="CZZ44" s="12"/>
      <c r="DAA44" s="12"/>
      <c r="DAB44" s="12"/>
      <c r="DAC44" s="12"/>
      <c r="DAD44" s="12"/>
      <c r="DAE44" s="12"/>
      <c r="DAF44" s="12"/>
      <c r="DAG44" s="12"/>
      <c r="DAH44" s="12"/>
      <c r="DAI44" s="12"/>
      <c r="DAJ44" s="12"/>
      <c r="DAK44" s="12"/>
      <c r="DAL44" s="12"/>
      <c r="DAM44" s="12"/>
      <c r="DAN44" s="12"/>
      <c r="DAO44" s="12"/>
      <c r="DAP44" s="12"/>
      <c r="DAQ44" s="12"/>
      <c r="DAR44" s="12"/>
      <c r="DAS44" s="12"/>
      <c r="DAT44" s="12"/>
      <c r="DAU44" s="12"/>
      <c r="DAV44" s="12"/>
      <c r="DAW44" s="12"/>
      <c r="DAX44" s="12"/>
      <c r="DAY44" s="12"/>
      <c r="DAZ44" s="12"/>
      <c r="DBA44" s="12"/>
      <c r="DBB44" s="12"/>
      <c r="DBC44" s="12"/>
      <c r="DBD44" s="12"/>
      <c r="DBE44" s="12"/>
      <c r="DBF44" s="12"/>
      <c r="DBG44" s="12"/>
      <c r="DBH44" s="12"/>
      <c r="DBI44" s="12"/>
      <c r="DBJ44" s="12"/>
      <c r="DBK44" s="12"/>
      <c r="DBL44" s="12"/>
      <c r="DBM44" s="12"/>
      <c r="DBN44" s="12"/>
      <c r="DBO44" s="12"/>
      <c r="DBP44" s="12"/>
      <c r="DBQ44" s="12"/>
      <c r="DBR44" s="12"/>
      <c r="DBS44" s="12"/>
      <c r="DBT44" s="12"/>
      <c r="DBU44" s="12"/>
      <c r="DBV44" s="12"/>
      <c r="DBW44" s="12"/>
      <c r="DBX44" s="12"/>
      <c r="DBY44" s="12"/>
      <c r="DBZ44" s="12"/>
      <c r="DCA44" s="12"/>
      <c r="DCB44" s="12"/>
      <c r="DCC44" s="12"/>
      <c r="DCD44" s="12"/>
      <c r="DCE44" s="12"/>
      <c r="DCF44" s="12"/>
      <c r="DCG44" s="12"/>
      <c r="DCH44" s="12"/>
      <c r="DCI44" s="12"/>
      <c r="DCJ44" s="12"/>
      <c r="DCK44" s="12"/>
      <c r="DCL44" s="12"/>
      <c r="DCM44" s="12"/>
      <c r="DCN44" s="12"/>
      <c r="DCO44" s="12"/>
      <c r="DCP44" s="12"/>
      <c r="DCQ44" s="12"/>
      <c r="DCR44" s="12"/>
      <c r="DCS44" s="12"/>
      <c r="DCT44" s="12"/>
      <c r="DCU44" s="12"/>
      <c r="DCV44" s="12"/>
      <c r="DCW44" s="12"/>
      <c r="DCX44" s="12"/>
      <c r="DCY44" s="12"/>
      <c r="DCZ44" s="12"/>
      <c r="DDA44" s="12"/>
      <c r="DDB44" s="12"/>
      <c r="DDC44" s="12"/>
      <c r="DDD44" s="12"/>
      <c r="DDE44" s="12"/>
      <c r="DDF44" s="12"/>
      <c r="DDG44" s="12"/>
      <c r="DDH44" s="12"/>
      <c r="DDI44" s="12"/>
      <c r="DDJ44" s="12"/>
      <c r="DDK44" s="12"/>
      <c r="DDL44" s="12"/>
      <c r="DDM44" s="12"/>
      <c r="DDN44" s="12"/>
      <c r="DDO44" s="12"/>
      <c r="DDP44" s="12"/>
      <c r="DDQ44" s="12"/>
      <c r="DDR44" s="12"/>
      <c r="DDS44" s="12"/>
      <c r="DDT44" s="12"/>
      <c r="DDU44" s="12"/>
      <c r="DDV44" s="12"/>
      <c r="DDW44" s="12"/>
      <c r="DDX44" s="12"/>
      <c r="DDY44" s="12"/>
      <c r="DDZ44" s="12"/>
      <c r="DEA44" s="12"/>
      <c r="DEB44" s="12"/>
      <c r="DEC44" s="12"/>
      <c r="DED44" s="12"/>
      <c r="DEE44" s="12"/>
      <c r="DEF44" s="12"/>
      <c r="DEG44" s="12"/>
      <c r="DEH44" s="12"/>
      <c r="DEI44" s="12"/>
      <c r="DEJ44" s="12"/>
      <c r="DEK44" s="12"/>
      <c r="DEL44" s="12"/>
      <c r="DEM44" s="12"/>
      <c r="DEN44" s="12"/>
      <c r="DEO44" s="12"/>
      <c r="DEP44" s="12"/>
      <c r="DEQ44" s="12"/>
      <c r="DER44" s="12"/>
      <c r="DES44" s="12"/>
      <c r="DET44" s="12"/>
      <c r="DEU44" s="12"/>
      <c r="DEV44" s="12"/>
      <c r="DEW44" s="12"/>
      <c r="DEX44" s="12"/>
      <c r="DEY44" s="12"/>
      <c r="DEZ44" s="12"/>
      <c r="DFA44" s="12"/>
      <c r="DFB44" s="12"/>
      <c r="DFC44" s="12"/>
      <c r="DFD44" s="12"/>
      <c r="DFE44" s="12"/>
      <c r="DFF44" s="12"/>
      <c r="DFG44" s="12"/>
      <c r="DFH44" s="12"/>
      <c r="DFI44" s="12"/>
      <c r="DFJ44" s="12"/>
      <c r="DFK44" s="12"/>
      <c r="DFL44" s="12"/>
      <c r="DFM44" s="12"/>
      <c r="DFN44" s="12"/>
      <c r="DFO44" s="12"/>
      <c r="DFP44" s="12"/>
      <c r="DFQ44" s="12"/>
      <c r="DFR44" s="12"/>
      <c r="DFS44" s="12"/>
      <c r="DFT44" s="12"/>
      <c r="DFU44" s="12"/>
      <c r="DFV44" s="12"/>
      <c r="DFW44" s="12"/>
      <c r="DFX44" s="12"/>
      <c r="DFY44" s="12"/>
      <c r="DFZ44" s="12"/>
      <c r="DGA44" s="12"/>
      <c r="DGB44" s="12"/>
      <c r="DGC44" s="12"/>
      <c r="DGD44" s="12"/>
      <c r="DGE44" s="12"/>
      <c r="DGF44" s="12"/>
      <c r="DGG44" s="12"/>
      <c r="DGH44" s="12"/>
      <c r="DGI44" s="12"/>
      <c r="DGJ44" s="12"/>
      <c r="DGK44" s="12"/>
      <c r="DGL44" s="12"/>
      <c r="DGM44" s="12"/>
      <c r="DGN44" s="12"/>
      <c r="DGO44" s="12"/>
      <c r="DGP44" s="12"/>
      <c r="DGQ44" s="12"/>
      <c r="DGR44" s="12"/>
      <c r="DGS44" s="12"/>
      <c r="DGT44" s="12"/>
      <c r="DGU44" s="12"/>
      <c r="DGV44" s="12"/>
      <c r="DGW44" s="12"/>
      <c r="DGX44" s="12"/>
      <c r="DGY44" s="12"/>
      <c r="DGZ44" s="12"/>
      <c r="DHA44" s="12"/>
      <c r="DHB44" s="12"/>
      <c r="DHC44" s="12"/>
      <c r="DHD44" s="12"/>
      <c r="DHE44" s="12"/>
      <c r="DHF44" s="12"/>
      <c r="DHG44" s="12"/>
      <c r="DHH44" s="12"/>
      <c r="DHI44" s="12"/>
      <c r="DHJ44" s="12"/>
      <c r="DHK44" s="12"/>
      <c r="DHL44" s="12"/>
      <c r="DHM44" s="12"/>
      <c r="DHN44" s="12"/>
      <c r="DHO44" s="12"/>
      <c r="DHP44" s="12"/>
      <c r="DHQ44" s="12"/>
      <c r="DHR44" s="12"/>
      <c r="DHS44" s="12"/>
      <c r="DHT44" s="12"/>
      <c r="DHU44" s="12"/>
      <c r="DHV44" s="12"/>
      <c r="DHW44" s="12"/>
      <c r="DHX44" s="12"/>
      <c r="DHY44" s="12"/>
      <c r="DHZ44" s="12"/>
      <c r="DIA44" s="12"/>
      <c r="DIB44" s="12"/>
      <c r="DIC44" s="12"/>
      <c r="DID44" s="12"/>
      <c r="DIE44" s="12"/>
      <c r="DIF44" s="12"/>
      <c r="DIG44" s="12"/>
      <c r="DIH44" s="12"/>
      <c r="DII44" s="12"/>
      <c r="DIJ44" s="12"/>
      <c r="DIK44" s="12"/>
      <c r="DIL44" s="12"/>
      <c r="DIM44" s="12"/>
      <c r="DIN44" s="12"/>
      <c r="DIO44" s="12"/>
      <c r="DIP44" s="12"/>
      <c r="DIQ44" s="12"/>
      <c r="DIR44" s="12"/>
      <c r="DIS44" s="12"/>
      <c r="DIT44" s="12"/>
      <c r="DIU44" s="12"/>
      <c r="DIV44" s="12"/>
      <c r="DIW44" s="12"/>
      <c r="DIX44" s="12"/>
      <c r="DIY44" s="12"/>
      <c r="DIZ44" s="12"/>
      <c r="DJA44" s="12"/>
      <c r="DJB44" s="12"/>
      <c r="DJC44" s="12"/>
      <c r="DJD44" s="12"/>
      <c r="DJE44" s="12"/>
      <c r="DJF44" s="12"/>
      <c r="DJG44" s="12"/>
      <c r="DJH44" s="12"/>
      <c r="DJI44" s="12"/>
      <c r="DJJ44" s="12"/>
      <c r="DJK44" s="12"/>
      <c r="DJL44" s="12"/>
      <c r="DJM44" s="12"/>
      <c r="DJN44" s="12"/>
      <c r="DJO44" s="12"/>
      <c r="DJP44" s="12"/>
      <c r="DJQ44" s="12"/>
      <c r="DJR44" s="12"/>
      <c r="DJS44" s="12"/>
      <c r="DJT44" s="12"/>
      <c r="DJU44" s="12"/>
      <c r="DJV44" s="12"/>
      <c r="DJW44" s="12"/>
      <c r="DJX44" s="12"/>
      <c r="DJY44" s="12"/>
      <c r="DJZ44" s="12"/>
      <c r="DKA44" s="12"/>
      <c r="DKB44" s="12"/>
      <c r="DKC44" s="12"/>
      <c r="DKD44" s="12"/>
      <c r="DKE44" s="12"/>
      <c r="DKF44" s="12"/>
      <c r="DKG44" s="12"/>
      <c r="DKH44" s="12"/>
      <c r="DKI44" s="12"/>
      <c r="DKJ44" s="12"/>
      <c r="DKK44" s="12"/>
      <c r="DKL44" s="12"/>
      <c r="DKM44" s="12"/>
      <c r="DKN44" s="12"/>
      <c r="DKO44" s="12"/>
      <c r="DKP44" s="12"/>
      <c r="DKQ44" s="12"/>
      <c r="DKR44" s="12"/>
      <c r="DKS44" s="12"/>
      <c r="DKT44" s="12"/>
      <c r="DKU44" s="12"/>
      <c r="DKV44" s="12"/>
      <c r="DKW44" s="12"/>
      <c r="DKX44" s="12"/>
      <c r="DKY44" s="12"/>
      <c r="DKZ44" s="12"/>
      <c r="DLA44" s="12"/>
      <c r="DLB44" s="12"/>
      <c r="DLC44" s="12"/>
      <c r="DLD44" s="12"/>
      <c r="DLE44" s="12"/>
      <c r="DLF44" s="12"/>
      <c r="DLG44" s="12"/>
      <c r="DLH44" s="12"/>
      <c r="DLI44" s="12"/>
      <c r="DLJ44" s="12"/>
      <c r="DLK44" s="12"/>
      <c r="DLL44" s="12"/>
      <c r="DLM44" s="12"/>
      <c r="DLN44" s="12"/>
      <c r="DLO44" s="12"/>
      <c r="DLP44" s="12"/>
      <c r="DLQ44" s="12"/>
      <c r="DLR44" s="12"/>
      <c r="DLS44" s="12"/>
      <c r="DLT44" s="12"/>
      <c r="DLU44" s="12"/>
      <c r="DLV44" s="12"/>
      <c r="DLW44" s="12"/>
      <c r="DLX44" s="12"/>
      <c r="DLY44" s="12"/>
      <c r="DLZ44" s="12"/>
      <c r="DMA44" s="12"/>
      <c r="DMB44" s="12"/>
      <c r="DMC44" s="12"/>
      <c r="DMD44" s="12"/>
      <c r="DME44" s="12"/>
      <c r="DMF44" s="12"/>
      <c r="DMG44" s="12"/>
      <c r="DMH44" s="12"/>
      <c r="DMI44" s="12"/>
      <c r="DMJ44" s="12"/>
      <c r="DMK44" s="12"/>
      <c r="DML44" s="12"/>
      <c r="DMM44" s="12"/>
      <c r="DMN44" s="12"/>
      <c r="DMO44" s="12"/>
      <c r="DMP44" s="12"/>
      <c r="DMQ44" s="12"/>
      <c r="DMR44" s="12"/>
      <c r="DMS44" s="12"/>
      <c r="DMT44" s="12"/>
      <c r="DMU44" s="12"/>
      <c r="DMV44" s="12"/>
      <c r="DMW44" s="12"/>
      <c r="DMX44" s="12"/>
      <c r="DMY44" s="12"/>
      <c r="DMZ44" s="12"/>
      <c r="DNA44" s="12"/>
      <c r="DNB44" s="12"/>
      <c r="DNC44" s="12"/>
      <c r="DND44" s="12"/>
      <c r="DNE44" s="12"/>
      <c r="DNF44" s="12"/>
      <c r="DNG44" s="12"/>
      <c r="DNH44" s="12"/>
      <c r="DNI44" s="12"/>
      <c r="DNJ44" s="12"/>
      <c r="DNK44" s="12"/>
      <c r="DNL44" s="12"/>
      <c r="DNM44" s="12"/>
      <c r="DNN44" s="12"/>
      <c r="DNO44" s="12"/>
      <c r="DNP44" s="12"/>
      <c r="DNQ44" s="12"/>
      <c r="DNR44" s="12"/>
      <c r="DNS44" s="12"/>
      <c r="DNT44" s="12"/>
      <c r="DNU44" s="12"/>
      <c r="DNV44" s="12"/>
      <c r="DNW44" s="12"/>
      <c r="DNX44" s="12"/>
      <c r="DNY44" s="12"/>
      <c r="DNZ44" s="12"/>
      <c r="DOA44" s="12"/>
      <c r="DOB44" s="12"/>
      <c r="DOC44" s="12"/>
      <c r="DOD44" s="12"/>
      <c r="DOE44" s="12"/>
      <c r="DOF44" s="12"/>
      <c r="DOG44" s="12"/>
      <c r="DOH44" s="12"/>
      <c r="DOI44" s="12"/>
      <c r="DOJ44" s="12"/>
      <c r="DOK44" s="12"/>
      <c r="DOL44" s="12"/>
      <c r="DOM44" s="12"/>
      <c r="DON44" s="12"/>
      <c r="DOO44" s="12"/>
      <c r="DOP44" s="12"/>
      <c r="DOQ44" s="12"/>
      <c r="DOR44" s="12"/>
      <c r="DOS44" s="12"/>
      <c r="DOT44" s="12"/>
      <c r="DOU44" s="12"/>
      <c r="DOV44" s="12"/>
      <c r="DOW44" s="12"/>
      <c r="DOX44" s="12"/>
      <c r="DOY44" s="12"/>
      <c r="DOZ44" s="12"/>
      <c r="DPA44" s="12"/>
      <c r="DPB44" s="12"/>
      <c r="DPC44" s="12"/>
      <c r="DPD44" s="12"/>
      <c r="DPE44" s="12"/>
      <c r="DPF44" s="12"/>
      <c r="DPG44" s="12"/>
      <c r="DPH44" s="12"/>
      <c r="DPI44" s="12"/>
      <c r="DPJ44" s="12"/>
      <c r="DPK44" s="12"/>
      <c r="DPL44" s="12"/>
      <c r="DPM44" s="12"/>
      <c r="DPN44" s="12"/>
      <c r="DPO44" s="12"/>
      <c r="DPP44" s="12"/>
      <c r="DPQ44" s="12"/>
      <c r="DPR44" s="12"/>
      <c r="DPS44" s="12"/>
      <c r="DPT44" s="12"/>
      <c r="DPU44" s="12"/>
      <c r="DPV44" s="12"/>
      <c r="DPW44" s="12"/>
      <c r="DPX44" s="12"/>
      <c r="DPY44" s="12"/>
      <c r="DPZ44" s="12"/>
      <c r="DQA44" s="12"/>
      <c r="DQB44" s="12"/>
      <c r="DQC44" s="12"/>
      <c r="DQD44" s="12"/>
      <c r="DQE44" s="12"/>
      <c r="DQF44" s="12"/>
      <c r="DQG44" s="12"/>
      <c r="DQH44" s="12"/>
      <c r="DQI44" s="12"/>
      <c r="DQJ44" s="12"/>
      <c r="DQK44" s="12"/>
      <c r="DQL44" s="12"/>
      <c r="DQM44" s="12"/>
      <c r="DQN44" s="12"/>
      <c r="DQO44" s="12"/>
      <c r="DQP44" s="12"/>
      <c r="DQQ44" s="12"/>
      <c r="DQR44" s="12"/>
      <c r="DQS44" s="12"/>
      <c r="DQT44" s="12"/>
      <c r="DQU44" s="12"/>
      <c r="DQV44" s="12"/>
      <c r="DQW44" s="12"/>
      <c r="DQX44" s="12"/>
      <c r="DQY44" s="12"/>
      <c r="DQZ44" s="12"/>
      <c r="DRA44" s="12"/>
      <c r="DRB44" s="12"/>
      <c r="DRC44" s="12"/>
      <c r="DRD44" s="12"/>
      <c r="DRE44" s="12"/>
      <c r="DRF44" s="12"/>
      <c r="DRG44" s="12"/>
      <c r="DRH44" s="12"/>
      <c r="DRI44" s="12"/>
      <c r="DRJ44" s="12"/>
      <c r="DRK44" s="12"/>
      <c r="DRL44" s="12"/>
      <c r="DRM44" s="12"/>
      <c r="DRN44" s="12"/>
      <c r="DRO44" s="12"/>
      <c r="DRP44" s="12"/>
      <c r="DRQ44" s="12"/>
      <c r="DRR44" s="12"/>
      <c r="DRS44" s="12"/>
      <c r="DRT44" s="12"/>
      <c r="DRU44" s="12"/>
      <c r="DRV44" s="12"/>
      <c r="DRW44" s="12"/>
      <c r="DRX44" s="12"/>
      <c r="DRY44" s="12"/>
      <c r="DRZ44" s="12"/>
      <c r="DSA44" s="12"/>
      <c r="DSB44" s="12"/>
      <c r="DSC44" s="12"/>
      <c r="DSD44" s="12"/>
      <c r="DSE44" s="12"/>
      <c r="DSF44" s="12"/>
      <c r="DSG44" s="12"/>
      <c r="DSH44" s="12"/>
      <c r="DSI44" s="12"/>
      <c r="DSJ44" s="12"/>
      <c r="DSK44" s="12"/>
      <c r="DSL44" s="12"/>
      <c r="DSM44" s="12"/>
      <c r="DSN44" s="12"/>
      <c r="DSO44" s="12"/>
      <c r="DSP44" s="12"/>
      <c r="DSQ44" s="12"/>
      <c r="DSR44" s="12"/>
      <c r="DSS44" s="12"/>
      <c r="DST44" s="12"/>
      <c r="DSU44" s="12"/>
      <c r="DSV44" s="12"/>
      <c r="DSW44" s="12"/>
      <c r="DSX44" s="12"/>
      <c r="DSY44" s="12"/>
      <c r="DSZ44" s="12"/>
      <c r="DTA44" s="12"/>
      <c r="DTB44" s="12"/>
      <c r="DTC44" s="12"/>
      <c r="DTD44" s="12"/>
      <c r="DTE44" s="12"/>
      <c r="DTF44" s="12"/>
      <c r="DTG44" s="12"/>
      <c r="DTH44" s="12"/>
      <c r="DTI44" s="12"/>
      <c r="DTJ44" s="12"/>
      <c r="DTK44" s="12"/>
      <c r="DTL44" s="12"/>
      <c r="DTM44" s="12"/>
      <c r="DTN44" s="12"/>
      <c r="DTO44" s="12"/>
      <c r="DTP44" s="12"/>
      <c r="DTQ44" s="12"/>
      <c r="DTR44" s="12"/>
      <c r="DTS44" s="12"/>
      <c r="DTT44" s="12"/>
      <c r="DTU44" s="12"/>
      <c r="DTV44" s="12"/>
      <c r="DTW44" s="12"/>
      <c r="DTX44" s="12"/>
      <c r="DTY44" s="12"/>
      <c r="DTZ44" s="12"/>
      <c r="DUA44" s="12"/>
      <c r="DUB44" s="12"/>
      <c r="DUC44" s="12"/>
      <c r="DUD44" s="12"/>
      <c r="DUE44" s="12"/>
      <c r="DUF44" s="12"/>
      <c r="DUG44" s="12"/>
      <c r="DUH44" s="12"/>
      <c r="DUI44" s="12"/>
      <c r="DUJ44" s="12"/>
      <c r="DUK44" s="12"/>
      <c r="DUL44" s="12"/>
      <c r="DUM44" s="12"/>
      <c r="DUN44" s="12"/>
      <c r="DUO44" s="12"/>
      <c r="DUP44" s="12"/>
      <c r="DUQ44" s="12"/>
      <c r="DUR44" s="12"/>
      <c r="DUS44" s="12"/>
      <c r="DUT44" s="12"/>
      <c r="DUU44" s="12"/>
      <c r="DUV44" s="12"/>
      <c r="DUW44" s="12"/>
      <c r="DUX44" s="12"/>
      <c r="DUY44" s="12"/>
      <c r="DUZ44" s="12"/>
      <c r="DVA44" s="12"/>
      <c r="DVB44" s="12"/>
      <c r="DVC44" s="12"/>
      <c r="DVD44" s="12"/>
      <c r="DVE44" s="12"/>
      <c r="DVF44" s="12"/>
      <c r="DVG44" s="12"/>
      <c r="DVH44" s="12"/>
      <c r="DVI44" s="12"/>
      <c r="DVJ44" s="12"/>
      <c r="DVK44" s="12"/>
      <c r="DVL44" s="12"/>
      <c r="DVM44" s="12"/>
      <c r="DVN44" s="12"/>
      <c r="DVO44" s="12"/>
      <c r="DVP44" s="12"/>
      <c r="DVQ44" s="12"/>
      <c r="DVR44" s="12"/>
      <c r="DVS44" s="12"/>
      <c r="DVT44" s="12"/>
      <c r="DVU44" s="12"/>
      <c r="DVV44" s="12"/>
      <c r="DVW44" s="12"/>
      <c r="DVX44" s="12"/>
      <c r="DVY44" s="12"/>
      <c r="DVZ44" s="12"/>
      <c r="DWA44" s="12"/>
      <c r="DWB44" s="12"/>
      <c r="DWC44" s="12"/>
      <c r="DWD44" s="12"/>
      <c r="DWE44" s="12"/>
      <c r="DWF44" s="12"/>
      <c r="DWG44" s="12"/>
      <c r="DWH44" s="12"/>
      <c r="DWI44" s="12"/>
      <c r="DWJ44" s="12"/>
      <c r="DWK44" s="12"/>
      <c r="DWL44" s="12"/>
      <c r="DWM44" s="12"/>
      <c r="DWN44" s="12"/>
      <c r="DWO44" s="12"/>
      <c r="DWP44" s="12"/>
      <c r="DWQ44" s="12"/>
      <c r="DWR44" s="12"/>
      <c r="DWS44" s="12"/>
      <c r="DWT44" s="12"/>
      <c r="DWU44" s="12"/>
      <c r="DWV44" s="12"/>
      <c r="DWW44" s="12"/>
      <c r="DWX44" s="12"/>
      <c r="DWY44" s="12"/>
      <c r="DWZ44" s="12"/>
      <c r="DXA44" s="12"/>
      <c r="DXB44" s="12"/>
      <c r="DXC44" s="12"/>
      <c r="DXD44" s="12"/>
      <c r="DXE44" s="12"/>
      <c r="DXF44" s="12"/>
      <c r="DXG44" s="12"/>
      <c r="DXH44" s="12"/>
      <c r="DXI44" s="12"/>
      <c r="DXJ44" s="12"/>
      <c r="DXK44" s="12"/>
      <c r="DXL44" s="12"/>
      <c r="DXM44" s="12"/>
      <c r="DXN44" s="12"/>
      <c r="DXO44" s="12"/>
      <c r="DXP44" s="12"/>
      <c r="DXQ44" s="12"/>
      <c r="DXR44" s="12"/>
      <c r="DXS44" s="12"/>
      <c r="DXT44" s="12"/>
      <c r="DXU44" s="12"/>
      <c r="DXV44" s="12"/>
      <c r="DXW44" s="12"/>
      <c r="DXX44" s="12"/>
      <c r="DXY44" s="12"/>
      <c r="DXZ44" s="12"/>
      <c r="DYA44" s="12"/>
      <c r="DYB44" s="12"/>
      <c r="DYC44" s="12"/>
      <c r="DYD44" s="12"/>
      <c r="DYE44" s="12"/>
      <c r="DYF44" s="12"/>
      <c r="DYG44" s="12"/>
      <c r="DYH44" s="12"/>
      <c r="DYI44" s="12"/>
      <c r="DYJ44" s="12"/>
      <c r="DYK44" s="12"/>
      <c r="DYL44" s="12"/>
      <c r="DYM44" s="12"/>
      <c r="DYN44" s="12"/>
      <c r="DYO44" s="12"/>
      <c r="DYP44" s="12"/>
      <c r="DYQ44" s="12"/>
      <c r="DYR44" s="12"/>
      <c r="DYS44" s="12"/>
      <c r="DYT44" s="12"/>
      <c r="DYU44" s="12"/>
      <c r="DYV44" s="12"/>
      <c r="DYW44" s="12"/>
      <c r="DYX44" s="12"/>
      <c r="DYY44" s="12"/>
      <c r="DYZ44" s="12"/>
      <c r="DZA44" s="12"/>
      <c r="DZB44" s="12"/>
      <c r="DZC44" s="12"/>
      <c r="DZD44" s="12"/>
      <c r="DZE44" s="12"/>
      <c r="DZF44" s="12"/>
      <c r="DZG44" s="12"/>
      <c r="DZH44" s="12"/>
      <c r="DZI44" s="12"/>
      <c r="DZJ44" s="12"/>
      <c r="DZK44" s="12"/>
      <c r="DZL44" s="12"/>
      <c r="DZM44" s="12"/>
      <c r="DZN44" s="12"/>
      <c r="DZO44" s="12"/>
      <c r="DZP44" s="12"/>
      <c r="DZQ44" s="12"/>
      <c r="DZR44" s="12"/>
      <c r="DZS44" s="12"/>
      <c r="DZT44" s="12"/>
      <c r="DZU44" s="12"/>
      <c r="DZV44" s="12"/>
      <c r="DZW44" s="12"/>
      <c r="DZX44" s="12"/>
      <c r="DZY44" s="12"/>
      <c r="DZZ44" s="12"/>
      <c r="EAA44" s="12"/>
      <c r="EAB44" s="12"/>
      <c r="EAC44" s="12"/>
      <c r="EAD44" s="12"/>
      <c r="EAE44" s="12"/>
      <c r="EAF44" s="12"/>
      <c r="EAG44" s="12"/>
      <c r="EAH44" s="12"/>
      <c r="EAI44" s="12"/>
      <c r="EAJ44" s="12"/>
      <c r="EAK44" s="12"/>
      <c r="EAL44" s="12"/>
      <c r="EAM44" s="12"/>
      <c r="EAN44" s="12"/>
      <c r="EAO44" s="12"/>
      <c r="EAP44" s="12"/>
      <c r="EAQ44" s="12"/>
      <c r="EAR44" s="12"/>
      <c r="EAS44" s="12"/>
      <c r="EAT44" s="12"/>
      <c r="EAU44" s="12"/>
      <c r="EAV44" s="12"/>
      <c r="EAW44" s="12"/>
      <c r="EAX44" s="12"/>
      <c r="EAY44" s="12"/>
      <c r="EAZ44" s="12"/>
      <c r="EBA44" s="12"/>
      <c r="EBB44" s="12"/>
      <c r="EBC44" s="12"/>
      <c r="EBD44" s="12"/>
      <c r="EBE44" s="12"/>
      <c r="EBF44" s="12"/>
      <c r="EBG44" s="12"/>
      <c r="EBH44" s="12"/>
      <c r="EBI44" s="12"/>
      <c r="EBJ44" s="12"/>
      <c r="EBK44" s="12"/>
      <c r="EBL44" s="12"/>
      <c r="EBM44" s="12"/>
      <c r="EBN44" s="12"/>
      <c r="EBO44" s="12"/>
      <c r="EBP44" s="12"/>
      <c r="EBQ44" s="12"/>
      <c r="EBR44" s="12"/>
      <c r="EBS44" s="12"/>
      <c r="EBT44" s="12"/>
      <c r="EBU44" s="12"/>
      <c r="EBV44" s="12"/>
      <c r="EBW44" s="12"/>
      <c r="EBX44" s="12"/>
      <c r="EBY44" s="12"/>
      <c r="EBZ44" s="12"/>
      <c r="ECA44" s="12"/>
      <c r="ECB44" s="12"/>
      <c r="ECC44" s="12"/>
      <c r="ECD44" s="12"/>
      <c r="ECE44" s="12"/>
      <c r="ECF44" s="12"/>
      <c r="ECG44" s="12"/>
      <c r="ECH44" s="12"/>
      <c r="ECI44" s="12"/>
      <c r="ECJ44" s="12"/>
      <c r="ECK44" s="12"/>
      <c r="ECL44" s="12"/>
      <c r="ECM44" s="12"/>
      <c r="ECN44" s="12"/>
      <c r="ECO44" s="12"/>
      <c r="ECP44" s="12"/>
      <c r="ECQ44" s="12"/>
      <c r="ECR44" s="12"/>
      <c r="ECS44" s="12"/>
      <c r="ECT44" s="12"/>
      <c r="ECU44" s="12"/>
      <c r="ECV44" s="12"/>
      <c r="ECW44" s="12"/>
      <c r="ECX44" s="12"/>
      <c r="ECY44" s="12"/>
      <c r="ECZ44" s="12"/>
      <c r="EDA44" s="12"/>
      <c r="EDB44" s="12"/>
      <c r="EDC44" s="12"/>
      <c r="EDD44" s="12"/>
      <c r="EDE44" s="12"/>
      <c r="EDF44" s="12"/>
      <c r="EDG44" s="12"/>
      <c r="EDH44" s="12"/>
      <c r="EDI44" s="12"/>
      <c r="EDJ44" s="12"/>
      <c r="EDK44" s="12"/>
      <c r="EDL44" s="12"/>
      <c r="EDM44" s="12"/>
      <c r="EDN44" s="12"/>
      <c r="EDO44" s="12"/>
      <c r="EDP44" s="12"/>
      <c r="EDQ44" s="12"/>
      <c r="EDR44" s="12"/>
      <c r="EDS44" s="12"/>
      <c r="EDT44" s="12"/>
      <c r="EDU44" s="12"/>
      <c r="EDV44" s="12"/>
      <c r="EDW44" s="12"/>
      <c r="EDX44" s="12"/>
      <c r="EDY44" s="12"/>
      <c r="EDZ44" s="12"/>
      <c r="EEA44" s="12"/>
      <c r="EEB44" s="12"/>
      <c r="EEC44" s="12"/>
      <c r="EED44" s="12"/>
      <c r="EEE44" s="12"/>
      <c r="EEF44" s="12"/>
      <c r="EEG44" s="12"/>
      <c r="EEH44" s="12"/>
      <c r="EEI44" s="12"/>
      <c r="EEJ44" s="12"/>
      <c r="EEK44" s="12"/>
      <c r="EEL44" s="12"/>
      <c r="EEM44" s="12"/>
      <c r="EEN44" s="12"/>
      <c r="EEO44" s="12"/>
      <c r="EEP44" s="12"/>
      <c r="EEQ44" s="12"/>
      <c r="EER44" s="12"/>
      <c r="EES44" s="12"/>
      <c r="EET44" s="12"/>
      <c r="EEU44" s="12"/>
      <c r="EEV44" s="12"/>
      <c r="EEW44" s="12"/>
      <c r="EEX44" s="12"/>
      <c r="EEY44" s="12"/>
      <c r="EEZ44" s="12"/>
      <c r="EFA44" s="12"/>
      <c r="EFB44" s="12"/>
      <c r="EFC44" s="12"/>
      <c r="EFD44" s="12"/>
      <c r="EFE44" s="12"/>
      <c r="EFF44" s="12"/>
      <c r="EFG44" s="12"/>
      <c r="EFH44" s="12"/>
      <c r="EFI44" s="12"/>
      <c r="EFJ44" s="12"/>
      <c r="EFK44" s="12"/>
      <c r="EFL44" s="12"/>
      <c r="EFM44" s="12"/>
      <c r="EFN44" s="12"/>
      <c r="EFO44" s="12"/>
      <c r="EFP44" s="12"/>
      <c r="EFQ44" s="12"/>
      <c r="EFR44" s="12"/>
      <c r="EFS44" s="12"/>
      <c r="EFT44" s="12"/>
      <c r="EFU44" s="12"/>
      <c r="EFV44" s="12"/>
      <c r="EFW44" s="12"/>
      <c r="EFX44" s="12"/>
      <c r="EFY44" s="12"/>
      <c r="EFZ44" s="12"/>
      <c r="EGA44" s="12"/>
      <c r="EGB44" s="12"/>
      <c r="EGC44" s="12"/>
      <c r="EGD44" s="12"/>
      <c r="EGE44" s="12"/>
      <c r="EGF44" s="12"/>
      <c r="EGG44" s="12"/>
      <c r="EGH44" s="12"/>
      <c r="EGI44" s="12"/>
      <c r="EGJ44" s="12"/>
      <c r="EGK44" s="12"/>
      <c r="EGL44" s="12"/>
      <c r="EGM44" s="12"/>
      <c r="EGN44" s="12"/>
      <c r="EGO44" s="12"/>
      <c r="EGP44" s="12"/>
      <c r="EGQ44" s="12"/>
      <c r="EGR44" s="12"/>
      <c r="EGS44" s="12"/>
      <c r="EGT44" s="12"/>
      <c r="EGU44" s="12"/>
      <c r="EGV44" s="12"/>
      <c r="EGW44" s="12"/>
      <c r="EGX44" s="12"/>
      <c r="EGY44" s="12"/>
      <c r="EGZ44" s="12"/>
      <c r="EHA44" s="12"/>
      <c r="EHB44" s="12"/>
      <c r="EHC44" s="12"/>
      <c r="EHD44" s="12"/>
      <c r="EHE44" s="12"/>
      <c r="EHF44" s="12"/>
      <c r="EHG44" s="12"/>
      <c r="EHH44" s="12"/>
      <c r="EHI44" s="12"/>
      <c r="EHJ44" s="12"/>
      <c r="EHK44" s="12"/>
      <c r="EHL44" s="12"/>
      <c r="EHM44" s="12"/>
      <c r="EHN44" s="12"/>
      <c r="EHO44" s="12"/>
      <c r="EHP44" s="12"/>
      <c r="EHQ44" s="12"/>
      <c r="EHR44" s="12"/>
      <c r="EHS44" s="12"/>
      <c r="EHT44" s="12"/>
      <c r="EHU44" s="12"/>
      <c r="EHV44" s="12"/>
      <c r="EHW44" s="12"/>
      <c r="EHX44" s="12"/>
      <c r="EHY44" s="12"/>
      <c r="EHZ44" s="12"/>
      <c r="EIA44" s="12"/>
      <c r="EIB44" s="12"/>
      <c r="EIC44" s="12"/>
      <c r="EID44" s="12"/>
      <c r="EIE44" s="12"/>
      <c r="EIF44" s="12"/>
      <c r="EIG44" s="12"/>
      <c r="EIH44" s="12"/>
      <c r="EII44" s="12"/>
      <c r="EIJ44" s="12"/>
      <c r="EIK44" s="12"/>
      <c r="EIL44" s="12"/>
      <c r="EIM44" s="12"/>
      <c r="EIN44" s="12"/>
      <c r="EIO44" s="12"/>
      <c r="EIP44" s="12"/>
      <c r="EIQ44" s="12"/>
      <c r="EIR44" s="12"/>
      <c r="EIS44" s="12"/>
      <c r="EIT44" s="12"/>
      <c r="EIU44" s="12"/>
      <c r="EIV44" s="12"/>
      <c r="EIW44" s="12"/>
      <c r="EIX44" s="12"/>
      <c r="EIY44" s="12"/>
      <c r="EIZ44" s="12"/>
      <c r="EJA44" s="12"/>
      <c r="EJB44" s="12"/>
      <c r="EJC44" s="12"/>
      <c r="EJD44" s="12"/>
      <c r="EJE44" s="12"/>
      <c r="EJF44" s="12"/>
      <c r="EJG44" s="12"/>
      <c r="EJH44" s="12"/>
      <c r="EJI44" s="12"/>
      <c r="EJJ44" s="12"/>
      <c r="EJK44" s="12"/>
      <c r="EJL44" s="12"/>
      <c r="EJM44" s="12"/>
      <c r="EJN44" s="12"/>
      <c r="EJO44" s="12"/>
      <c r="EJP44" s="12"/>
      <c r="EJQ44" s="12"/>
      <c r="EJR44" s="12"/>
      <c r="EJS44" s="12"/>
      <c r="EJT44" s="12"/>
      <c r="EJU44" s="12"/>
      <c r="EJV44" s="12"/>
      <c r="EJW44" s="12"/>
      <c r="EJX44" s="12"/>
      <c r="EJY44" s="12"/>
      <c r="EJZ44" s="12"/>
      <c r="EKA44" s="12"/>
      <c r="EKB44" s="12"/>
      <c r="EKC44" s="12"/>
      <c r="EKD44" s="12"/>
      <c r="EKE44" s="12"/>
      <c r="EKF44" s="12"/>
      <c r="EKG44" s="12"/>
      <c r="EKH44" s="12"/>
      <c r="EKI44" s="12"/>
      <c r="EKJ44" s="12"/>
      <c r="EKK44" s="12"/>
      <c r="EKL44" s="12"/>
      <c r="EKM44" s="12"/>
      <c r="EKN44" s="12"/>
      <c r="EKO44" s="12"/>
      <c r="EKP44" s="12"/>
      <c r="EKQ44" s="12"/>
      <c r="EKR44" s="12"/>
      <c r="EKS44" s="12"/>
      <c r="EKT44" s="12"/>
      <c r="EKU44" s="12"/>
      <c r="EKV44" s="12"/>
      <c r="EKW44" s="12"/>
      <c r="EKX44" s="12"/>
      <c r="EKY44" s="12"/>
      <c r="EKZ44" s="12"/>
      <c r="ELA44" s="12"/>
      <c r="ELB44" s="12"/>
      <c r="ELC44" s="12"/>
      <c r="ELD44" s="12"/>
      <c r="ELE44" s="12"/>
      <c r="ELF44" s="12"/>
      <c r="ELG44" s="12"/>
      <c r="ELH44" s="12"/>
      <c r="ELI44" s="12"/>
      <c r="ELJ44" s="12"/>
      <c r="ELK44" s="12"/>
      <c r="ELL44" s="12"/>
      <c r="ELM44" s="12"/>
      <c r="ELN44" s="12"/>
      <c r="ELO44" s="12"/>
      <c r="ELP44" s="12"/>
      <c r="ELQ44" s="12"/>
      <c r="ELR44" s="12"/>
      <c r="ELS44" s="12"/>
      <c r="ELT44" s="12"/>
      <c r="ELU44" s="12"/>
      <c r="ELV44" s="12"/>
      <c r="ELW44" s="12"/>
      <c r="ELX44" s="12"/>
      <c r="ELY44" s="12"/>
      <c r="ELZ44" s="12"/>
      <c r="EMA44" s="12"/>
      <c r="EMB44" s="12"/>
      <c r="EMC44" s="12"/>
      <c r="EMD44" s="12"/>
      <c r="EME44" s="12"/>
      <c r="EMF44" s="12"/>
      <c r="EMG44" s="12"/>
      <c r="EMH44" s="12"/>
      <c r="EMI44" s="12"/>
      <c r="EMJ44" s="12"/>
      <c r="EMK44" s="12"/>
      <c r="EML44" s="12"/>
      <c r="EMM44" s="12"/>
      <c r="EMN44" s="12"/>
      <c r="EMO44" s="12"/>
      <c r="EMP44" s="12"/>
      <c r="EMQ44" s="12"/>
      <c r="EMR44" s="12"/>
      <c r="EMS44" s="12"/>
      <c r="EMT44" s="12"/>
      <c r="EMU44" s="12"/>
      <c r="EMV44" s="12"/>
      <c r="EMW44" s="12"/>
      <c r="EMX44" s="12"/>
      <c r="EMY44" s="12"/>
      <c r="EMZ44" s="12"/>
      <c r="ENA44" s="12"/>
      <c r="ENB44" s="12"/>
      <c r="ENC44" s="12"/>
      <c r="END44" s="12"/>
      <c r="ENE44" s="12"/>
      <c r="ENF44" s="12"/>
      <c r="ENG44" s="12"/>
      <c r="ENH44" s="12"/>
      <c r="ENI44" s="12"/>
      <c r="ENJ44" s="12"/>
      <c r="ENK44" s="12"/>
      <c r="ENL44" s="12"/>
      <c r="ENM44" s="12"/>
      <c r="ENN44" s="12"/>
      <c r="ENO44" s="12"/>
      <c r="ENP44" s="12"/>
      <c r="ENQ44" s="12"/>
      <c r="ENR44" s="12"/>
      <c r="ENS44" s="12"/>
      <c r="ENT44" s="12"/>
      <c r="ENU44" s="12"/>
      <c r="ENV44" s="12"/>
      <c r="ENW44" s="12"/>
      <c r="ENX44" s="12"/>
      <c r="ENY44" s="12"/>
      <c r="ENZ44" s="12"/>
      <c r="EOA44" s="12"/>
      <c r="EOB44" s="12"/>
      <c r="EOC44" s="12"/>
      <c r="EOD44" s="12"/>
      <c r="EOE44" s="12"/>
      <c r="EOF44" s="12"/>
      <c r="EOG44" s="12"/>
      <c r="EOH44" s="12"/>
      <c r="EOI44" s="12"/>
      <c r="EOJ44" s="12"/>
      <c r="EOK44" s="12"/>
      <c r="EOL44" s="12"/>
      <c r="EOM44" s="12"/>
      <c r="EON44" s="12"/>
      <c r="EOO44" s="12"/>
      <c r="EOP44" s="12"/>
      <c r="EOQ44" s="12"/>
      <c r="EOR44" s="12"/>
      <c r="EOS44" s="12"/>
      <c r="EOT44" s="12"/>
      <c r="EOU44" s="12"/>
      <c r="EOV44" s="12"/>
      <c r="EOW44" s="12"/>
      <c r="EOX44" s="12"/>
      <c r="EOY44" s="12"/>
      <c r="EOZ44" s="12"/>
      <c r="EPA44" s="12"/>
      <c r="EPB44" s="12"/>
      <c r="EPC44" s="12"/>
      <c r="EPD44" s="12"/>
      <c r="EPE44" s="12"/>
      <c r="EPF44" s="12"/>
      <c r="EPG44" s="12"/>
      <c r="EPH44" s="12"/>
      <c r="EPI44" s="12"/>
      <c r="EPJ44" s="12"/>
      <c r="EPK44" s="12"/>
      <c r="EPL44" s="12"/>
      <c r="EPM44" s="12"/>
      <c r="EPN44" s="12"/>
      <c r="EPO44" s="12"/>
      <c r="EPP44" s="12"/>
      <c r="EPQ44" s="12"/>
      <c r="EPR44" s="12"/>
      <c r="EPS44" s="12"/>
      <c r="EPT44" s="12"/>
      <c r="EPU44" s="12"/>
      <c r="EPV44" s="12"/>
      <c r="EPW44" s="12"/>
      <c r="EPX44" s="12"/>
      <c r="EPY44" s="12"/>
      <c r="EPZ44" s="12"/>
      <c r="EQA44" s="12"/>
      <c r="EQB44" s="12"/>
      <c r="EQC44" s="12"/>
      <c r="EQD44" s="12"/>
      <c r="EQE44" s="12"/>
      <c r="EQF44" s="12"/>
      <c r="EQG44" s="12"/>
      <c r="EQH44" s="12"/>
      <c r="EQI44" s="12"/>
      <c r="EQJ44" s="12"/>
      <c r="EQK44" s="12"/>
      <c r="EQL44" s="12"/>
      <c r="EQM44" s="12"/>
      <c r="EQN44" s="12"/>
      <c r="EQO44" s="12"/>
      <c r="EQP44" s="12"/>
      <c r="EQQ44" s="12"/>
      <c r="EQR44" s="12"/>
      <c r="EQS44" s="12"/>
      <c r="EQT44" s="12"/>
      <c r="EQU44" s="12"/>
      <c r="EQV44" s="12"/>
      <c r="EQW44" s="12"/>
      <c r="EQX44" s="12"/>
      <c r="EQY44" s="12"/>
      <c r="EQZ44" s="12"/>
      <c r="ERA44" s="12"/>
      <c r="ERB44" s="12"/>
      <c r="ERC44" s="12"/>
      <c r="ERD44" s="12"/>
      <c r="ERE44" s="12"/>
      <c r="ERF44" s="12"/>
      <c r="ERG44" s="12"/>
      <c r="ERH44" s="12"/>
      <c r="ERI44" s="12"/>
      <c r="ERJ44" s="12"/>
      <c r="ERK44" s="12"/>
      <c r="ERL44" s="12"/>
      <c r="ERM44" s="12"/>
      <c r="ERN44" s="12"/>
      <c r="ERO44" s="12"/>
      <c r="ERP44" s="12"/>
      <c r="ERQ44" s="12"/>
      <c r="ERR44" s="12"/>
      <c r="ERS44" s="12"/>
      <c r="ERT44" s="12"/>
      <c r="ERU44" s="12"/>
      <c r="ERV44" s="12"/>
      <c r="ERW44" s="12"/>
      <c r="ERX44" s="12"/>
      <c r="ERY44" s="12"/>
      <c r="ERZ44" s="12"/>
      <c r="ESA44" s="12"/>
      <c r="ESB44" s="12"/>
      <c r="ESC44" s="12"/>
      <c r="ESD44" s="12"/>
      <c r="ESE44" s="12"/>
      <c r="ESF44" s="12"/>
      <c r="ESG44" s="12"/>
      <c r="ESH44" s="12"/>
      <c r="ESI44" s="12"/>
      <c r="ESJ44" s="12"/>
      <c r="ESK44" s="12"/>
      <c r="ESL44" s="12"/>
      <c r="ESM44" s="12"/>
      <c r="ESN44" s="12"/>
      <c r="ESO44" s="12"/>
      <c r="ESP44" s="12"/>
      <c r="ESQ44" s="12"/>
      <c r="ESR44" s="12"/>
      <c r="ESS44" s="12"/>
      <c r="EST44" s="12"/>
      <c r="ESU44" s="12"/>
      <c r="ESV44" s="12"/>
      <c r="ESW44" s="12"/>
      <c r="ESX44" s="12"/>
      <c r="ESY44" s="12"/>
      <c r="ESZ44" s="12"/>
      <c r="ETA44" s="12"/>
      <c r="ETB44" s="12"/>
      <c r="ETC44" s="12"/>
      <c r="ETD44" s="12"/>
      <c r="ETE44" s="12"/>
      <c r="ETF44" s="12"/>
      <c r="ETG44" s="12"/>
      <c r="ETH44" s="12"/>
      <c r="ETI44" s="12"/>
      <c r="ETJ44" s="12"/>
      <c r="ETK44" s="12"/>
      <c r="ETL44" s="12"/>
      <c r="ETM44" s="12"/>
      <c r="ETN44" s="12"/>
      <c r="ETO44" s="12"/>
      <c r="ETP44" s="12"/>
      <c r="ETQ44" s="12"/>
      <c r="ETR44" s="12"/>
      <c r="ETS44" s="12"/>
      <c r="ETT44" s="12"/>
      <c r="ETU44" s="12"/>
      <c r="ETV44" s="12"/>
      <c r="ETW44" s="12"/>
      <c r="ETX44" s="12"/>
      <c r="ETY44" s="12"/>
      <c r="ETZ44" s="12"/>
      <c r="EUA44" s="12"/>
      <c r="EUB44" s="12"/>
      <c r="EUC44" s="12"/>
      <c r="EUD44" s="12"/>
      <c r="EUE44" s="12"/>
      <c r="EUF44" s="12"/>
      <c r="EUG44" s="12"/>
      <c r="EUH44" s="12"/>
      <c r="EUI44" s="12"/>
      <c r="EUJ44" s="12"/>
      <c r="EUK44" s="12"/>
      <c r="EUL44" s="12"/>
      <c r="EUM44" s="12"/>
      <c r="EUN44" s="12"/>
      <c r="EUO44" s="12"/>
      <c r="EUP44" s="12"/>
      <c r="EUQ44" s="12"/>
      <c r="EUR44" s="12"/>
      <c r="EUS44" s="12"/>
      <c r="EUT44" s="12"/>
      <c r="EUU44" s="12"/>
      <c r="EUV44" s="12"/>
      <c r="EUW44" s="12"/>
      <c r="EUX44" s="12"/>
      <c r="EUY44" s="12"/>
      <c r="EUZ44" s="12"/>
      <c r="EVA44" s="12"/>
      <c r="EVB44" s="12"/>
      <c r="EVC44" s="12"/>
      <c r="EVD44" s="12"/>
      <c r="EVE44" s="12"/>
      <c r="EVF44" s="12"/>
      <c r="EVG44" s="12"/>
      <c r="EVH44" s="12"/>
      <c r="EVI44" s="12"/>
      <c r="EVJ44" s="12"/>
      <c r="EVK44" s="12"/>
      <c r="EVL44" s="12"/>
      <c r="EVM44" s="12"/>
      <c r="EVN44" s="12"/>
      <c r="EVO44" s="12"/>
      <c r="EVP44" s="12"/>
      <c r="EVQ44" s="12"/>
      <c r="EVR44" s="12"/>
      <c r="EVS44" s="12"/>
      <c r="EVT44" s="12"/>
      <c r="EVU44" s="12"/>
      <c r="EVV44" s="12"/>
      <c r="EVW44" s="12"/>
      <c r="EVX44" s="12"/>
      <c r="EVY44" s="12"/>
      <c r="EVZ44" s="12"/>
      <c r="EWA44" s="12"/>
      <c r="EWB44" s="12"/>
      <c r="EWC44" s="12"/>
      <c r="EWD44" s="12"/>
      <c r="EWE44" s="12"/>
      <c r="EWF44" s="12"/>
      <c r="EWG44" s="12"/>
      <c r="EWH44" s="12"/>
      <c r="EWI44" s="12"/>
      <c r="EWJ44" s="12"/>
      <c r="EWK44" s="12"/>
      <c r="EWL44" s="12"/>
      <c r="EWM44" s="12"/>
      <c r="EWN44" s="12"/>
      <c r="EWO44" s="12"/>
      <c r="EWP44" s="12"/>
      <c r="EWQ44" s="12"/>
      <c r="EWR44" s="12"/>
      <c r="EWS44" s="12"/>
      <c r="EWT44" s="12"/>
      <c r="EWU44" s="12"/>
      <c r="EWV44" s="12"/>
      <c r="EWW44" s="12"/>
      <c r="EWX44" s="12"/>
      <c r="EWY44" s="12"/>
      <c r="EWZ44" s="12"/>
      <c r="EXA44" s="12"/>
      <c r="EXB44" s="12"/>
      <c r="EXC44" s="12"/>
      <c r="EXD44" s="12"/>
      <c r="EXE44" s="12"/>
      <c r="EXF44" s="12"/>
      <c r="EXG44" s="12"/>
      <c r="EXH44" s="12"/>
      <c r="EXI44" s="12"/>
      <c r="EXJ44" s="12"/>
      <c r="EXK44" s="12"/>
      <c r="EXL44" s="12"/>
      <c r="EXM44" s="12"/>
      <c r="EXN44" s="12"/>
      <c r="EXO44" s="12"/>
      <c r="EXP44" s="12"/>
      <c r="EXQ44" s="12"/>
      <c r="EXR44" s="12"/>
      <c r="EXS44" s="12"/>
      <c r="EXT44" s="12"/>
      <c r="EXU44" s="12"/>
      <c r="EXV44" s="12"/>
      <c r="EXW44" s="12"/>
      <c r="EXX44" s="12"/>
      <c r="EXY44" s="12"/>
      <c r="EXZ44" s="12"/>
      <c r="EYA44" s="12"/>
      <c r="EYB44" s="12"/>
      <c r="EYC44" s="12"/>
      <c r="EYD44" s="12"/>
      <c r="EYE44" s="12"/>
      <c r="EYF44" s="12"/>
      <c r="EYG44" s="12"/>
      <c r="EYH44" s="12"/>
      <c r="EYI44" s="12"/>
      <c r="EYJ44" s="12"/>
      <c r="EYK44" s="12"/>
      <c r="EYL44" s="12"/>
      <c r="EYM44" s="12"/>
      <c r="EYN44" s="12"/>
      <c r="EYO44" s="12"/>
      <c r="EYP44" s="12"/>
      <c r="EYQ44" s="12"/>
      <c r="EYR44" s="12"/>
      <c r="EYS44" s="12"/>
      <c r="EYT44" s="12"/>
      <c r="EYU44" s="12"/>
      <c r="EYV44" s="12"/>
      <c r="EYW44" s="12"/>
      <c r="EYX44" s="12"/>
      <c r="EYY44" s="12"/>
      <c r="EYZ44" s="12"/>
      <c r="EZA44" s="12"/>
      <c r="EZB44" s="12"/>
      <c r="EZC44" s="12"/>
      <c r="EZD44" s="12"/>
      <c r="EZE44" s="12"/>
      <c r="EZF44" s="12"/>
      <c r="EZG44" s="12"/>
      <c r="EZH44" s="12"/>
      <c r="EZI44" s="12"/>
      <c r="EZJ44" s="12"/>
      <c r="EZK44" s="12"/>
      <c r="EZL44" s="12"/>
      <c r="EZM44" s="12"/>
      <c r="EZN44" s="12"/>
      <c r="EZO44" s="12"/>
      <c r="EZP44" s="12"/>
      <c r="EZQ44" s="12"/>
      <c r="EZR44" s="12"/>
      <c r="EZS44" s="12"/>
      <c r="EZT44" s="12"/>
      <c r="EZU44" s="12"/>
      <c r="EZV44" s="12"/>
      <c r="EZW44" s="12"/>
      <c r="EZX44" s="12"/>
      <c r="EZY44" s="12"/>
      <c r="EZZ44" s="12"/>
      <c r="FAA44" s="12"/>
      <c r="FAB44" s="12"/>
      <c r="FAC44" s="12"/>
      <c r="FAD44" s="12"/>
      <c r="FAE44" s="12"/>
      <c r="FAF44" s="12"/>
      <c r="FAG44" s="12"/>
      <c r="FAH44" s="12"/>
      <c r="FAI44" s="12"/>
      <c r="FAJ44" s="12"/>
      <c r="FAK44" s="12"/>
      <c r="FAL44" s="12"/>
      <c r="FAM44" s="12"/>
      <c r="FAN44" s="12"/>
      <c r="FAO44" s="12"/>
      <c r="FAP44" s="12"/>
      <c r="FAQ44" s="12"/>
      <c r="FAR44" s="12"/>
      <c r="FAS44" s="12"/>
      <c r="FAT44" s="12"/>
      <c r="FAU44" s="12"/>
      <c r="FAV44" s="12"/>
      <c r="FAW44" s="12"/>
      <c r="FAX44" s="12"/>
      <c r="FAY44" s="12"/>
      <c r="FAZ44" s="12"/>
      <c r="FBA44" s="12"/>
      <c r="FBB44" s="12"/>
      <c r="FBC44" s="12"/>
      <c r="FBD44" s="12"/>
      <c r="FBE44" s="12"/>
      <c r="FBF44" s="12"/>
      <c r="FBG44" s="12"/>
      <c r="FBH44" s="12"/>
      <c r="FBI44" s="12"/>
      <c r="FBJ44" s="12"/>
      <c r="FBK44" s="12"/>
      <c r="FBL44" s="12"/>
      <c r="FBM44" s="12"/>
      <c r="FBN44" s="12"/>
      <c r="FBO44" s="12"/>
      <c r="FBP44" s="12"/>
      <c r="FBQ44" s="12"/>
      <c r="FBR44" s="12"/>
      <c r="FBS44" s="12"/>
      <c r="FBT44" s="12"/>
      <c r="FBU44" s="12"/>
      <c r="FBV44" s="12"/>
      <c r="FBW44" s="12"/>
      <c r="FBX44" s="12"/>
      <c r="FBY44" s="12"/>
      <c r="FBZ44" s="12"/>
      <c r="FCA44" s="12"/>
      <c r="FCB44" s="12"/>
      <c r="FCC44" s="12"/>
      <c r="FCD44" s="12"/>
      <c r="FCE44" s="12"/>
      <c r="FCF44" s="12"/>
      <c r="FCG44" s="12"/>
      <c r="FCH44" s="12"/>
      <c r="FCI44" s="12"/>
      <c r="FCJ44" s="12"/>
      <c r="FCK44" s="12"/>
      <c r="FCL44" s="12"/>
      <c r="FCM44" s="12"/>
      <c r="FCN44" s="12"/>
      <c r="FCO44" s="12"/>
      <c r="FCP44" s="12"/>
      <c r="FCQ44" s="12"/>
      <c r="FCR44" s="12"/>
      <c r="FCS44" s="12"/>
      <c r="FCT44" s="12"/>
      <c r="FCU44" s="12"/>
      <c r="FCV44" s="12"/>
      <c r="FCW44" s="12"/>
      <c r="FCX44" s="12"/>
      <c r="FCY44" s="12"/>
      <c r="FCZ44" s="12"/>
      <c r="FDA44" s="12"/>
      <c r="FDB44" s="12"/>
      <c r="FDC44" s="12"/>
      <c r="FDD44" s="12"/>
      <c r="FDE44" s="12"/>
      <c r="FDF44" s="12"/>
      <c r="FDG44" s="12"/>
      <c r="FDH44" s="12"/>
      <c r="FDI44" s="12"/>
      <c r="FDJ44" s="12"/>
      <c r="FDK44" s="12"/>
      <c r="FDL44" s="12"/>
      <c r="FDM44" s="12"/>
      <c r="FDN44" s="12"/>
      <c r="FDO44" s="12"/>
      <c r="FDP44" s="12"/>
      <c r="FDQ44" s="12"/>
      <c r="FDR44" s="12"/>
      <c r="FDS44" s="12"/>
      <c r="FDT44" s="12"/>
      <c r="FDU44" s="12"/>
      <c r="FDV44" s="12"/>
      <c r="FDW44" s="12"/>
      <c r="FDX44" s="12"/>
      <c r="FDY44" s="12"/>
      <c r="FDZ44" s="12"/>
      <c r="FEA44" s="12"/>
      <c r="FEB44" s="12"/>
      <c r="FEC44" s="12"/>
      <c r="FED44" s="12"/>
      <c r="FEE44" s="12"/>
      <c r="FEF44" s="12"/>
      <c r="FEG44" s="12"/>
      <c r="FEH44" s="12"/>
      <c r="FEI44" s="12"/>
      <c r="FEJ44" s="12"/>
      <c r="FEK44" s="12"/>
      <c r="FEL44" s="12"/>
      <c r="FEM44" s="12"/>
      <c r="FEN44" s="12"/>
      <c r="FEO44" s="12"/>
      <c r="FEP44" s="12"/>
      <c r="FEQ44" s="12"/>
      <c r="FER44" s="12"/>
      <c r="FES44" s="12"/>
      <c r="FET44" s="12"/>
      <c r="FEU44" s="12"/>
      <c r="FEV44" s="12"/>
      <c r="FEW44" s="12"/>
      <c r="FEX44" s="12"/>
      <c r="FEY44" s="12"/>
      <c r="FEZ44" s="12"/>
      <c r="FFA44" s="12"/>
      <c r="FFB44" s="12"/>
      <c r="FFC44" s="12"/>
      <c r="FFD44" s="12"/>
      <c r="FFE44" s="12"/>
      <c r="FFF44" s="12"/>
      <c r="FFG44" s="12"/>
      <c r="FFH44" s="12"/>
      <c r="FFI44" s="12"/>
      <c r="FFJ44" s="12"/>
      <c r="FFK44" s="12"/>
      <c r="FFL44" s="12"/>
      <c r="FFM44" s="12"/>
      <c r="FFN44" s="12"/>
      <c r="FFO44" s="12"/>
      <c r="FFP44" s="12"/>
      <c r="FFQ44" s="12"/>
      <c r="FFR44" s="12"/>
      <c r="FFS44" s="12"/>
      <c r="FFT44" s="12"/>
      <c r="FFU44" s="12"/>
      <c r="FFV44" s="12"/>
      <c r="FFW44" s="12"/>
      <c r="FFX44" s="12"/>
      <c r="FFY44" s="12"/>
      <c r="FFZ44" s="12"/>
      <c r="FGA44" s="12"/>
      <c r="FGB44" s="12"/>
      <c r="FGC44" s="12"/>
      <c r="FGD44" s="12"/>
      <c r="FGE44" s="12"/>
      <c r="FGF44" s="12"/>
      <c r="FGG44" s="12"/>
      <c r="FGH44" s="12"/>
      <c r="FGI44" s="12"/>
      <c r="FGJ44" s="12"/>
      <c r="FGK44" s="12"/>
      <c r="FGL44" s="12"/>
      <c r="FGM44" s="12"/>
      <c r="FGN44" s="12"/>
      <c r="FGO44" s="12"/>
      <c r="FGP44" s="12"/>
      <c r="FGQ44" s="12"/>
      <c r="FGR44" s="12"/>
      <c r="FGS44" s="12"/>
      <c r="FGT44" s="12"/>
      <c r="FGU44" s="12"/>
      <c r="FGV44" s="12"/>
      <c r="FGW44" s="12"/>
      <c r="FGX44" s="12"/>
      <c r="FGY44" s="12"/>
      <c r="FGZ44" s="12"/>
      <c r="FHA44" s="12"/>
      <c r="FHB44" s="12"/>
      <c r="FHC44" s="12"/>
      <c r="FHD44" s="12"/>
      <c r="FHE44" s="12"/>
      <c r="FHF44" s="12"/>
      <c r="FHG44" s="12"/>
      <c r="FHH44" s="12"/>
      <c r="FHI44" s="12"/>
      <c r="FHJ44" s="12"/>
      <c r="FHK44" s="12"/>
      <c r="FHL44" s="12"/>
      <c r="FHM44" s="12"/>
      <c r="FHN44" s="12"/>
      <c r="FHO44" s="12"/>
      <c r="FHP44" s="12"/>
      <c r="FHQ44" s="12"/>
      <c r="FHR44" s="12"/>
      <c r="FHS44" s="12"/>
      <c r="FHT44" s="12"/>
      <c r="FHU44" s="12"/>
      <c r="FHV44" s="12"/>
      <c r="FHW44" s="12"/>
      <c r="FHX44" s="12"/>
      <c r="FHY44" s="12"/>
      <c r="FHZ44" s="12"/>
      <c r="FIA44" s="12"/>
      <c r="FIB44" s="12"/>
      <c r="FIC44" s="12"/>
      <c r="FID44" s="12"/>
      <c r="FIE44" s="12"/>
      <c r="FIF44" s="12"/>
      <c r="FIG44" s="12"/>
      <c r="FIH44" s="12"/>
      <c r="FII44" s="12"/>
      <c r="FIJ44" s="12"/>
      <c r="FIK44" s="12"/>
      <c r="FIL44" s="12"/>
      <c r="FIM44" s="12"/>
      <c r="FIN44" s="12"/>
      <c r="FIO44" s="12"/>
      <c r="FIP44" s="12"/>
      <c r="FIQ44" s="12"/>
      <c r="FIR44" s="12"/>
      <c r="FIS44" s="12"/>
      <c r="FIT44" s="12"/>
      <c r="FIU44" s="12"/>
      <c r="FIV44" s="12"/>
      <c r="FIW44" s="12"/>
      <c r="FIX44" s="12"/>
      <c r="FIY44" s="12"/>
      <c r="FIZ44" s="12"/>
      <c r="FJA44" s="12"/>
      <c r="FJB44" s="12"/>
      <c r="FJC44" s="12"/>
      <c r="FJD44" s="12"/>
      <c r="FJE44" s="12"/>
      <c r="FJF44" s="12"/>
      <c r="FJG44" s="12"/>
      <c r="FJH44" s="12"/>
      <c r="FJI44" s="12"/>
      <c r="FJJ44" s="12"/>
      <c r="FJK44" s="12"/>
      <c r="FJL44" s="12"/>
      <c r="FJM44" s="12"/>
      <c r="FJN44" s="12"/>
      <c r="FJO44" s="12"/>
      <c r="FJP44" s="12"/>
      <c r="FJQ44" s="12"/>
      <c r="FJR44" s="12"/>
      <c r="FJS44" s="12"/>
      <c r="FJT44" s="12"/>
      <c r="FJU44" s="12"/>
      <c r="FJV44" s="12"/>
      <c r="FJW44" s="12"/>
      <c r="FJX44" s="12"/>
      <c r="FJY44" s="12"/>
      <c r="FJZ44" s="12"/>
      <c r="FKA44" s="12"/>
      <c r="FKB44" s="12"/>
      <c r="FKC44" s="12"/>
      <c r="FKD44" s="12"/>
      <c r="FKE44" s="12"/>
      <c r="FKF44" s="12"/>
      <c r="FKG44" s="12"/>
      <c r="FKH44" s="12"/>
      <c r="FKI44" s="12"/>
      <c r="FKJ44" s="12"/>
      <c r="FKK44" s="12"/>
      <c r="FKL44" s="12"/>
      <c r="FKM44" s="12"/>
      <c r="FKN44" s="12"/>
      <c r="FKO44" s="12"/>
      <c r="FKP44" s="12"/>
      <c r="FKQ44" s="12"/>
      <c r="FKR44" s="12"/>
      <c r="FKS44" s="12"/>
      <c r="FKT44" s="12"/>
      <c r="FKU44" s="12"/>
      <c r="FKV44" s="12"/>
      <c r="FKW44" s="12"/>
      <c r="FKX44" s="12"/>
      <c r="FKY44" s="12"/>
      <c r="FKZ44" s="12"/>
      <c r="FLA44" s="12"/>
      <c r="FLB44" s="12"/>
      <c r="FLC44" s="12"/>
      <c r="FLD44" s="12"/>
      <c r="FLE44" s="12"/>
      <c r="FLF44" s="12"/>
      <c r="FLG44" s="12"/>
      <c r="FLH44" s="12"/>
      <c r="FLI44" s="12"/>
      <c r="FLJ44" s="12"/>
      <c r="FLK44" s="12"/>
      <c r="FLL44" s="12"/>
      <c r="FLM44" s="12"/>
      <c r="FLN44" s="12"/>
      <c r="FLO44" s="12"/>
      <c r="FLP44" s="12"/>
      <c r="FLQ44" s="12"/>
      <c r="FLR44" s="12"/>
      <c r="FLS44" s="12"/>
      <c r="FLT44" s="12"/>
      <c r="FLU44" s="12"/>
      <c r="FLV44" s="12"/>
      <c r="FLW44" s="12"/>
      <c r="FLX44" s="12"/>
      <c r="FLY44" s="12"/>
      <c r="FLZ44" s="12"/>
      <c r="FMA44" s="12"/>
      <c r="FMB44" s="12"/>
      <c r="FMC44" s="12"/>
      <c r="FMD44" s="12"/>
      <c r="FME44" s="12"/>
      <c r="FMF44" s="12"/>
      <c r="FMG44" s="12"/>
      <c r="FMH44" s="12"/>
      <c r="FMI44" s="12"/>
      <c r="FMJ44" s="12"/>
      <c r="FMK44" s="12"/>
      <c r="FML44" s="12"/>
      <c r="FMM44" s="12"/>
      <c r="FMN44" s="12"/>
      <c r="FMO44" s="12"/>
      <c r="FMP44" s="12"/>
      <c r="FMQ44" s="12"/>
      <c r="FMR44" s="12"/>
      <c r="FMS44" s="12"/>
      <c r="FMT44" s="12"/>
      <c r="FMU44" s="12"/>
      <c r="FMV44" s="12"/>
      <c r="FMW44" s="12"/>
      <c r="FMX44" s="12"/>
      <c r="FMY44" s="12"/>
      <c r="FMZ44" s="12"/>
      <c r="FNA44" s="12"/>
      <c r="FNB44" s="12"/>
      <c r="FNC44" s="12"/>
      <c r="FND44" s="12"/>
      <c r="FNE44" s="12"/>
      <c r="FNF44" s="12"/>
      <c r="FNG44" s="12"/>
      <c r="FNH44" s="12"/>
      <c r="FNI44" s="12"/>
      <c r="FNJ44" s="12"/>
      <c r="FNK44" s="12"/>
      <c r="FNL44" s="12"/>
      <c r="FNM44" s="12"/>
      <c r="FNN44" s="12"/>
      <c r="FNO44" s="12"/>
      <c r="FNP44" s="12"/>
      <c r="FNQ44" s="12"/>
      <c r="FNR44" s="12"/>
      <c r="FNS44" s="12"/>
      <c r="FNT44" s="12"/>
      <c r="FNU44" s="12"/>
      <c r="FNV44" s="12"/>
      <c r="FNW44" s="12"/>
      <c r="FNX44" s="12"/>
      <c r="FNY44" s="12"/>
      <c r="FNZ44" s="12"/>
      <c r="FOA44" s="12"/>
      <c r="FOB44" s="12"/>
      <c r="FOC44" s="12"/>
      <c r="FOD44" s="12"/>
      <c r="FOE44" s="12"/>
      <c r="FOF44" s="12"/>
      <c r="FOG44" s="12"/>
      <c r="FOH44" s="12"/>
      <c r="FOI44" s="12"/>
      <c r="FOJ44" s="12"/>
      <c r="FOK44" s="12"/>
      <c r="FOL44" s="12"/>
      <c r="FOM44" s="12"/>
      <c r="FON44" s="12"/>
      <c r="FOO44" s="12"/>
      <c r="FOP44" s="12"/>
      <c r="FOQ44" s="12"/>
      <c r="FOR44" s="12"/>
      <c r="FOS44" s="12"/>
      <c r="FOT44" s="12"/>
      <c r="FOU44" s="12"/>
      <c r="FOV44" s="12"/>
      <c r="FOW44" s="12"/>
      <c r="FOX44" s="12"/>
      <c r="FOY44" s="12"/>
      <c r="FOZ44" s="12"/>
      <c r="FPA44" s="12"/>
      <c r="FPB44" s="12"/>
      <c r="FPC44" s="12"/>
      <c r="FPD44" s="12"/>
      <c r="FPE44" s="12"/>
      <c r="FPF44" s="12"/>
      <c r="FPG44" s="12"/>
      <c r="FPH44" s="12"/>
      <c r="FPI44" s="12"/>
      <c r="FPJ44" s="12"/>
      <c r="FPK44" s="12"/>
      <c r="FPL44" s="12"/>
      <c r="FPM44" s="12"/>
      <c r="FPN44" s="12"/>
      <c r="FPO44" s="12"/>
      <c r="FPP44" s="12"/>
      <c r="FPQ44" s="12"/>
      <c r="FPR44" s="12"/>
      <c r="FPS44" s="12"/>
      <c r="FPT44" s="12"/>
      <c r="FPU44" s="12"/>
      <c r="FPV44" s="12"/>
      <c r="FPW44" s="12"/>
      <c r="FPX44" s="12"/>
      <c r="FPY44" s="12"/>
      <c r="FPZ44" s="12"/>
      <c r="FQA44" s="12"/>
      <c r="FQB44" s="12"/>
      <c r="FQC44" s="12"/>
      <c r="FQD44" s="12"/>
      <c r="FQE44" s="12"/>
      <c r="FQF44" s="12"/>
      <c r="FQG44" s="12"/>
      <c r="FQH44" s="12"/>
      <c r="FQI44" s="12"/>
      <c r="FQJ44" s="12"/>
      <c r="FQK44" s="12"/>
      <c r="FQL44" s="12"/>
      <c r="FQM44" s="12"/>
      <c r="FQN44" s="12"/>
      <c r="FQO44" s="12"/>
      <c r="FQP44" s="12"/>
      <c r="FQQ44" s="12"/>
      <c r="FQR44" s="12"/>
      <c r="FQS44" s="12"/>
      <c r="FQT44" s="12"/>
      <c r="FQU44" s="12"/>
      <c r="FQV44" s="12"/>
      <c r="FQW44" s="12"/>
      <c r="FQX44" s="12"/>
      <c r="FQY44" s="12"/>
      <c r="FQZ44" s="12"/>
      <c r="FRA44" s="12"/>
      <c r="FRB44" s="12"/>
      <c r="FRC44" s="12"/>
      <c r="FRD44" s="12"/>
      <c r="FRE44" s="12"/>
      <c r="FRF44" s="12"/>
      <c r="FRG44" s="12"/>
      <c r="FRH44" s="12"/>
      <c r="FRI44" s="12"/>
      <c r="FRJ44" s="12"/>
      <c r="FRK44" s="12"/>
      <c r="FRL44" s="12"/>
      <c r="FRM44" s="12"/>
      <c r="FRN44" s="12"/>
      <c r="FRO44" s="12"/>
      <c r="FRP44" s="12"/>
      <c r="FRQ44" s="12"/>
      <c r="FRR44" s="12"/>
      <c r="FRS44" s="12"/>
      <c r="FRT44" s="12"/>
      <c r="FRU44" s="12"/>
      <c r="FRV44" s="12"/>
      <c r="FRW44" s="12"/>
      <c r="FRX44" s="12"/>
      <c r="FRY44" s="12"/>
      <c r="FRZ44" s="12"/>
      <c r="FSA44" s="12"/>
      <c r="FSB44" s="12"/>
      <c r="FSC44" s="12"/>
      <c r="FSD44" s="12"/>
      <c r="FSE44" s="12"/>
      <c r="FSF44" s="12"/>
      <c r="FSG44" s="12"/>
      <c r="FSH44" s="12"/>
      <c r="FSI44" s="12"/>
      <c r="FSJ44" s="12"/>
      <c r="FSK44" s="12"/>
      <c r="FSL44" s="12"/>
      <c r="FSM44" s="12"/>
      <c r="FSN44" s="12"/>
      <c r="FSO44" s="12"/>
      <c r="FSP44" s="12"/>
      <c r="FSQ44" s="12"/>
      <c r="FSR44" s="12"/>
      <c r="FSS44" s="12"/>
      <c r="FST44" s="12"/>
      <c r="FSU44" s="12"/>
      <c r="FSV44" s="12"/>
      <c r="FSW44" s="12"/>
      <c r="FSX44" s="12"/>
      <c r="FSY44" s="12"/>
      <c r="FSZ44" s="12"/>
      <c r="FTA44" s="12"/>
      <c r="FTB44" s="12"/>
      <c r="FTC44" s="12"/>
      <c r="FTD44" s="12"/>
      <c r="FTE44" s="12"/>
      <c r="FTF44" s="12"/>
      <c r="FTG44" s="12"/>
      <c r="FTH44" s="12"/>
      <c r="FTI44" s="12"/>
      <c r="FTJ44" s="12"/>
      <c r="FTK44" s="12"/>
      <c r="FTL44" s="12"/>
      <c r="FTM44" s="12"/>
      <c r="FTN44" s="12"/>
      <c r="FTO44" s="12"/>
      <c r="FTP44" s="12"/>
      <c r="FTQ44" s="12"/>
      <c r="FTR44" s="12"/>
      <c r="FTS44" s="12"/>
      <c r="FTT44" s="12"/>
      <c r="FTU44" s="12"/>
      <c r="FTV44" s="12"/>
      <c r="FTW44" s="12"/>
      <c r="FTX44" s="12"/>
      <c r="FTY44" s="12"/>
      <c r="FTZ44" s="12"/>
      <c r="FUA44" s="12"/>
      <c r="FUB44" s="12"/>
      <c r="FUC44" s="12"/>
      <c r="FUD44" s="12"/>
      <c r="FUE44" s="12"/>
      <c r="FUF44" s="12"/>
      <c r="FUG44" s="12"/>
      <c r="FUH44" s="12"/>
      <c r="FUI44" s="12"/>
      <c r="FUJ44" s="12"/>
      <c r="FUK44" s="12"/>
      <c r="FUL44" s="12"/>
      <c r="FUM44" s="12"/>
      <c r="FUN44" s="12"/>
      <c r="FUO44" s="12"/>
      <c r="FUP44" s="12"/>
      <c r="FUQ44" s="12"/>
      <c r="FUR44" s="12"/>
      <c r="FUS44" s="12"/>
      <c r="FUT44" s="12"/>
      <c r="FUU44" s="12"/>
      <c r="FUV44" s="12"/>
      <c r="FUW44" s="12"/>
      <c r="FUX44" s="12"/>
      <c r="FUY44" s="12"/>
      <c r="FUZ44" s="12"/>
      <c r="FVA44" s="12"/>
      <c r="FVB44" s="12"/>
      <c r="FVC44" s="12"/>
      <c r="FVD44" s="12"/>
      <c r="FVE44" s="12"/>
      <c r="FVF44" s="12"/>
      <c r="FVG44" s="12"/>
      <c r="FVH44" s="12"/>
      <c r="FVI44" s="12"/>
      <c r="FVJ44" s="12"/>
      <c r="FVK44" s="12"/>
      <c r="FVL44" s="12"/>
      <c r="FVM44" s="12"/>
      <c r="FVN44" s="12"/>
      <c r="FVO44" s="12"/>
      <c r="FVP44" s="12"/>
      <c r="FVQ44" s="12"/>
      <c r="FVR44" s="12"/>
      <c r="FVS44" s="12"/>
      <c r="FVT44" s="12"/>
      <c r="FVU44" s="12"/>
      <c r="FVV44" s="12"/>
      <c r="FVW44" s="12"/>
      <c r="FVX44" s="12"/>
      <c r="FVY44" s="12"/>
      <c r="FVZ44" s="12"/>
      <c r="FWA44" s="12"/>
      <c r="FWB44" s="12"/>
      <c r="FWC44" s="12"/>
      <c r="FWD44" s="12"/>
      <c r="FWE44" s="12"/>
      <c r="FWF44" s="12"/>
      <c r="FWG44" s="12"/>
      <c r="FWH44" s="12"/>
      <c r="FWI44" s="12"/>
      <c r="FWJ44" s="12"/>
      <c r="FWK44" s="12"/>
      <c r="FWL44" s="12"/>
      <c r="FWM44" s="12"/>
      <c r="FWN44" s="12"/>
      <c r="FWO44" s="12"/>
      <c r="FWP44" s="12"/>
      <c r="FWQ44" s="12"/>
      <c r="FWR44" s="12"/>
      <c r="FWS44" s="12"/>
      <c r="FWT44" s="12"/>
      <c r="FWU44" s="12"/>
      <c r="FWV44" s="12"/>
      <c r="FWW44" s="12"/>
      <c r="FWX44" s="12"/>
      <c r="FWY44" s="12"/>
      <c r="FWZ44" s="12"/>
      <c r="FXA44" s="12"/>
      <c r="FXB44" s="12"/>
      <c r="FXC44" s="12"/>
      <c r="FXD44" s="12"/>
      <c r="FXE44" s="12"/>
      <c r="FXF44" s="12"/>
      <c r="FXG44" s="12"/>
      <c r="FXH44" s="12"/>
      <c r="FXI44" s="12"/>
      <c r="FXJ44" s="12"/>
      <c r="FXK44" s="12"/>
      <c r="FXL44" s="12"/>
      <c r="FXM44" s="12"/>
      <c r="FXN44" s="12"/>
      <c r="FXO44" s="12"/>
      <c r="FXP44" s="12"/>
      <c r="FXQ44" s="12"/>
      <c r="FXR44" s="12"/>
      <c r="FXS44" s="12"/>
      <c r="FXT44" s="12"/>
      <c r="FXU44" s="12"/>
      <c r="FXV44" s="12"/>
      <c r="FXW44" s="12"/>
      <c r="FXX44" s="12"/>
      <c r="FXY44" s="12"/>
      <c r="FXZ44" s="12"/>
      <c r="FYA44" s="12"/>
      <c r="FYB44" s="12"/>
      <c r="FYC44" s="12"/>
      <c r="FYD44" s="12"/>
      <c r="FYE44" s="12"/>
      <c r="FYF44" s="12"/>
      <c r="FYG44" s="12"/>
      <c r="FYH44" s="12"/>
      <c r="FYI44" s="12"/>
      <c r="FYJ44" s="12"/>
      <c r="FYK44" s="12"/>
      <c r="FYL44" s="12"/>
      <c r="FYM44" s="12"/>
      <c r="FYN44" s="12"/>
      <c r="FYO44" s="12"/>
      <c r="FYP44" s="12"/>
      <c r="FYQ44" s="12"/>
      <c r="FYR44" s="12"/>
      <c r="FYS44" s="12"/>
      <c r="FYT44" s="12"/>
      <c r="FYU44" s="12"/>
      <c r="FYV44" s="12"/>
      <c r="FYW44" s="12"/>
      <c r="FYX44" s="12"/>
      <c r="FYY44" s="12"/>
      <c r="FYZ44" s="12"/>
      <c r="FZA44" s="12"/>
      <c r="FZB44" s="12"/>
      <c r="FZC44" s="12"/>
      <c r="FZD44" s="12"/>
      <c r="FZE44" s="12"/>
      <c r="FZF44" s="12"/>
      <c r="FZG44" s="12"/>
      <c r="FZH44" s="12"/>
      <c r="FZI44" s="12"/>
      <c r="FZJ44" s="12"/>
      <c r="FZK44" s="12"/>
      <c r="FZL44" s="12"/>
      <c r="FZM44" s="12"/>
      <c r="FZN44" s="12"/>
      <c r="FZO44" s="12"/>
      <c r="FZP44" s="12"/>
      <c r="FZQ44" s="12"/>
      <c r="FZR44" s="12"/>
      <c r="FZS44" s="12"/>
      <c r="FZT44" s="12"/>
      <c r="FZU44" s="12"/>
      <c r="FZV44" s="12"/>
      <c r="FZW44" s="12"/>
      <c r="FZX44" s="12"/>
      <c r="FZY44" s="12"/>
      <c r="FZZ44" s="12"/>
      <c r="GAA44" s="12"/>
      <c r="GAB44" s="12"/>
      <c r="GAC44" s="12"/>
      <c r="GAD44" s="12"/>
      <c r="GAE44" s="12"/>
      <c r="GAF44" s="12"/>
      <c r="GAG44" s="12"/>
      <c r="GAH44" s="12"/>
      <c r="GAI44" s="12"/>
      <c r="GAJ44" s="12"/>
      <c r="GAK44" s="12"/>
      <c r="GAL44" s="12"/>
      <c r="GAM44" s="12"/>
      <c r="GAN44" s="12"/>
      <c r="GAO44" s="12"/>
      <c r="GAP44" s="12"/>
      <c r="GAQ44" s="12"/>
      <c r="GAR44" s="12"/>
      <c r="GAS44" s="12"/>
      <c r="GAT44" s="12"/>
      <c r="GAU44" s="12"/>
      <c r="GAV44" s="12"/>
      <c r="GAW44" s="12"/>
      <c r="GAX44" s="12"/>
      <c r="GAY44" s="12"/>
      <c r="GAZ44" s="12"/>
      <c r="GBA44" s="12"/>
      <c r="GBB44" s="12"/>
      <c r="GBC44" s="12"/>
      <c r="GBD44" s="12"/>
      <c r="GBE44" s="12"/>
      <c r="GBF44" s="12"/>
      <c r="GBG44" s="12"/>
      <c r="GBH44" s="12"/>
      <c r="GBI44" s="12"/>
      <c r="GBJ44" s="12"/>
      <c r="GBK44" s="12"/>
      <c r="GBL44" s="12"/>
      <c r="GBM44" s="12"/>
      <c r="GBN44" s="12"/>
      <c r="GBO44" s="12"/>
      <c r="GBP44" s="12"/>
      <c r="GBQ44" s="12"/>
      <c r="GBR44" s="12"/>
      <c r="GBS44" s="12"/>
      <c r="GBT44" s="12"/>
      <c r="GBU44" s="12"/>
      <c r="GBV44" s="12"/>
      <c r="GBW44" s="12"/>
      <c r="GBX44" s="12"/>
      <c r="GBY44" s="12"/>
      <c r="GBZ44" s="12"/>
      <c r="GCA44" s="12"/>
      <c r="GCB44" s="12"/>
      <c r="GCC44" s="12"/>
      <c r="GCD44" s="12"/>
      <c r="GCE44" s="12"/>
      <c r="GCF44" s="12"/>
      <c r="GCG44" s="12"/>
      <c r="GCH44" s="12"/>
      <c r="GCI44" s="12"/>
      <c r="GCJ44" s="12"/>
      <c r="GCK44" s="12"/>
      <c r="GCL44" s="12"/>
      <c r="GCM44" s="12"/>
      <c r="GCN44" s="12"/>
      <c r="GCO44" s="12"/>
      <c r="GCP44" s="12"/>
      <c r="GCQ44" s="12"/>
      <c r="GCR44" s="12"/>
      <c r="GCS44" s="12"/>
      <c r="GCT44" s="12"/>
      <c r="GCU44" s="12"/>
      <c r="GCV44" s="12"/>
      <c r="GCW44" s="12"/>
      <c r="GCX44" s="12"/>
      <c r="GCY44" s="12"/>
      <c r="GCZ44" s="12"/>
      <c r="GDA44" s="12"/>
      <c r="GDB44" s="12"/>
      <c r="GDC44" s="12"/>
      <c r="GDD44" s="12"/>
      <c r="GDE44" s="12"/>
      <c r="GDF44" s="12"/>
      <c r="GDG44" s="12"/>
      <c r="GDH44" s="12"/>
      <c r="GDI44" s="12"/>
      <c r="GDJ44" s="12"/>
      <c r="GDK44" s="12"/>
      <c r="GDL44" s="12"/>
      <c r="GDM44" s="12"/>
      <c r="GDN44" s="12"/>
      <c r="GDO44" s="12"/>
      <c r="GDP44" s="12"/>
      <c r="GDQ44" s="12"/>
      <c r="GDR44" s="12"/>
      <c r="GDS44" s="12"/>
      <c r="GDT44" s="12"/>
      <c r="GDU44" s="12"/>
      <c r="GDV44" s="12"/>
      <c r="GDW44" s="12"/>
      <c r="GDX44" s="12"/>
      <c r="GDY44" s="12"/>
      <c r="GDZ44" s="12"/>
      <c r="GEA44" s="12"/>
      <c r="GEB44" s="12"/>
      <c r="GEC44" s="12"/>
      <c r="GED44" s="12"/>
      <c r="GEE44" s="12"/>
      <c r="GEF44" s="12"/>
      <c r="GEG44" s="12"/>
      <c r="GEH44" s="12"/>
      <c r="GEI44" s="12"/>
      <c r="GEJ44" s="12"/>
      <c r="GEK44" s="12"/>
      <c r="GEL44" s="12"/>
      <c r="GEM44" s="12"/>
      <c r="GEN44" s="12"/>
      <c r="GEO44" s="12"/>
      <c r="GEP44" s="12"/>
      <c r="GEQ44" s="12"/>
      <c r="GER44" s="12"/>
      <c r="GES44" s="12"/>
      <c r="GET44" s="12"/>
      <c r="GEU44" s="12"/>
      <c r="GEV44" s="12"/>
      <c r="GEW44" s="12"/>
      <c r="GEX44" s="12"/>
      <c r="GEY44" s="12"/>
      <c r="GEZ44" s="12"/>
      <c r="GFA44" s="12"/>
      <c r="GFB44" s="12"/>
      <c r="GFC44" s="12"/>
      <c r="GFD44" s="12"/>
      <c r="GFE44" s="12"/>
      <c r="GFF44" s="12"/>
      <c r="GFG44" s="12"/>
      <c r="GFH44" s="12"/>
      <c r="GFI44" s="12"/>
      <c r="GFJ44" s="12"/>
      <c r="GFK44" s="12"/>
      <c r="GFL44" s="12"/>
      <c r="GFM44" s="12"/>
      <c r="GFN44" s="12"/>
      <c r="GFO44" s="12"/>
      <c r="GFP44" s="12"/>
      <c r="GFQ44" s="12"/>
      <c r="GFR44" s="12"/>
      <c r="GFS44" s="12"/>
      <c r="GFT44" s="12"/>
      <c r="GFU44" s="12"/>
      <c r="GFV44" s="12"/>
      <c r="GFW44" s="12"/>
      <c r="GFX44" s="12"/>
      <c r="GFY44" s="12"/>
      <c r="GFZ44" s="12"/>
      <c r="GGA44" s="12"/>
      <c r="GGB44" s="12"/>
      <c r="GGC44" s="12"/>
      <c r="GGD44" s="12"/>
      <c r="GGE44" s="12"/>
      <c r="GGF44" s="12"/>
      <c r="GGG44" s="12"/>
      <c r="GGH44" s="12"/>
      <c r="GGI44" s="12"/>
      <c r="GGJ44" s="12"/>
      <c r="GGK44" s="12"/>
      <c r="GGL44" s="12"/>
      <c r="GGM44" s="12"/>
      <c r="GGN44" s="12"/>
      <c r="GGO44" s="12"/>
      <c r="GGP44" s="12"/>
      <c r="GGQ44" s="12"/>
      <c r="GGR44" s="12"/>
      <c r="GGS44" s="12"/>
      <c r="GGT44" s="12"/>
      <c r="GGU44" s="12"/>
      <c r="GGV44" s="12"/>
      <c r="GGW44" s="12"/>
      <c r="GGX44" s="12"/>
      <c r="GGY44" s="12"/>
      <c r="GGZ44" s="12"/>
      <c r="GHA44" s="12"/>
      <c r="GHB44" s="12"/>
      <c r="GHC44" s="12"/>
      <c r="GHD44" s="12"/>
      <c r="GHE44" s="12"/>
      <c r="GHF44" s="12"/>
      <c r="GHG44" s="12"/>
      <c r="GHH44" s="12"/>
      <c r="GHI44" s="12"/>
      <c r="GHJ44" s="12"/>
      <c r="GHK44" s="12"/>
      <c r="GHL44" s="12"/>
      <c r="GHM44" s="12"/>
      <c r="GHN44" s="12"/>
      <c r="GHO44" s="12"/>
      <c r="GHP44" s="12"/>
      <c r="GHQ44" s="12"/>
      <c r="GHR44" s="12"/>
      <c r="GHS44" s="12"/>
      <c r="GHT44" s="12"/>
      <c r="GHU44" s="12"/>
      <c r="GHV44" s="12"/>
      <c r="GHW44" s="12"/>
      <c r="GHX44" s="12"/>
      <c r="GHY44" s="12"/>
      <c r="GHZ44" s="12"/>
      <c r="GIA44" s="12"/>
      <c r="GIB44" s="12"/>
      <c r="GIC44" s="12"/>
      <c r="GID44" s="12"/>
      <c r="GIE44" s="12"/>
      <c r="GIF44" s="12"/>
      <c r="GIG44" s="12"/>
      <c r="GIH44" s="12"/>
      <c r="GII44" s="12"/>
      <c r="GIJ44" s="12"/>
      <c r="GIK44" s="12"/>
      <c r="GIL44" s="12"/>
      <c r="GIM44" s="12"/>
      <c r="GIN44" s="12"/>
      <c r="GIO44" s="12"/>
      <c r="GIP44" s="12"/>
      <c r="GIQ44" s="12"/>
      <c r="GIR44" s="12"/>
      <c r="GIS44" s="12"/>
      <c r="GIT44" s="12"/>
      <c r="GIU44" s="12"/>
      <c r="GIV44" s="12"/>
      <c r="GIW44" s="12"/>
      <c r="GIX44" s="12"/>
      <c r="GIY44" s="12"/>
      <c r="GIZ44" s="12"/>
      <c r="GJA44" s="12"/>
      <c r="GJB44" s="12"/>
      <c r="GJC44" s="12"/>
      <c r="GJD44" s="12"/>
      <c r="GJE44" s="12"/>
      <c r="GJF44" s="12"/>
      <c r="GJG44" s="12"/>
      <c r="GJH44" s="12"/>
      <c r="GJI44" s="12"/>
      <c r="GJJ44" s="12"/>
      <c r="GJK44" s="12"/>
      <c r="GJL44" s="12"/>
      <c r="GJM44" s="12"/>
      <c r="GJN44" s="12"/>
      <c r="GJO44" s="12"/>
      <c r="GJP44" s="12"/>
      <c r="GJQ44" s="12"/>
      <c r="GJR44" s="12"/>
      <c r="GJS44" s="12"/>
      <c r="GJT44" s="12"/>
      <c r="GJU44" s="12"/>
      <c r="GJV44" s="12"/>
      <c r="GJW44" s="12"/>
      <c r="GJX44" s="12"/>
      <c r="GJY44" s="12"/>
      <c r="GJZ44" s="12"/>
      <c r="GKA44" s="12"/>
      <c r="GKB44" s="12"/>
      <c r="GKC44" s="12"/>
      <c r="GKD44" s="12"/>
      <c r="GKE44" s="12"/>
      <c r="GKF44" s="12"/>
      <c r="GKG44" s="12"/>
      <c r="GKH44" s="12"/>
      <c r="GKI44" s="12"/>
      <c r="GKJ44" s="12"/>
      <c r="GKK44" s="12"/>
      <c r="GKL44" s="12"/>
      <c r="GKM44" s="12"/>
      <c r="GKN44" s="12"/>
      <c r="GKO44" s="12"/>
      <c r="GKP44" s="12"/>
      <c r="GKQ44" s="12"/>
      <c r="GKR44" s="12"/>
      <c r="GKS44" s="12"/>
      <c r="GKT44" s="12"/>
      <c r="GKU44" s="12"/>
      <c r="GKV44" s="12"/>
      <c r="GKW44" s="12"/>
      <c r="GKX44" s="12"/>
      <c r="GKY44" s="12"/>
      <c r="GKZ44" s="12"/>
      <c r="GLA44" s="12"/>
      <c r="GLB44" s="12"/>
      <c r="GLC44" s="12"/>
      <c r="GLD44" s="12"/>
      <c r="GLE44" s="12"/>
      <c r="GLF44" s="12"/>
      <c r="GLG44" s="12"/>
      <c r="GLH44" s="12"/>
      <c r="GLI44" s="12"/>
      <c r="GLJ44" s="12"/>
      <c r="GLK44" s="12"/>
      <c r="GLL44" s="12"/>
      <c r="GLM44" s="12"/>
      <c r="GLN44" s="12"/>
      <c r="GLO44" s="12"/>
      <c r="GLP44" s="12"/>
      <c r="GLQ44" s="12"/>
      <c r="GLR44" s="12"/>
      <c r="GLS44" s="12"/>
      <c r="GLT44" s="12"/>
      <c r="GLU44" s="12"/>
      <c r="GLV44" s="12"/>
      <c r="GLW44" s="12"/>
      <c r="GLX44" s="12"/>
      <c r="GLY44" s="12"/>
      <c r="GLZ44" s="12"/>
      <c r="GMA44" s="12"/>
      <c r="GMB44" s="12"/>
      <c r="GMC44" s="12"/>
      <c r="GMD44" s="12"/>
      <c r="GME44" s="12"/>
      <c r="GMF44" s="12"/>
      <c r="GMG44" s="12"/>
      <c r="GMH44" s="12"/>
      <c r="GMI44" s="12"/>
      <c r="GMJ44" s="12"/>
      <c r="GMK44" s="12"/>
      <c r="GML44" s="12"/>
      <c r="GMM44" s="12"/>
      <c r="GMN44" s="12"/>
      <c r="GMO44" s="12"/>
      <c r="GMP44" s="12"/>
      <c r="GMQ44" s="12"/>
      <c r="GMR44" s="12"/>
      <c r="GMS44" s="12"/>
      <c r="GMT44" s="12"/>
      <c r="GMU44" s="12"/>
      <c r="GMV44" s="12"/>
      <c r="GMW44" s="12"/>
      <c r="GMX44" s="12"/>
      <c r="GMY44" s="12"/>
      <c r="GMZ44" s="12"/>
      <c r="GNA44" s="12"/>
      <c r="GNB44" s="12"/>
      <c r="GNC44" s="12"/>
      <c r="GND44" s="12"/>
      <c r="GNE44" s="12"/>
      <c r="GNF44" s="12"/>
      <c r="GNG44" s="12"/>
      <c r="GNH44" s="12"/>
      <c r="GNI44" s="12"/>
      <c r="GNJ44" s="12"/>
      <c r="GNK44" s="12"/>
      <c r="GNL44" s="12"/>
      <c r="GNM44" s="12"/>
      <c r="GNN44" s="12"/>
      <c r="GNO44" s="12"/>
      <c r="GNP44" s="12"/>
      <c r="GNQ44" s="12"/>
      <c r="GNR44" s="12"/>
      <c r="GNS44" s="12"/>
      <c r="GNT44" s="12"/>
      <c r="GNU44" s="12"/>
      <c r="GNV44" s="12"/>
      <c r="GNW44" s="12"/>
      <c r="GNX44" s="12"/>
      <c r="GNY44" s="12"/>
      <c r="GNZ44" s="12"/>
      <c r="GOA44" s="12"/>
      <c r="GOB44" s="12"/>
      <c r="GOC44" s="12"/>
      <c r="GOD44" s="12"/>
      <c r="GOE44" s="12"/>
      <c r="GOF44" s="12"/>
      <c r="GOG44" s="12"/>
      <c r="GOH44" s="12"/>
      <c r="GOI44" s="12"/>
      <c r="GOJ44" s="12"/>
      <c r="GOK44" s="12"/>
      <c r="GOL44" s="12"/>
      <c r="GOM44" s="12"/>
      <c r="GON44" s="12"/>
      <c r="GOO44" s="12"/>
      <c r="GOP44" s="12"/>
      <c r="GOQ44" s="12"/>
      <c r="GOR44" s="12"/>
      <c r="GOS44" s="12"/>
      <c r="GOT44" s="12"/>
      <c r="GOU44" s="12"/>
      <c r="GOV44" s="12"/>
      <c r="GOW44" s="12"/>
      <c r="GOX44" s="12"/>
      <c r="GOY44" s="12"/>
      <c r="GOZ44" s="12"/>
      <c r="GPA44" s="12"/>
      <c r="GPB44" s="12"/>
      <c r="GPC44" s="12"/>
      <c r="GPD44" s="12"/>
      <c r="GPE44" s="12"/>
      <c r="GPF44" s="12"/>
      <c r="GPG44" s="12"/>
      <c r="GPH44" s="12"/>
      <c r="GPI44" s="12"/>
      <c r="GPJ44" s="12"/>
      <c r="GPK44" s="12"/>
      <c r="GPL44" s="12"/>
      <c r="GPM44" s="12"/>
      <c r="GPN44" s="12"/>
      <c r="GPO44" s="12"/>
      <c r="GPP44" s="12"/>
      <c r="GPQ44" s="12"/>
      <c r="GPR44" s="12"/>
      <c r="GPS44" s="12"/>
      <c r="GPT44" s="12"/>
      <c r="GPU44" s="12"/>
      <c r="GPV44" s="12"/>
      <c r="GPW44" s="12"/>
      <c r="GPX44" s="12"/>
      <c r="GPY44" s="12"/>
      <c r="GPZ44" s="12"/>
      <c r="GQA44" s="12"/>
      <c r="GQB44" s="12"/>
      <c r="GQC44" s="12"/>
      <c r="GQD44" s="12"/>
      <c r="GQE44" s="12"/>
      <c r="GQF44" s="12"/>
      <c r="GQG44" s="12"/>
      <c r="GQH44" s="12"/>
      <c r="GQI44" s="12"/>
      <c r="GQJ44" s="12"/>
      <c r="GQK44" s="12"/>
      <c r="GQL44" s="12"/>
      <c r="GQM44" s="12"/>
      <c r="GQN44" s="12"/>
      <c r="GQO44" s="12"/>
      <c r="GQP44" s="12"/>
      <c r="GQQ44" s="12"/>
      <c r="GQR44" s="12"/>
      <c r="GQS44" s="12"/>
      <c r="GQT44" s="12"/>
      <c r="GQU44" s="12"/>
      <c r="GQV44" s="12"/>
      <c r="GQW44" s="12"/>
      <c r="GQX44" s="12"/>
      <c r="GQY44" s="12"/>
      <c r="GQZ44" s="12"/>
      <c r="GRA44" s="12"/>
      <c r="GRB44" s="12"/>
      <c r="GRC44" s="12"/>
      <c r="GRD44" s="12"/>
      <c r="GRE44" s="12"/>
      <c r="GRF44" s="12"/>
      <c r="GRG44" s="12"/>
      <c r="GRH44" s="12"/>
      <c r="GRI44" s="12"/>
      <c r="GRJ44" s="12"/>
      <c r="GRK44" s="12"/>
      <c r="GRL44" s="12"/>
      <c r="GRM44" s="12"/>
      <c r="GRN44" s="12"/>
      <c r="GRO44" s="12"/>
      <c r="GRP44" s="12"/>
      <c r="GRQ44" s="12"/>
      <c r="GRR44" s="12"/>
      <c r="GRS44" s="12"/>
      <c r="GRT44" s="12"/>
      <c r="GRU44" s="12"/>
      <c r="GRV44" s="12"/>
      <c r="GRW44" s="12"/>
      <c r="GRX44" s="12"/>
      <c r="GRY44" s="12"/>
      <c r="GRZ44" s="12"/>
      <c r="GSA44" s="12"/>
      <c r="GSB44" s="12"/>
      <c r="GSC44" s="12"/>
      <c r="GSD44" s="12"/>
      <c r="GSE44" s="12"/>
      <c r="GSF44" s="12"/>
      <c r="GSG44" s="12"/>
      <c r="GSH44" s="12"/>
      <c r="GSI44" s="12"/>
      <c r="GSJ44" s="12"/>
      <c r="GSK44" s="12"/>
      <c r="GSL44" s="12"/>
      <c r="GSM44" s="12"/>
      <c r="GSN44" s="12"/>
      <c r="GSO44" s="12"/>
      <c r="GSP44" s="12"/>
      <c r="GSQ44" s="12"/>
      <c r="GSR44" s="12"/>
      <c r="GSS44" s="12"/>
      <c r="GST44" s="12"/>
      <c r="GSU44" s="12"/>
      <c r="GSV44" s="12"/>
      <c r="GSW44" s="12"/>
      <c r="GSX44" s="12"/>
      <c r="GSY44" s="12"/>
      <c r="GSZ44" s="12"/>
      <c r="GTA44" s="12"/>
      <c r="GTB44" s="12"/>
      <c r="GTC44" s="12"/>
      <c r="GTD44" s="12"/>
      <c r="GTE44" s="12"/>
      <c r="GTF44" s="12"/>
      <c r="GTG44" s="12"/>
      <c r="GTH44" s="12"/>
      <c r="GTI44" s="12"/>
      <c r="GTJ44" s="12"/>
      <c r="GTK44" s="12"/>
      <c r="GTL44" s="12"/>
      <c r="GTM44" s="12"/>
      <c r="GTN44" s="12"/>
      <c r="GTO44" s="12"/>
      <c r="GTP44" s="12"/>
      <c r="GTQ44" s="12"/>
      <c r="GTR44" s="12"/>
      <c r="GTS44" s="12"/>
      <c r="GTT44" s="12"/>
      <c r="GTU44" s="12"/>
      <c r="GTV44" s="12"/>
      <c r="GTW44" s="12"/>
      <c r="GTX44" s="12"/>
      <c r="GTY44" s="12"/>
      <c r="GTZ44" s="12"/>
      <c r="GUA44" s="12"/>
      <c r="GUB44" s="12"/>
      <c r="GUC44" s="12"/>
      <c r="GUD44" s="12"/>
      <c r="GUE44" s="12"/>
      <c r="GUF44" s="12"/>
      <c r="GUG44" s="12"/>
      <c r="GUH44" s="12"/>
      <c r="GUI44" s="12"/>
      <c r="GUJ44" s="12"/>
      <c r="GUK44" s="12"/>
      <c r="GUL44" s="12"/>
      <c r="GUM44" s="12"/>
      <c r="GUN44" s="12"/>
      <c r="GUO44" s="12"/>
      <c r="GUP44" s="12"/>
      <c r="GUQ44" s="12"/>
      <c r="GUR44" s="12"/>
      <c r="GUS44" s="12"/>
      <c r="GUT44" s="12"/>
      <c r="GUU44" s="12"/>
      <c r="GUV44" s="12"/>
      <c r="GUW44" s="12"/>
      <c r="GUX44" s="12"/>
      <c r="GUY44" s="12"/>
      <c r="GUZ44" s="12"/>
      <c r="GVA44" s="12"/>
      <c r="GVB44" s="12"/>
      <c r="GVC44" s="12"/>
      <c r="GVD44" s="12"/>
      <c r="GVE44" s="12"/>
      <c r="GVF44" s="12"/>
      <c r="GVG44" s="12"/>
      <c r="GVH44" s="12"/>
      <c r="GVI44" s="12"/>
      <c r="GVJ44" s="12"/>
      <c r="GVK44" s="12"/>
      <c r="GVL44" s="12"/>
      <c r="GVM44" s="12"/>
      <c r="GVN44" s="12"/>
      <c r="GVO44" s="12"/>
      <c r="GVP44" s="12"/>
      <c r="GVQ44" s="12"/>
      <c r="GVR44" s="12"/>
      <c r="GVS44" s="12"/>
      <c r="GVT44" s="12"/>
      <c r="GVU44" s="12"/>
      <c r="GVV44" s="12"/>
      <c r="GVW44" s="12"/>
      <c r="GVX44" s="12"/>
      <c r="GVY44" s="12"/>
      <c r="GVZ44" s="12"/>
      <c r="GWA44" s="12"/>
      <c r="GWB44" s="12"/>
      <c r="GWC44" s="12"/>
      <c r="GWD44" s="12"/>
      <c r="GWE44" s="12"/>
      <c r="GWF44" s="12"/>
      <c r="GWG44" s="12"/>
      <c r="GWH44" s="12"/>
      <c r="GWI44" s="12"/>
      <c r="GWJ44" s="12"/>
      <c r="GWK44" s="12"/>
      <c r="GWL44" s="12"/>
      <c r="GWM44" s="12"/>
      <c r="GWN44" s="12"/>
      <c r="GWO44" s="12"/>
      <c r="GWP44" s="12"/>
      <c r="GWQ44" s="12"/>
      <c r="GWR44" s="12"/>
      <c r="GWS44" s="12"/>
      <c r="GWT44" s="12"/>
      <c r="GWU44" s="12"/>
      <c r="GWV44" s="12"/>
      <c r="GWW44" s="12"/>
      <c r="GWX44" s="12"/>
      <c r="GWY44" s="12"/>
      <c r="GWZ44" s="12"/>
      <c r="GXA44" s="12"/>
      <c r="GXB44" s="12"/>
      <c r="GXC44" s="12"/>
      <c r="GXD44" s="12"/>
      <c r="GXE44" s="12"/>
      <c r="GXF44" s="12"/>
      <c r="GXG44" s="12"/>
      <c r="GXH44" s="12"/>
      <c r="GXI44" s="12"/>
      <c r="GXJ44" s="12"/>
      <c r="GXK44" s="12"/>
      <c r="GXL44" s="12"/>
      <c r="GXM44" s="12"/>
      <c r="GXN44" s="12"/>
      <c r="GXO44" s="12"/>
      <c r="GXP44" s="12"/>
      <c r="GXQ44" s="12"/>
      <c r="GXR44" s="12"/>
      <c r="GXS44" s="12"/>
      <c r="GXT44" s="12"/>
      <c r="GXU44" s="12"/>
      <c r="GXV44" s="12"/>
      <c r="GXW44" s="12"/>
      <c r="GXX44" s="12"/>
      <c r="GXY44" s="12"/>
      <c r="GXZ44" s="12"/>
      <c r="GYA44" s="12"/>
      <c r="GYB44" s="12"/>
      <c r="GYC44" s="12"/>
      <c r="GYD44" s="12"/>
      <c r="GYE44" s="12"/>
      <c r="GYF44" s="12"/>
      <c r="GYG44" s="12"/>
      <c r="GYH44" s="12"/>
      <c r="GYI44" s="12"/>
      <c r="GYJ44" s="12"/>
      <c r="GYK44" s="12"/>
      <c r="GYL44" s="12"/>
      <c r="GYM44" s="12"/>
      <c r="GYN44" s="12"/>
      <c r="GYO44" s="12"/>
      <c r="GYP44" s="12"/>
      <c r="GYQ44" s="12"/>
      <c r="GYR44" s="12"/>
      <c r="GYS44" s="12"/>
      <c r="GYT44" s="12"/>
      <c r="GYU44" s="12"/>
      <c r="GYV44" s="12"/>
      <c r="GYW44" s="12"/>
      <c r="GYX44" s="12"/>
      <c r="GYY44" s="12"/>
      <c r="GYZ44" s="12"/>
      <c r="GZA44" s="12"/>
      <c r="GZB44" s="12"/>
      <c r="GZC44" s="12"/>
      <c r="GZD44" s="12"/>
      <c r="GZE44" s="12"/>
      <c r="GZF44" s="12"/>
      <c r="GZG44" s="12"/>
      <c r="GZH44" s="12"/>
      <c r="GZI44" s="12"/>
      <c r="GZJ44" s="12"/>
      <c r="GZK44" s="12"/>
      <c r="GZL44" s="12"/>
      <c r="GZM44" s="12"/>
      <c r="GZN44" s="12"/>
      <c r="GZO44" s="12"/>
      <c r="GZP44" s="12"/>
      <c r="GZQ44" s="12"/>
      <c r="GZR44" s="12"/>
      <c r="GZS44" s="12"/>
      <c r="GZT44" s="12"/>
      <c r="GZU44" s="12"/>
      <c r="GZV44" s="12"/>
      <c r="GZW44" s="12"/>
      <c r="GZX44" s="12"/>
      <c r="GZY44" s="12"/>
      <c r="GZZ44" s="12"/>
      <c r="HAA44" s="12"/>
      <c r="HAB44" s="12"/>
      <c r="HAC44" s="12"/>
      <c r="HAD44" s="12"/>
      <c r="HAE44" s="12"/>
      <c r="HAF44" s="12"/>
      <c r="HAG44" s="12"/>
      <c r="HAH44" s="12"/>
      <c r="HAI44" s="12"/>
      <c r="HAJ44" s="12"/>
      <c r="HAK44" s="12"/>
      <c r="HAL44" s="12"/>
      <c r="HAM44" s="12"/>
      <c r="HAN44" s="12"/>
      <c r="HAO44" s="12"/>
      <c r="HAP44" s="12"/>
      <c r="HAQ44" s="12"/>
      <c r="HAR44" s="12"/>
      <c r="HAS44" s="12"/>
      <c r="HAT44" s="12"/>
      <c r="HAU44" s="12"/>
      <c r="HAV44" s="12"/>
      <c r="HAW44" s="12"/>
      <c r="HAX44" s="12"/>
      <c r="HAY44" s="12"/>
      <c r="HAZ44" s="12"/>
      <c r="HBA44" s="12"/>
      <c r="HBB44" s="12"/>
      <c r="HBC44" s="12"/>
      <c r="HBD44" s="12"/>
      <c r="HBE44" s="12"/>
      <c r="HBF44" s="12"/>
      <c r="HBG44" s="12"/>
      <c r="HBH44" s="12"/>
      <c r="HBI44" s="12"/>
      <c r="HBJ44" s="12"/>
      <c r="HBK44" s="12"/>
      <c r="HBL44" s="12"/>
      <c r="HBM44" s="12"/>
      <c r="HBN44" s="12"/>
      <c r="HBO44" s="12"/>
      <c r="HBP44" s="12"/>
      <c r="HBQ44" s="12"/>
      <c r="HBR44" s="12"/>
      <c r="HBS44" s="12"/>
      <c r="HBT44" s="12"/>
      <c r="HBU44" s="12"/>
      <c r="HBV44" s="12"/>
      <c r="HBW44" s="12"/>
      <c r="HBX44" s="12"/>
      <c r="HBY44" s="12"/>
      <c r="HBZ44" s="12"/>
      <c r="HCA44" s="12"/>
      <c r="HCB44" s="12"/>
      <c r="HCC44" s="12"/>
      <c r="HCD44" s="12"/>
      <c r="HCE44" s="12"/>
      <c r="HCF44" s="12"/>
      <c r="HCG44" s="12"/>
      <c r="HCH44" s="12"/>
      <c r="HCI44" s="12"/>
      <c r="HCJ44" s="12"/>
      <c r="HCK44" s="12"/>
      <c r="HCL44" s="12"/>
      <c r="HCM44" s="12"/>
      <c r="HCN44" s="12"/>
      <c r="HCO44" s="12"/>
      <c r="HCP44" s="12"/>
      <c r="HCQ44" s="12"/>
      <c r="HCR44" s="12"/>
      <c r="HCS44" s="12"/>
      <c r="HCT44" s="12"/>
      <c r="HCU44" s="12"/>
      <c r="HCV44" s="12"/>
      <c r="HCW44" s="12"/>
      <c r="HCX44" s="12"/>
      <c r="HCY44" s="12"/>
      <c r="HCZ44" s="12"/>
      <c r="HDA44" s="12"/>
      <c r="HDB44" s="12"/>
      <c r="HDC44" s="12"/>
      <c r="HDD44" s="12"/>
      <c r="HDE44" s="12"/>
      <c r="HDF44" s="12"/>
      <c r="HDG44" s="12"/>
      <c r="HDH44" s="12"/>
      <c r="HDI44" s="12"/>
      <c r="HDJ44" s="12"/>
      <c r="HDK44" s="12"/>
      <c r="HDL44" s="12"/>
      <c r="HDM44" s="12"/>
      <c r="HDN44" s="12"/>
      <c r="HDO44" s="12"/>
      <c r="HDP44" s="12"/>
      <c r="HDQ44" s="12"/>
      <c r="HDR44" s="12"/>
      <c r="HDS44" s="12"/>
      <c r="HDT44" s="12"/>
      <c r="HDU44" s="12"/>
      <c r="HDV44" s="12"/>
      <c r="HDW44" s="12"/>
      <c r="HDX44" s="12"/>
      <c r="HDY44" s="12"/>
      <c r="HDZ44" s="12"/>
      <c r="HEA44" s="12"/>
      <c r="HEB44" s="12"/>
      <c r="HEC44" s="12"/>
      <c r="HED44" s="12"/>
      <c r="HEE44" s="12"/>
      <c r="HEF44" s="12"/>
      <c r="HEG44" s="12"/>
      <c r="HEH44" s="12"/>
      <c r="HEI44" s="12"/>
      <c r="HEJ44" s="12"/>
      <c r="HEK44" s="12"/>
      <c r="HEL44" s="12"/>
      <c r="HEM44" s="12"/>
      <c r="HEN44" s="12"/>
      <c r="HEO44" s="12"/>
      <c r="HEP44" s="12"/>
      <c r="HEQ44" s="12"/>
      <c r="HER44" s="12"/>
      <c r="HES44" s="12"/>
      <c r="HET44" s="12"/>
      <c r="HEU44" s="12"/>
      <c r="HEV44" s="12"/>
      <c r="HEW44" s="12"/>
      <c r="HEX44" s="12"/>
      <c r="HEY44" s="12"/>
      <c r="HEZ44" s="12"/>
      <c r="HFA44" s="12"/>
      <c r="HFB44" s="12"/>
      <c r="HFC44" s="12"/>
      <c r="HFD44" s="12"/>
      <c r="HFE44" s="12"/>
      <c r="HFF44" s="12"/>
      <c r="HFG44" s="12"/>
      <c r="HFH44" s="12"/>
      <c r="HFI44" s="12"/>
      <c r="HFJ44" s="12"/>
      <c r="HFK44" s="12"/>
      <c r="HFL44" s="12"/>
      <c r="HFM44" s="12"/>
      <c r="HFN44" s="12"/>
      <c r="HFO44" s="12"/>
      <c r="HFP44" s="12"/>
      <c r="HFQ44" s="12"/>
      <c r="HFR44" s="12"/>
      <c r="HFS44" s="12"/>
      <c r="HFT44" s="12"/>
      <c r="HFU44" s="12"/>
      <c r="HFV44" s="12"/>
      <c r="HFW44" s="12"/>
      <c r="HFX44" s="12"/>
      <c r="HFY44" s="12"/>
      <c r="HFZ44" s="12"/>
      <c r="HGA44" s="12"/>
      <c r="HGB44" s="12"/>
      <c r="HGC44" s="12"/>
      <c r="HGD44" s="12"/>
      <c r="HGE44" s="12"/>
      <c r="HGF44" s="12"/>
      <c r="HGG44" s="12"/>
      <c r="HGH44" s="12"/>
      <c r="HGI44" s="12"/>
      <c r="HGJ44" s="12"/>
      <c r="HGK44" s="12"/>
      <c r="HGL44" s="12"/>
      <c r="HGM44" s="12"/>
      <c r="HGN44" s="12"/>
      <c r="HGO44" s="12"/>
      <c r="HGP44" s="12"/>
      <c r="HGQ44" s="12"/>
      <c r="HGR44" s="12"/>
      <c r="HGS44" s="12"/>
      <c r="HGT44" s="12"/>
      <c r="HGU44" s="12"/>
      <c r="HGV44" s="12"/>
      <c r="HGW44" s="12"/>
      <c r="HGX44" s="12"/>
      <c r="HGY44" s="12"/>
      <c r="HGZ44" s="12"/>
      <c r="HHA44" s="12"/>
      <c r="HHB44" s="12"/>
      <c r="HHC44" s="12"/>
      <c r="HHD44" s="12"/>
      <c r="HHE44" s="12"/>
      <c r="HHF44" s="12"/>
      <c r="HHG44" s="12"/>
      <c r="HHH44" s="12"/>
      <c r="HHI44" s="12"/>
      <c r="HHJ44" s="12"/>
      <c r="HHK44" s="12"/>
      <c r="HHL44" s="12"/>
      <c r="HHM44" s="12"/>
      <c r="HHN44" s="12"/>
      <c r="HHO44" s="12"/>
      <c r="HHP44" s="12"/>
      <c r="HHQ44" s="12"/>
      <c r="HHR44" s="12"/>
      <c r="HHS44" s="12"/>
      <c r="HHT44" s="12"/>
      <c r="HHU44" s="12"/>
      <c r="HHV44" s="12"/>
      <c r="HHW44" s="12"/>
      <c r="HHX44" s="12"/>
      <c r="HHY44" s="12"/>
      <c r="HHZ44" s="12"/>
      <c r="HIA44" s="12"/>
      <c r="HIB44" s="12"/>
      <c r="HIC44" s="12"/>
      <c r="HID44" s="12"/>
      <c r="HIE44" s="12"/>
      <c r="HIF44" s="12"/>
      <c r="HIG44" s="12"/>
      <c r="HIH44" s="12"/>
      <c r="HII44" s="12"/>
      <c r="HIJ44" s="12"/>
      <c r="HIK44" s="12"/>
      <c r="HIL44" s="12"/>
      <c r="HIM44" s="12"/>
      <c r="HIN44" s="12"/>
      <c r="HIO44" s="12"/>
      <c r="HIP44" s="12"/>
      <c r="HIQ44" s="12"/>
      <c r="HIR44" s="12"/>
      <c r="HIS44" s="12"/>
      <c r="HIT44" s="12"/>
      <c r="HIU44" s="12"/>
      <c r="HIV44" s="12"/>
      <c r="HIW44" s="12"/>
      <c r="HIX44" s="12"/>
      <c r="HIY44" s="12"/>
      <c r="HIZ44" s="12"/>
      <c r="HJA44" s="12"/>
      <c r="HJB44" s="12"/>
      <c r="HJC44" s="12"/>
      <c r="HJD44" s="12"/>
      <c r="HJE44" s="12"/>
      <c r="HJF44" s="12"/>
      <c r="HJG44" s="12"/>
      <c r="HJH44" s="12"/>
      <c r="HJI44" s="12"/>
      <c r="HJJ44" s="12"/>
      <c r="HJK44" s="12"/>
      <c r="HJL44" s="12"/>
      <c r="HJM44" s="12"/>
      <c r="HJN44" s="12"/>
      <c r="HJO44" s="12"/>
      <c r="HJP44" s="12"/>
      <c r="HJQ44" s="12"/>
      <c r="HJR44" s="12"/>
      <c r="HJS44" s="12"/>
      <c r="HJT44" s="12"/>
      <c r="HJU44" s="12"/>
      <c r="HJV44" s="12"/>
      <c r="HJW44" s="12"/>
      <c r="HJX44" s="12"/>
      <c r="HJY44" s="12"/>
      <c r="HJZ44" s="12"/>
      <c r="HKA44" s="12"/>
      <c r="HKB44" s="12"/>
      <c r="HKC44" s="12"/>
      <c r="HKD44" s="12"/>
      <c r="HKE44" s="12"/>
      <c r="HKF44" s="12"/>
      <c r="HKG44" s="12"/>
      <c r="HKH44" s="12"/>
      <c r="HKI44" s="12"/>
      <c r="HKJ44" s="12"/>
      <c r="HKK44" s="12"/>
      <c r="HKL44" s="12"/>
      <c r="HKM44" s="12"/>
      <c r="HKN44" s="12"/>
      <c r="HKO44" s="12"/>
      <c r="HKP44" s="12"/>
      <c r="HKQ44" s="12"/>
      <c r="HKR44" s="12"/>
      <c r="HKS44" s="12"/>
      <c r="HKT44" s="12"/>
      <c r="HKU44" s="12"/>
      <c r="HKV44" s="12"/>
      <c r="HKW44" s="12"/>
      <c r="HKX44" s="12"/>
      <c r="HKY44" s="12"/>
      <c r="HKZ44" s="12"/>
      <c r="HLA44" s="12"/>
      <c r="HLB44" s="12"/>
      <c r="HLC44" s="12"/>
      <c r="HLD44" s="12"/>
      <c r="HLE44" s="12"/>
      <c r="HLF44" s="12"/>
      <c r="HLG44" s="12"/>
      <c r="HLH44" s="12"/>
      <c r="HLI44" s="12"/>
      <c r="HLJ44" s="12"/>
      <c r="HLK44" s="12"/>
      <c r="HLL44" s="12"/>
      <c r="HLM44" s="12"/>
      <c r="HLN44" s="12"/>
      <c r="HLO44" s="12"/>
      <c r="HLP44" s="12"/>
      <c r="HLQ44" s="12"/>
      <c r="HLR44" s="12"/>
      <c r="HLS44" s="12"/>
      <c r="HLT44" s="12"/>
      <c r="HLU44" s="12"/>
      <c r="HLV44" s="12"/>
      <c r="HLW44" s="12"/>
      <c r="HLX44" s="12"/>
      <c r="HLY44" s="12"/>
      <c r="HLZ44" s="12"/>
      <c r="HMA44" s="12"/>
      <c r="HMB44" s="12"/>
      <c r="HMC44" s="12"/>
      <c r="HMD44" s="12"/>
      <c r="HME44" s="12"/>
      <c r="HMF44" s="12"/>
      <c r="HMG44" s="12"/>
      <c r="HMH44" s="12"/>
      <c r="HMI44" s="12"/>
      <c r="HMJ44" s="12"/>
      <c r="HMK44" s="12"/>
      <c r="HML44" s="12"/>
      <c r="HMM44" s="12"/>
      <c r="HMN44" s="12"/>
      <c r="HMO44" s="12"/>
      <c r="HMP44" s="12"/>
      <c r="HMQ44" s="12"/>
      <c r="HMR44" s="12"/>
      <c r="HMS44" s="12"/>
      <c r="HMT44" s="12"/>
      <c r="HMU44" s="12"/>
      <c r="HMV44" s="12"/>
      <c r="HMW44" s="12"/>
      <c r="HMX44" s="12"/>
      <c r="HMY44" s="12"/>
      <c r="HMZ44" s="12"/>
      <c r="HNA44" s="12"/>
      <c r="HNB44" s="12"/>
      <c r="HNC44" s="12"/>
      <c r="HND44" s="12"/>
      <c r="HNE44" s="12"/>
      <c r="HNF44" s="12"/>
      <c r="HNG44" s="12"/>
      <c r="HNH44" s="12"/>
      <c r="HNI44" s="12"/>
      <c r="HNJ44" s="12"/>
      <c r="HNK44" s="12"/>
      <c r="HNL44" s="12"/>
      <c r="HNM44" s="12"/>
      <c r="HNN44" s="12"/>
      <c r="HNO44" s="12"/>
      <c r="HNP44" s="12"/>
      <c r="HNQ44" s="12"/>
      <c r="HNR44" s="12"/>
      <c r="HNS44" s="12"/>
      <c r="HNT44" s="12"/>
      <c r="HNU44" s="12"/>
      <c r="HNV44" s="12"/>
      <c r="HNW44" s="12"/>
      <c r="HNX44" s="12"/>
      <c r="HNY44" s="12"/>
      <c r="HNZ44" s="12"/>
      <c r="HOA44" s="12"/>
      <c r="HOB44" s="12"/>
      <c r="HOC44" s="12"/>
      <c r="HOD44" s="12"/>
      <c r="HOE44" s="12"/>
      <c r="HOF44" s="12"/>
      <c r="HOG44" s="12"/>
      <c r="HOH44" s="12"/>
      <c r="HOI44" s="12"/>
      <c r="HOJ44" s="12"/>
      <c r="HOK44" s="12"/>
      <c r="HOL44" s="12"/>
      <c r="HOM44" s="12"/>
      <c r="HON44" s="12"/>
      <c r="HOO44" s="12"/>
      <c r="HOP44" s="12"/>
      <c r="HOQ44" s="12"/>
      <c r="HOR44" s="12"/>
      <c r="HOS44" s="12"/>
      <c r="HOT44" s="12"/>
      <c r="HOU44" s="12"/>
      <c r="HOV44" s="12"/>
      <c r="HOW44" s="12"/>
      <c r="HOX44" s="12"/>
      <c r="HOY44" s="12"/>
      <c r="HOZ44" s="12"/>
      <c r="HPA44" s="12"/>
      <c r="HPB44" s="12"/>
      <c r="HPC44" s="12"/>
      <c r="HPD44" s="12"/>
      <c r="HPE44" s="12"/>
      <c r="HPF44" s="12"/>
      <c r="HPG44" s="12"/>
      <c r="HPH44" s="12"/>
      <c r="HPI44" s="12"/>
      <c r="HPJ44" s="12"/>
      <c r="HPK44" s="12"/>
      <c r="HPL44" s="12"/>
      <c r="HPM44" s="12"/>
      <c r="HPN44" s="12"/>
      <c r="HPO44" s="12"/>
      <c r="HPP44" s="12"/>
      <c r="HPQ44" s="12"/>
      <c r="HPR44" s="12"/>
      <c r="HPS44" s="12"/>
      <c r="HPT44" s="12"/>
      <c r="HPU44" s="12"/>
      <c r="HPV44" s="12"/>
      <c r="HPW44" s="12"/>
      <c r="HPX44" s="12"/>
      <c r="HPY44" s="12"/>
      <c r="HPZ44" s="12"/>
      <c r="HQA44" s="12"/>
      <c r="HQB44" s="12"/>
      <c r="HQC44" s="12"/>
      <c r="HQD44" s="12"/>
      <c r="HQE44" s="12"/>
      <c r="HQF44" s="12"/>
      <c r="HQG44" s="12"/>
      <c r="HQH44" s="12"/>
      <c r="HQI44" s="12"/>
      <c r="HQJ44" s="12"/>
      <c r="HQK44" s="12"/>
      <c r="HQL44" s="12"/>
      <c r="HQM44" s="12"/>
      <c r="HQN44" s="12"/>
      <c r="HQO44" s="12"/>
      <c r="HQP44" s="12"/>
      <c r="HQQ44" s="12"/>
      <c r="HQR44" s="12"/>
      <c r="HQS44" s="12"/>
      <c r="HQT44" s="12"/>
      <c r="HQU44" s="12"/>
      <c r="HQV44" s="12"/>
      <c r="HQW44" s="12"/>
      <c r="HQX44" s="12"/>
      <c r="HQY44" s="12"/>
      <c r="HQZ44" s="12"/>
      <c r="HRA44" s="12"/>
      <c r="HRB44" s="12"/>
      <c r="HRC44" s="12"/>
      <c r="HRD44" s="12"/>
      <c r="HRE44" s="12"/>
      <c r="HRF44" s="12"/>
      <c r="HRG44" s="12"/>
      <c r="HRH44" s="12"/>
      <c r="HRI44" s="12"/>
      <c r="HRJ44" s="12"/>
      <c r="HRK44" s="12"/>
      <c r="HRL44" s="12"/>
      <c r="HRM44" s="12"/>
      <c r="HRN44" s="12"/>
      <c r="HRO44" s="12"/>
      <c r="HRP44" s="12"/>
      <c r="HRQ44" s="12"/>
      <c r="HRR44" s="12"/>
      <c r="HRS44" s="12"/>
      <c r="HRT44" s="12"/>
      <c r="HRU44" s="12"/>
      <c r="HRV44" s="12"/>
      <c r="HRW44" s="12"/>
      <c r="HRX44" s="12"/>
      <c r="HRY44" s="12"/>
      <c r="HRZ44" s="12"/>
      <c r="HSA44" s="12"/>
      <c r="HSB44" s="12"/>
      <c r="HSC44" s="12"/>
      <c r="HSD44" s="12"/>
      <c r="HSE44" s="12"/>
      <c r="HSF44" s="12"/>
      <c r="HSG44" s="12"/>
      <c r="HSH44" s="12"/>
      <c r="HSI44" s="12"/>
      <c r="HSJ44" s="12"/>
      <c r="HSK44" s="12"/>
      <c r="HSL44" s="12"/>
      <c r="HSM44" s="12"/>
      <c r="HSN44" s="12"/>
      <c r="HSO44" s="12"/>
      <c r="HSP44" s="12"/>
      <c r="HSQ44" s="12"/>
      <c r="HSR44" s="12"/>
      <c r="HSS44" s="12"/>
      <c r="HST44" s="12"/>
      <c r="HSU44" s="12"/>
      <c r="HSV44" s="12"/>
      <c r="HSW44" s="12"/>
      <c r="HSX44" s="12"/>
      <c r="HSY44" s="12"/>
      <c r="HSZ44" s="12"/>
      <c r="HTA44" s="12"/>
      <c r="HTB44" s="12"/>
      <c r="HTC44" s="12"/>
      <c r="HTD44" s="12"/>
      <c r="HTE44" s="12"/>
      <c r="HTF44" s="12"/>
      <c r="HTG44" s="12"/>
      <c r="HTH44" s="12"/>
      <c r="HTI44" s="12"/>
      <c r="HTJ44" s="12"/>
      <c r="HTK44" s="12"/>
      <c r="HTL44" s="12"/>
      <c r="HTM44" s="12"/>
      <c r="HTN44" s="12"/>
      <c r="HTO44" s="12"/>
      <c r="HTP44" s="12"/>
      <c r="HTQ44" s="12"/>
      <c r="HTR44" s="12"/>
      <c r="HTS44" s="12"/>
      <c r="HTT44" s="12"/>
      <c r="HTU44" s="12"/>
      <c r="HTV44" s="12"/>
      <c r="HTW44" s="12"/>
      <c r="HTX44" s="12"/>
      <c r="HTY44" s="12"/>
      <c r="HTZ44" s="12"/>
      <c r="HUA44" s="12"/>
      <c r="HUB44" s="12"/>
      <c r="HUC44" s="12"/>
      <c r="HUD44" s="12"/>
      <c r="HUE44" s="12"/>
      <c r="HUF44" s="12"/>
      <c r="HUG44" s="12"/>
      <c r="HUH44" s="12"/>
      <c r="HUI44" s="12"/>
      <c r="HUJ44" s="12"/>
      <c r="HUK44" s="12"/>
      <c r="HUL44" s="12"/>
      <c r="HUM44" s="12"/>
      <c r="HUN44" s="12"/>
      <c r="HUO44" s="12"/>
      <c r="HUP44" s="12"/>
      <c r="HUQ44" s="12"/>
      <c r="HUR44" s="12"/>
      <c r="HUS44" s="12"/>
      <c r="HUT44" s="12"/>
      <c r="HUU44" s="12"/>
      <c r="HUV44" s="12"/>
      <c r="HUW44" s="12"/>
      <c r="HUX44" s="12"/>
      <c r="HUY44" s="12"/>
      <c r="HUZ44" s="12"/>
      <c r="HVA44" s="12"/>
      <c r="HVB44" s="12"/>
      <c r="HVC44" s="12"/>
      <c r="HVD44" s="12"/>
      <c r="HVE44" s="12"/>
      <c r="HVF44" s="12"/>
      <c r="HVG44" s="12"/>
      <c r="HVH44" s="12"/>
      <c r="HVI44" s="12"/>
      <c r="HVJ44" s="12"/>
      <c r="HVK44" s="12"/>
      <c r="HVL44" s="12"/>
      <c r="HVM44" s="12"/>
      <c r="HVN44" s="12"/>
      <c r="HVO44" s="12"/>
      <c r="HVP44" s="12"/>
      <c r="HVQ44" s="12"/>
      <c r="HVR44" s="12"/>
      <c r="HVS44" s="12"/>
      <c r="HVT44" s="12"/>
      <c r="HVU44" s="12"/>
      <c r="HVV44" s="12"/>
      <c r="HVW44" s="12"/>
      <c r="HVX44" s="12"/>
      <c r="HVY44" s="12"/>
      <c r="HVZ44" s="12"/>
      <c r="HWA44" s="12"/>
      <c r="HWB44" s="12"/>
      <c r="HWC44" s="12"/>
      <c r="HWD44" s="12"/>
      <c r="HWE44" s="12"/>
      <c r="HWF44" s="12"/>
      <c r="HWG44" s="12"/>
      <c r="HWH44" s="12"/>
      <c r="HWI44" s="12"/>
      <c r="HWJ44" s="12"/>
      <c r="HWK44" s="12"/>
      <c r="HWL44" s="12"/>
      <c r="HWM44" s="12"/>
      <c r="HWN44" s="12"/>
      <c r="HWO44" s="12"/>
      <c r="HWP44" s="12"/>
      <c r="HWQ44" s="12"/>
      <c r="HWR44" s="12"/>
      <c r="HWS44" s="12"/>
      <c r="HWT44" s="12"/>
      <c r="HWU44" s="12"/>
      <c r="HWV44" s="12"/>
      <c r="HWW44" s="12"/>
      <c r="HWX44" s="12"/>
      <c r="HWY44" s="12"/>
      <c r="HWZ44" s="12"/>
      <c r="HXA44" s="12"/>
      <c r="HXB44" s="12"/>
      <c r="HXC44" s="12"/>
      <c r="HXD44" s="12"/>
      <c r="HXE44" s="12"/>
      <c r="HXF44" s="12"/>
      <c r="HXG44" s="12"/>
      <c r="HXH44" s="12"/>
      <c r="HXI44" s="12"/>
      <c r="HXJ44" s="12"/>
      <c r="HXK44" s="12"/>
      <c r="HXL44" s="12"/>
      <c r="HXM44" s="12"/>
      <c r="HXN44" s="12"/>
      <c r="HXO44" s="12"/>
      <c r="HXP44" s="12"/>
      <c r="HXQ44" s="12"/>
      <c r="HXR44" s="12"/>
      <c r="HXS44" s="12"/>
      <c r="HXT44" s="12"/>
      <c r="HXU44" s="12"/>
      <c r="HXV44" s="12"/>
      <c r="HXW44" s="12"/>
      <c r="HXX44" s="12"/>
      <c r="HXY44" s="12"/>
      <c r="HXZ44" s="12"/>
      <c r="HYA44" s="12"/>
      <c r="HYB44" s="12"/>
      <c r="HYC44" s="12"/>
      <c r="HYD44" s="12"/>
      <c r="HYE44" s="12"/>
      <c r="HYF44" s="12"/>
      <c r="HYG44" s="12"/>
      <c r="HYH44" s="12"/>
      <c r="HYI44" s="12"/>
      <c r="HYJ44" s="12"/>
      <c r="HYK44" s="12"/>
      <c r="HYL44" s="12"/>
      <c r="HYM44" s="12"/>
      <c r="HYN44" s="12"/>
      <c r="HYO44" s="12"/>
      <c r="HYP44" s="12"/>
      <c r="HYQ44" s="12"/>
      <c r="HYR44" s="12"/>
      <c r="HYS44" s="12"/>
      <c r="HYT44" s="12"/>
      <c r="HYU44" s="12"/>
      <c r="HYV44" s="12"/>
      <c r="HYW44" s="12"/>
      <c r="HYX44" s="12"/>
      <c r="HYY44" s="12"/>
      <c r="HYZ44" s="12"/>
      <c r="HZA44" s="12"/>
      <c r="HZB44" s="12"/>
      <c r="HZC44" s="12"/>
      <c r="HZD44" s="12"/>
      <c r="HZE44" s="12"/>
      <c r="HZF44" s="12"/>
      <c r="HZG44" s="12"/>
      <c r="HZH44" s="12"/>
      <c r="HZI44" s="12"/>
      <c r="HZJ44" s="12"/>
      <c r="HZK44" s="12"/>
      <c r="HZL44" s="12"/>
      <c r="HZM44" s="12"/>
      <c r="HZN44" s="12"/>
      <c r="HZO44" s="12"/>
      <c r="HZP44" s="12"/>
      <c r="HZQ44" s="12"/>
      <c r="HZR44" s="12"/>
      <c r="HZS44" s="12"/>
      <c r="HZT44" s="12"/>
      <c r="HZU44" s="12"/>
      <c r="HZV44" s="12"/>
      <c r="HZW44" s="12"/>
      <c r="HZX44" s="12"/>
      <c r="HZY44" s="12"/>
      <c r="HZZ44" s="12"/>
      <c r="IAA44" s="12"/>
      <c r="IAB44" s="12"/>
      <c r="IAC44" s="12"/>
      <c r="IAD44" s="12"/>
      <c r="IAE44" s="12"/>
      <c r="IAF44" s="12"/>
      <c r="IAG44" s="12"/>
      <c r="IAH44" s="12"/>
      <c r="IAI44" s="12"/>
      <c r="IAJ44" s="12"/>
      <c r="IAK44" s="12"/>
      <c r="IAL44" s="12"/>
      <c r="IAM44" s="12"/>
      <c r="IAN44" s="12"/>
      <c r="IAO44" s="12"/>
      <c r="IAP44" s="12"/>
      <c r="IAQ44" s="12"/>
      <c r="IAR44" s="12"/>
      <c r="IAS44" s="12"/>
      <c r="IAT44" s="12"/>
      <c r="IAU44" s="12"/>
      <c r="IAV44" s="12"/>
      <c r="IAW44" s="12"/>
      <c r="IAX44" s="12"/>
      <c r="IAY44" s="12"/>
      <c r="IAZ44" s="12"/>
      <c r="IBA44" s="12"/>
      <c r="IBB44" s="12"/>
      <c r="IBC44" s="12"/>
      <c r="IBD44" s="12"/>
      <c r="IBE44" s="12"/>
      <c r="IBF44" s="12"/>
      <c r="IBG44" s="12"/>
      <c r="IBH44" s="12"/>
      <c r="IBI44" s="12"/>
      <c r="IBJ44" s="12"/>
      <c r="IBK44" s="12"/>
      <c r="IBL44" s="12"/>
      <c r="IBM44" s="12"/>
      <c r="IBN44" s="12"/>
      <c r="IBO44" s="12"/>
      <c r="IBP44" s="12"/>
      <c r="IBQ44" s="12"/>
      <c r="IBR44" s="12"/>
      <c r="IBS44" s="12"/>
      <c r="IBT44" s="12"/>
      <c r="IBU44" s="12"/>
      <c r="IBV44" s="12"/>
      <c r="IBW44" s="12"/>
      <c r="IBX44" s="12"/>
      <c r="IBY44" s="12"/>
      <c r="IBZ44" s="12"/>
      <c r="ICA44" s="12"/>
      <c r="ICB44" s="12"/>
      <c r="ICC44" s="12"/>
      <c r="ICD44" s="12"/>
      <c r="ICE44" s="12"/>
      <c r="ICF44" s="12"/>
      <c r="ICG44" s="12"/>
      <c r="ICH44" s="12"/>
      <c r="ICI44" s="12"/>
      <c r="ICJ44" s="12"/>
      <c r="ICK44" s="12"/>
      <c r="ICL44" s="12"/>
      <c r="ICM44" s="12"/>
      <c r="ICN44" s="12"/>
      <c r="ICO44" s="12"/>
      <c r="ICP44" s="12"/>
      <c r="ICQ44" s="12"/>
      <c r="ICR44" s="12"/>
      <c r="ICS44" s="12"/>
      <c r="ICT44" s="12"/>
      <c r="ICU44" s="12"/>
      <c r="ICV44" s="12"/>
      <c r="ICW44" s="12"/>
      <c r="ICX44" s="12"/>
      <c r="ICY44" s="12"/>
      <c r="ICZ44" s="12"/>
      <c r="IDA44" s="12"/>
      <c r="IDB44" s="12"/>
      <c r="IDC44" s="12"/>
      <c r="IDD44" s="12"/>
      <c r="IDE44" s="12"/>
      <c r="IDF44" s="12"/>
      <c r="IDG44" s="12"/>
      <c r="IDH44" s="12"/>
      <c r="IDI44" s="12"/>
      <c r="IDJ44" s="12"/>
      <c r="IDK44" s="12"/>
      <c r="IDL44" s="12"/>
      <c r="IDM44" s="12"/>
      <c r="IDN44" s="12"/>
      <c r="IDO44" s="12"/>
      <c r="IDP44" s="12"/>
      <c r="IDQ44" s="12"/>
      <c r="IDR44" s="12"/>
      <c r="IDS44" s="12"/>
      <c r="IDT44" s="12"/>
      <c r="IDU44" s="12"/>
      <c r="IDV44" s="12"/>
      <c r="IDW44" s="12"/>
      <c r="IDX44" s="12"/>
      <c r="IDY44" s="12"/>
      <c r="IDZ44" s="12"/>
      <c r="IEA44" s="12"/>
      <c r="IEB44" s="12"/>
      <c r="IEC44" s="12"/>
      <c r="IED44" s="12"/>
      <c r="IEE44" s="12"/>
      <c r="IEF44" s="12"/>
      <c r="IEG44" s="12"/>
      <c r="IEH44" s="12"/>
      <c r="IEI44" s="12"/>
      <c r="IEJ44" s="12"/>
      <c r="IEK44" s="12"/>
      <c r="IEL44" s="12"/>
      <c r="IEM44" s="12"/>
      <c r="IEN44" s="12"/>
      <c r="IEO44" s="12"/>
      <c r="IEP44" s="12"/>
      <c r="IEQ44" s="12"/>
      <c r="IER44" s="12"/>
      <c r="IES44" s="12"/>
      <c r="IET44" s="12"/>
      <c r="IEU44" s="12"/>
      <c r="IEV44" s="12"/>
      <c r="IEW44" s="12"/>
      <c r="IEX44" s="12"/>
      <c r="IEY44" s="12"/>
      <c r="IEZ44" s="12"/>
      <c r="IFA44" s="12"/>
      <c r="IFB44" s="12"/>
      <c r="IFC44" s="12"/>
      <c r="IFD44" s="12"/>
      <c r="IFE44" s="12"/>
      <c r="IFF44" s="12"/>
      <c r="IFG44" s="12"/>
      <c r="IFH44" s="12"/>
      <c r="IFI44" s="12"/>
      <c r="IFJ44" s="12"/>
      <c r="IFK44" s="12"/>
      <c r="IFL44" s="12"/>
      <c r="IFM44" s="12"/>
      <c r="IFN44" s="12"/>
      <c r="IFO44" s="12"/>
      <c r="IFP44" s="12"/>
      <c r="IFQ44" s="12"/>
      <c r="IFR44" s="12"/>
      <c r="IFS44" s="12"/>
      <c r="IFT44" s="12"/>
      <c r="IFU44" s="12"/>
      <c r="IFV44" s="12"/>
      <c r="IFW44" s="12"/>
      <c r="IFX44" s="12"/>
      <c r="IFY44" s="12"/>
      <c r="IFZ44" s="12"/>
      <c r="IGA44" s="12"/>
      <c r="IGB44" s="12"/>
      <c r="IGC44" s="12"/>
      <c r="IGD44" s="12"/>
      <c r="IGE44" s="12"/>
      <c r="IGF44" s="12"/>
      <c r="IGG44" s="12"/>
      <c r="IGH44" s="12"/>
      <c r="IGI44" s="12"/>
      <c r="IGJ44" s="12"/>
      <c r="IGK44" s="12"/>
      <c r="IGL44" s="12"/>
      <c r="IGM44" s="12"/>
      <c r="IGN44" s="12"/>
      <c r="IGO44" s="12"/>
      <c r="IGP44" s="12"/>
      <c r="IGQ44" s="12"/>
      <c r="IGR44" s="12"/>
      <c r="IGS44" s="12"/>
      <c r="IGT44" s="12"/>
      <c r="IGU44" s="12"/>
      <c r="IGV44" s="12"/>
      <c r="IGW44" s="12"/>
      <c r="IGX44" s="12"/>
      <c r="IGY44" s="12"/>
      <c r="IGZ44" s="12"/>
      <c r="IHA44" s="12"/>
      <c r="IHB44" s="12"/>
      <c r="IHC44" s="12"/>
      <c r="IHD44" s="12"/>
      <c r="IHE44" s="12"/>
      <c r="IHF44" s="12"/>
      <c r="IHG44" s="12"/>
      <c r="IHH44" s="12"/>
      <c r="IHI44" s="12"/>
      <c r="IHJ44" s="12"/>
      <c r="IHK44" s="12"/>
      <c r="IHL44" s="12"/>
      <c r="IHM44" s="12"/>
      <c r="IHN44" s="12"/>
      <c r="IHO44" s="12"/>
      <c r="IHP44" s="12"/>
      <c r="IHQ44" s="12"/>
      <c r="IHR44" s="12"/>
      <c r="IHS44" s="12"/>
      <c r="IHT44" s="12"/>
      <c r="IHU44" s="12"/>
      <c r="IHV44" s="12"/>
      <c r="IHW44" s="12"/>
      <c r="IHX44" s="12"/>
      <c r="IHY44" s="12"/>
      <c r="IHZ44" s="12"/>
      <c r="IIA44" s="12"/>
      <c r="IIB44" s="12"/>
      <c r="IIC44" s="12"/>
      <c r="IID44" s="12"/>
      <c r="IIE44" s="12"/>
      <c r="IIF44" s="12"/>
      <c r="IIG44" s="12"/>
      <c r="IIH44" s="12"/>
      <c r="III44" s="12"/>
      <c r="IIJ44" s="12"/>
      <c r="IIK44" s="12"/>
      <c r="IIL44" s="12"/>
      <c r="IIM44" s="12"/>
      <c r="IIN44" s="12"/>
      <c r="IIO44" s="12"/>
      <c r="IIP44" s="12"/>
      <c r="IIQ44" s="12"/>
      <c r="IIR44" s="12"/>
      <c r="IIS44" s="12"/>
      <c r="IIT44" s="12"/>
      <c r="IIU44" s="12"/>
      <c r="IIV44" s="12"/>
      <c r="IIW44" s="12"/>
      <c r="IIX44" s="12"/>
      <c r="IIY44" s="12"/>
      <c r="IIZ44" s="12"/>
      <c r="IJA44" s="12"/>
      <c r="IJB44" s="12"/>
      <c r="IJC44" s="12"/>
      <c r="IJD44" s="12"/>
      <c r="IJE44" s="12"/>
      <c r="IJF44" s="12"/>
      <c r="IJG44" s="12"/>
      <c r="IJH44" s="12"/>
      <c r="IJI44" s="12"/>
      <c r="IJJ44" s="12"/>
      <c r="IJK44" s="12"/>
      <c r="IJL44" s="12"/>
      <c r="IJM44" s="12"/>
      <c r="IJN44" s="12"/>
      <c r="IJO44" s="12"/>
      <c r="IJP44" s="12"/>
      <c r="IJQ44" s="12"/>
      <c r="IJR44" s="12"/>
      <c r="IJS44" s="12"/>
      <c r="IJT44" s="12"/>
      <c r="IJU44" s="12"/>
      <c r="IJV44" s="12"/>
      <c r="IJW44" s="12"/>
      <c r="IJX44" s="12"/>
      <c r="IJY44" s="12"/>
      <c r="IJZ44" s="12"/>
      <c r="IKA44" s="12"/>
      <c r="IKB44" s="12"/>
      <c r="IKC44" s="12"/>
      <c r="IKD44" s="12"/>
      <c r="IKE44" s="12"/>
      <c r="IKF44" s="12"/>
      <c r="IKG44" s="12"/>
      <c r="IKH44" s="12"/>
      <c r="IKI44" s="12"/>
      <c r="IKJ44" s="12"/>
      <c r="IKK44" s="12"/>
      <c r="IKL44" s="12"/>
      <c r="IKM44" s="12"/>
      <c r="IKN44" s="12"/>
      <c r="IKO44" s="12"/>
      <c r="IKP44" s="12"/>
      <c r="IKQ44" s="12"/>
      <c r="IKR44" s="12"/>
      <c r="IKS44" s="12"/>
      <c r="IKT44" s="12"/>
      <c r="IKU44" s="12"/>
      <c r="IKV44" s="12"/>
      <c r="IKW44" s="12"/>
      <c r="IKX44" s="12"/>
      <c r="IKY44" s="12"/>
      <c r="IKZ44" s="12"/>
      <c r="ILA44" s="12"/>
      <c r="ILB44" s="12"/>
      <c r="ILC44" s="12"/>
      <c r="ILD44" s="12"/>
      <c r="ILE44" s="12"/>
      <c r="ILF44" s="12"/>
      <c r="ILG44" s="12"/>
      <c r="ILH44" s="12"/>
      <c r="ILI44" s="12"/>
      <c r="ILJ44" s="12"/>
      <c r="ILK44" s="12"/>
      <c r="ILL44" s="12"/>
      <c r="ILM44" s="12"/>
      <c r="ILN44" s="12"/>
      <c r="ILO44" s="12"/>
      <c r="ILP44" s="12"/>
      <c r="ILQ44" s="12"/>
      <c r="ILR44" s="12"/>
      <c r="ILS44" s="12"/>
      <c r="ILT44" s="12"/>
      <c r="ILU44" s="12"/>
      <c r="ILV44" s="12"/>
      <c r="ILW44" s="12"/>
      <c r="ILX44" s="12"/>
      <c r="ILY44" s="12"/>
      <c r="ILZ44" s="12"/>
      <c r="IMA44" s="12"/>
      <c r="IMB44" s="12"/>
      <c r="IMC44" s="12"/>
      <c r="IMD44" s="12"/>
      <c r="IME44" s="12"/>
      <c r="IMF44" s="12"/>
      <c r="IMG44" s="12"/>
      <c r="IMH44" s="12"/>
      <c r="IMI44" s="12"/>
      <c r="IMJ44" s="12"/>
      <c r="IMK44" s="12"/>
      <c r="IML44" s="12"/>
      <c r="IMM44" s="12"/>
      <c r="IMN44" s="12"/>
      <c r="IMO44" s="12"/>
      <c r="IMP44" s="12"/>
      <c r="IMQ44" s="12"/>
      <c r="IMR44" s="12"/>
      <c r="IMS44" s="12"/>
      <c r="IMT44" s="12"/>
      <c r="IMU44" s="12"/>
      <c r="IMV44" s="12"/>
      <c r="IMW44" s="12"/>
      <c r="IMX44" s="12"/>
      <c r="IMY44" s="12"/>
      <c r="IMZ44" s="12"/>
      <c r="INA44" s="12"/>
      <c r="INB44" s="12"/>
      <c r="INC44" s="12"/>
      <c r="IND44" s="12"/>
      <c r="INE44" s="12"/>
      <c r="INF44" s="12"/>
      <c r="ING44" s="12"/>
      <c r="INH44" s="12"/>
      <c r="INI44" s="12"/>
      <c r="INJ44" s="12"/>
      <c r="INK44" s="12"/>
      <c r="INL44" s="12"/>
      <c r="INM44" s="12"/>
      <c r="INN44" s="12"/>
      <c r="INO44" s="12"/>
      <c r="INP44" s="12"/>
      <c r="INQ44" s="12"/>
      <c r="INR44" s="12"/>
      <c r="INS44" s="12"/>
      <c r="INT44" s="12"/>
      <c r="INU44" s="12"/>
      <c r="INV44" s="12"/>
      <c r="INW44" s="12"/>
      <c r="INX44" s="12"/>
      <c r="INY44" s="12"/>
      <c r="INZ44" s="12"/>
      <c r="IOA44" s="12"/>
      <c r="IOB44" s="12"/>
      <c r="IOC44" s="12"/>
      <c r="IOD44" s="12"/>
      <c r="IOE44" s="12"/>
      <c r="IOF44" s="12"/>
      <c r="IOG44" s="12"/>
      <c r="IOH44" s="12"/>
      <c r="IOI44" s="12"/>
      <c r="IOJ44" s="12"/>
      <c r="IOK44" s="12"/>
      <c r="IOL44" s="12"/>
      <c r="IOM44" s="12"/>
      <c r="ION44" s="12"/>
      <c r="IOO44" s="12"/>
      <c r="IOP44" s="12"/>
      <c r="IOQ44" s="12"/>
      <c r="IOR44" s="12"/>
      <c r="IOS44" s="12"/>
      <c r="IOT44" s="12"/>
      <c r="IOU44" s="12"/>
      <c r="IOV44" s="12"/>
      <c r="IOW44" s="12"/>
      <c r="IOX44" s="12"/>
      <c r="IOY44" s="12"/>
      <c r="IOZ44" s="12"/>
      <c r="IPA44" s="12"/>
      <c r="IPB44" s="12"/>
      <c r="IPC44" s="12"/>
      <c r="IPD44" s="12"/>
      <c r="IPE44" s="12"/>
      <c r="IPF44" s="12"/>
      <c r="IPG44" s="12"/>
      <c r="IPH44" s="12"/>
      <c r="IPI44" s="12"/>
      <c r="IPJ44" s="12"/>
      <c r="IPK44" s="12"/>
      <c r="IPL44" s="12"/>
      <c r="IPM44" s="12"/>
      <c r="IPN44" s="12"/>
      <c r="IPO44" s="12"/>
      <c r="IPP44" s="12"/>
      <c r="IPQ44" s="12"/>
      <c r="IPR44" s="12"/>
      <c r="IPS44" s="12"/>
      <c r="IPT44" s="12"/>
      <c r="IPU44" s="12"/>
      <c r="IPV44" s="12"/>
      <c r="IPW44" s="12"/>
      <c r="IPX44" s="12"/>
      <c r="IPY44" s="12"/>
      <c r="IPZ44" s="12"/>
      <c r="IQA44" s="12"/>
      <c r="IQB44" s="12"/>
      <c r="IQC44" s="12"/>
      <c r="IQD44" s="12"/>
      <c r="IQE44" s="12"/>
      <c r="IQF44" s="12"/>
      <c r="IQG44" s="12"/>
      <c r="IQH44" s="12"/>
      <c r="IQI44" s="12"/>
      <c r="IQJ44" s="12"/>
      <c r="IQK44" s="12"/>
      <c r="IQL44" s="12"/>
      <c r="IQM44" s="12"/>
      <c r="IQN44" s="12"/>
      <c r="IQO44" s="12"/>
      <c r="IQP44" s="12"/>
      <c r="IQQ44" s="12"/>
      <c r="IQR44" s="12"/>
      <c r="IQS44" s="12"/>
      <c r="IQT44" s="12"/>
      <c r="IQU44" s="12"/>
      <c r="IQV44" s="12"/>
      <c r="IQW44" s="12"/>
      <c r="IQX44" s="12"/>
      <c r="IQY44" s="12"/>
      <c r="IQZ44" s="12"/>
      <c r="IRA44" s="12"/>
      <c r="IRB44" s="12"/>
      <c r="IRC44" s="12"/>
      <c r="IRD44" s="12"/>
      <c r="IRE44" s="12"/>
      <c r="IRF44" s="12"/>
      <c r="IRG44" s="12"/>
      <c r="IRH44" s="12"/>
      <c r="IRI44" s="12"/>
      <c r="IRJ44" s="12"/>
      <c r="IRK44" s="12"/>
      <c r="IRL44" s="12"/>
      <c r="IRM44" s="12"/>
      <c r="IRN44" s="12"/>
      <c r="IRO44" s="12"/>
      <c r="IRP44" s="12"/>
      <c r="IRQ44" s="12"/>
      <c r="IRR44" s="12"/>
      <c r="IRS44" s="12"/>
      <c r="IRT44" s="12"/>
      <c r="IRU44" s="12"/>
      <c r="IRV44" s="12"/>
      <c r="IRW44" s="12"/>
      <c r="IRX44" s="12"/>
      <c r="IRY44" s="12"/>
      <c r="IRZ44" s="12"/>
      <c r="ISA44" s="12"/>
      <c r="ISB44" s="12"/>
      <c r="ISC44" s="12"/>
      <c r="ISD44" s="12"/>
      <c r="ISE44" s="12"/>
      <c r="ISF44" s="12"/>
      <c r="ISG44" s="12"/>
      <c r="ISH44" s="12"/>
      <c r="ISI44" s="12"/>
      <c r="ISJ44" s="12"/>
      <c r="ISK44" s="12"/>
      <c r="ISL44" s="12"/>
      <c r="ISM44" s="12"/>
      <c r="ISN44" s="12"/>
      <c r="ISO44" s="12"/>
      <c r="ISP44" s="12"/>
      <c r="ISQ44" s="12"/>
      <c r="ISR44" s="12"/>
      <c r="ISS44" s="12"/>
      <c r="IST44" s="12"/>
      <c r="ISU44" s="12"/>
      <c r="ISV44" s="12"/>
      <c r="ISW44" s="12"/>
      <c r="ISX44" s="12"/>
      <c r="ISY44" s="12"/>
      <c r="ISZ44" s="12"/>
      <c r="ITA44" s="12"/>
      <c r="ITB44" s="12"/>
      <c r="ITC44" s="12"/>
      <c r="ITD44" s="12"/>
      <c r="ITE44" s="12"/>
      <c r="ITF44" s="12"/>
      <c r="ITG44" s="12"/>
      <c r="ITH44" s="12"/>
      <c r="ITI44" s="12"/>
      <c r="ITJ44" s="12"/>
      <c r="ITK44" s="12"/>
      <c r="ITL44" s="12"/>
      <c r="ITM44" s="12"/>
      <c r="ITN44" s="12"/>
      <c r="ITO44" s="12"/>
      <c r="ITP44" s="12"/>
      <c r="ITQ44" s="12"/>
      <c r="ITR44" s="12"/>
      <c r="ITS44" s="12"/>
      <c r="ITT44" s="12"/>
      <c r="ITU44" s="12"/>
      <c r="ITV44" s="12"/>
      <c r="ITW44" s="12"/>
      <c r="ITX44" s="12"/>
      <c r="ITY44" s="12"/>
      <c r="ITZ44" s="12"/>
      <c r="IUA44" s="12"/>
      <c r="IUB44" s="12"/>
      <c r="IUC44" s="12"/>
      <c r="IUD44" s="12"/>
      <c r="IUE44" s="12"/>
      <c r="IUF44" s="12"/>
      <c r="IUG44" s="12"/>
      <c r="IUH44" s="12"/>
      <c r="IUI44" s="12"/>
      <c r="IUJ44" s="12"/>
      <c r="IUK44" s="12"/>
      <c r="IUL44" s="12"/>
      <c r="IUM44" s="12"/>
      <c r="IUN44" s="12"/>
      <c r="IUO44" s="12"/>
      <c r="IUP44" s="12"/>
      <c r="IUQ44" s="12"/>
      <c r="IUR44" s="12"/>
      <c r="IUS44" s="12"/>
      <c r="IUT44" s="12"/>
      <c r="IUU44" s="12"/>
      <c r="IUV44" s="12"/>
      <c r="IUW44" s="12"/>
      <c r="IUX44" s="12"/>
      <c r="IUY44" s="12"/>
      <c r="IUZ44" s="12"/>
      <c r="IVA44" s="12"/>
      <c r="IVB44" s="12"/>
      <c r="IVC44" s="12"/>
      <c r="IVD44" s="12"/>
      <c r="IVE44" s="12"/>
      <c r="IVF44" s="12"/>
      <c r="IVG44" s="12"/>
      <c r="IVH44" s="12"/>
      <c r="IVI44" s="12"/>
      <c r="IVJ44" s="12"/>
      <c r="IVK44" s="12"/>
      <c r="IVL44" s="12"/>
      <c r="IVM44" s="12"/>
      <c r="IVN44" s="12"/>
      <c r="IVO44" s="12"/>
      <c r="IVP44" s="12"/>
      <c r="IVQ44" s="12"/>
      <c r="IVR44" s="12"/>
      <c r="IVS44" s="12"/>
      <c r="IVT44" s="12"/>
      <c r="IVU44" s="12"/>
      <c r="IVV44" s="12"/>
      <c r="IVW44" s="12"/>
      <c r="IVX44" s="12"/>
      <c r="IVY44" s="12"/>
      <c r="IVZ44" s="12"/>
      <c r="IWA44" s="12"/>
      <c r="IWB44" s="12"/>
      <c r="IWC44" s="12"/>
      <c r="IWD44" s="12"/>
      <c r="IWE44" s="12"/>
      <c r="IWF44" s="12"/>
      <c r="IWG44" s="12"/>
      <c r="IWH44" s="12"/>
      <c r="IWI44" s="12"/>
      <c r="IWJ44" s="12"/>
      <c r="IWK44" s="12"/>
      <c r="IWL44" s="12"/>
      <c r="IWM44" s="12"/>
      <c r="IWN44" s="12"/>
      <c r="IWO44" s="12"/>
      <c r="IWP44" s="12"/>
      <c r="IWQ44" s="12"/>
      <c r="IWR44" s="12"/>
      <c r="IWS44" s="12"/>
      <c r="IWT44" s="12"/>
      <c r="IWU44" s="12"/>
      <c r="IWV44" s="12"/>
      <c r="IWW44" s="12"/>
      <c r="IWX44" s="12"/>
      <c r="IWY44" s="12"/>
      <c r="IWZ44" s="12"/>
      <c r="IXA44" s="12"/>
      <c r="IXB44" s="12"/>
      <c r="IXC44" s="12"/>
      <c r="IXD44" s="12"/>
      <c r="IXE44" s="12"/>
      <c r="IXF44" s="12"/>
      <c r="IXG44" s="12"/>
      <c r="IXH44" s="12"/>
      <c r="IXI44" s="12"/>
      <c r="IXJ44" s="12"/>
      <c r="IXK44" s="12"/>
      <c r="IXL44" s="12"/>
      <c r="IXM44" s="12"/>
      <c r="IXN44" s="12"/>
      <c r="IXO44" s="12"/>
      <c r="IXP44" s="12"/>
      <c r="IXQ44" s="12"/>
      <c r="IXR44" s="12"/>
      <c r="IXS44" s="12"/>
      <c r="IXT44" s="12"/>
      <c r="IXU44" s="12"/>
      <c r="IXV44" s="12"/>
      <c r="IXW44" s="12"/>
      <c r="IXX44" s="12"/>
      <c r="IXY44" s="12"/>
      <c r="IXZ44" s="12"/>
      <c r="IYA44" s="12"/>
      <c r="IYB44" s="12"/>
      <c r="IYC44" s="12"/>
      <c r="IYD44" s="12"/>
      <c r="IYE44" s="12"/>
      <c r="IYF44" s="12"/>
      <c r="IYG44" s="12"/>
      <c r="IYH44" s="12"/>
      <c r="IYI44" s="12"/>
      <c r="IYJ44" s="12"/>
      <c r="IYK44" s="12"/>
      <c r="IYL44" s="12"/>
      <c r="IYM44" s="12"/>
      <c r="IYN44" s="12"/>
      <c r="IYO44" s="12"/>
      <c r="IYP44" s="12"/>
      <c r="IYQ44" s="12"/>
      <c r="IYR44" s="12"/>
      <c r="IYS44" s="12"/>
      <c r="IYT44" s="12"/>
      <c r="IYU44" s="12"/>
      <c r="IYV44" s="12"/>
      <c r="IYW44" s="12"/>
      <c r="IYX44" s="12"/>
      <c r="IYY44" s="12"/>
      <c r="IYZ44" s="12"/>
      <c r="IZA44" s="12"/>
      <c r="IZB44" s="12"/>
      <c r="IZC44" s="12"/>
      <c r="IZD44" s="12"/>
      <c r="IZE44" s="12"/>
      <c r="IZF44" s="12"/>
      <c r="IZG44" s="12"/>
      <c r="IZH44" s="12"/>
      <c r="IZI44" s="12"/>
      <c r="IZJ44" s="12"/>
      <c r="IZK44" s="12"/>
      <c r="IZL44" s="12"/>
      <c r="IZM44" s="12"/>
      <c r="IZN44" s="12"/>
      <c r="IZO44" s="12"/>
      <c r="IZP44" s="12"/>
      <c r="IZQ44" s="12"/>
      <c r="IZR44" s="12"/>
      <c r="IZS44" s="12"/>
      <c r="IZT44" s="12"/>
      <c r="IZU44" s="12"/>
      <c r="IZV44" s="12"/>
      <c r="IZW44" s="12"/>
      <c r="IZX44" s="12"/>
      <c r="IZY44" s="12"/>
      <c r="IZZ44" s="12"/>
      <c r="JAA44" s="12"/>
      <c r="JAB44" s="12"/>
      <c r="JAC44" s="12"/>
      <c r="JAD44" s="12"/>
      <c r="JAE44" s="12"/>
      <c r="JAF44" s="12"/>
      <c r="JAG44" s="12"/>
      <c r="JAH44" s="12"/>
      <c r="JAI44" s="12"/>
      <c r="JAJ44" s="12"/>
      <c r="JAK44" s="12"/>
      <c r="JAL44" s="12"/>
      <c r="JAM44" s="12"/>
      <c r="JAN44" s="12"/>
      <c r="JAO44" s="12"/>
      <c r="JAP44" s="12"/>
      <c r="JAQ44" s="12"/>
      <c r="JAR44" s="12"/>
      <c r="JAS44" s="12"/>
      <c r="JAT44" s="12"/>
      <c r="JAU44" s="12"/>
      <c r="JAV44" s="12"/>
      <c r="JAW44" s="12"/>
      <c r="JAX44" s="12"/>
      <c r="JAY44" s="12"/>
      <c r="JAZ44" s="12"/>
      <c r="JBA44" s="12"/>
      <c r="JBB44" s="12"/>
      <c r="JBC44" s="12"/>
      <c r="JBD44" s="12"/>
      <c r="JBE44" s="12"/>
      <c r="JBF44" s="12"/>
      <c r="JBG44" s="12"/>
      <c r="JBH44" s="12"/>
      <c r="JBI44" s="12"/>
      <c r="JBJ44" s="12"/>
      <c r="JBK44" s="12"/>
      <c r="JBL44" s="12"/>
      <c r="JBM44" s="12"/>
      <c r="JBN44" s="12"/>
      <c r="JBO44" s="12"/>
      <c r="JBP44" s="12"/>
      <c r="JBQ44" s="12"/>
      <c r="JBR44" s="12"/>
      <c r="JBS44" s="12"/>
      <c r="JBT44" s="12"/>
      <c r="JBU44" s="12"/>
      <c r="JBV44" s="12"/>
      <c r="JBW44" s="12"/>
      <c r="JBX44" s="12"/>
      <c r="JBY44" s="12"/>
      <c r="JBZ44" s="12"/>
      <c r="JCA44" s="12"/>
      <c r="JCB44" s="12"/>
      <c r="JCC44" s="12"/>
      <c r="JCD44" s="12"/>
      <c r="JCE44" s="12"/>
      <c r="JCF44" s="12"/>
      <c r="JCG44" s="12"/>
      <c r="JCH44" s="12"/>
      <c r="JCI44" s="12"/>
      <c r="JCJ44" s="12"/>
      <c r="JCK44" s="12"/>
      <c r="JCL44" s="12"/>
      <c r="JCM44" s="12"/>
      <c r="JCN44" s="12"/>
      <c r="JCO44" s="12"/>
      <c r="JCP44" s="12"/>
      <c r="JCQ44" s="12"/>
      <c r="JCR44" s="12"/>
      <c r="JCS44" s="12"/>
      <c r="JCT44" s="12"/>
      <c r="JCU44" s="12"/>
      <c r="JCV44" s="12"/>
      <c r="JCW44" s="12"/>
      <c r="JCX44" s="12"/>
      <c r="JCY44" s="12"/>
      <c r="JCZ44" s="12"/>
      <c r="JDA44" s="12"/>
      <c r="JDB44" s="12"/>
      <c r="JDC44" s="12"/>
      <c r="JDD44" s="12"/>
      <c r="JDE44" s="12"/>
      <c r="JDF44" s="12"/>
      <c r="JDG44" s="12"/>
      <c r="JDH44" s="12"/>
      <c r="JDI44" s="12"/>
      <c r="JDJ44" s="12"/>
      <c r="JDK44" s="12"/>
      <c r="JDL44" s="12"/>
      <c r="JDM44" s="12"/>
      <c r="JDN44" s="12"/>
      <c r="JDO44" s="12"/>
      <c r="JDP44" s="12"/>
      <c r="JDQ44" s="12"/>
      <c r="JDR44" s="12"/>
      <c r="JDS44" s="12"/>
      <c r="JDT44" s="12"/>
      <c r="JDU44" s="12"/>
      <c r="JDV44" s="12"/>
      <c r="JDW44" s="12"/>
      <c r="JDX44" s="12"/>
      <c r="JDY44" s="12"/>
      <c r="JDZ44" s="12"/>
      <c r="JEA44" s="12"/>
      <c r="JEB44" s="12"/>
      <c r="JEC44" s="12"/>
      <c r="JED44" s="12"/>
      <c r="JEE44" s="12"/>
      <c r="JEF44" s="12"/>
      <c r="JEG44" s="12"/>
      <c r="JEH44" s="12"/>
      <c r="JEI44" s="12"/>
      <c r="JEJ44" s="12"/>
      <c r="JEK44" s="12"/>
      <c r="JEL44" s="12"/>
      <c r="JEM44" s="12"/>
      <c r="JEN44" s="12"/>
      <c r="JEO44" s="12"/>
      <c r="JEP44" s="12"/>
      <c r="JEQ44" s="12"/>
      <c r="JER44" s="12"/>
      <c r="JES44" s="12"/>
      <c r="JET44" s="12"/>
      <c r="JEU44" s="12"/>
      <c r="JEV44" s="12"/>
      <c r="JEW44" s="12"/>
      <c r="JEX44" s="12"/>
      <c r="JEY44" s="12"/>
      <c r="JEZ44" s="12"/>
      <c r="JFA44" s="12"/>
      <c r="JFB44" s="12"/>
      <c r="JFC44" s="12"/>
      <c r="JFD44" s="12"/>
      <c r="JFE44" s="12"/>
      <c r="JFF44" s="12"/>
      <c r="JFG44" s="12"/>
      <c r="JFH44" s="12"/>
      <c r="JFI44" s="12"/>
      <c r="JFJ44" s="12"/>
      <c r="JFK44" s="12"/>
      <c r="JFL44" s="12"/>
      <c r="JFM44" s="12"/>
      <c r="JFN44" s="12"/>
      <c r="JFO44" s="12"/>
      <c r="JFP44" s="12"/>
      <c r="JFQ44" s="12"/>
      <c r="JFR44" s="12"/>
      <c r="JFS44" s="12"/>
      <c r="JFT44" s="12"/>
      <c r="JFU44" s="12"/>
      <c r="JFV44" s="12"/>
      <c r="JFW44" s="12"/>
      <c r="JFX44" s="12"/>
      <c r="JFY44" s="12"/>
      <c r="JFZ44" s="12"/>
      <c r="JGA44" s="12"/>
      <c r="JGB44" s="12"/>
      <c r="JGC44" s="12"/>
      <c r="JGD44" s="12"/>
      <c r="JGE44" s="12"/>
      <c r="JGF44" s="12"/>
      <c r="JGG44" s="12"/>
      <c r="JGH44" s="12"/>
      <c r="JGI44" s="12"/>
      <c r="JGJ44" s="12"/>
      <c r="JGK44" s="12"/>
      <c r="JGL44" s="12"/>
      <c r="JGM44" s="12"/>
      <c r="JGN44" s="12"/>
      <c r="JGO44" s="12"/>
      <c r="JGP44" s="12"/>
      <c r="JGQ44" s="12"/>
      <c r="JGR44" s="12"/>
      <c r="JGS44" s="12"/>
      <c r="JGT44" s="12"/>
      <c r="JGU44" s="12"/>
      <c r="JGV44" s="12"/>
      <c r="JGW44" s="12"/>
      <c r="JGX44" s="12"/>
      <c r="JGY44" s="12"/>
      <c r="JGZ44" s="12"/>
      <c r="JHA44" s="12"/>
      <c r="JHB44" s="12"/>
      <c r="JHC44" s="12"/>
      <c r="JHD44" s="12"/>
      <c r="JHE44" s="12"/>
      <c r="JHF44" s="12"/>
      <c r="JHG44" s="12"/>
      <c r="JHH44" s="12"/>
      <c r="JHI44" s="12"/>
      <c r="JHJ44" s="12"/>
      <c r="JHK44" s="12"/>
      <c r="JHL44" s="12"/>
      <c r="JHM44" s="12"/>
      <c r="JHN44" s="12"/>
      <c r="JHO44" s="12"/>
      <c r="JHP44" s="12"/>
      <c r="JHQ44" s="12"/>
      <c r="JHR44" s="12"/>
      <c r="JHS44" s="12"/>
      <c r="JHT44" s="12"/>
      <c r="JHU44" s="12"/>
      <c r="JHV44" s="12"/>
      <c r="JHW44" s="12"/>
      <c r="JHX44" s="12"/>
      <c r="JHY44" s="12"/>
      <c r="JHZ44" s="12"/>
      <c r="JIA44" s="12"/>
      <c r="JIB44" s="12"/>
      <c r="JIC44" s="12"/>
      <c r="JID44" s="12"/>
      <c r="JIE44" s="12"/>
      <c r="JIF44" s="12"/>
      <c r="JIG44" s="12"/>
      <c r="JIH44" s="12"/>
      <c r="JII44" s="12"/>
      <c r="JIJ44" s="12"/>
      <c r="JIK44" s="12"/>
      <c r="JIL44" s="12"/>
      <c r="JIM44" s="12"/>
      <c r="JIN44" s="12"/>
      <c r="JIO44" s="12"/>
      <c r="JIP44" s="12"/>
      <c r="JIQ44" s="12"/>
      <c r="JIR44" s="12"/>
      <c r="JIS44" s="12"/>
      <c r="JIT44" s="12"/>
      <c r="JIU44" s="12"/>
      <c r="JIV44" s="12"/>
      <c r="JIW44" s="12"/>
      <c r="JIX44" s="12"/>
      <c r="JIY44" s="12"/>
      <c r="JIZ44" s="12"/>
      <c r="JJA44" s="12"/>
      <c r="JJB44" s="12"/>
      <c r="JJC44" s="12"/>
      <c r="JJD44" s="12"/>
      <c r="JJE44" s="12"/>
      <c r="JJF44" s="12"/>
      <c r="JJG44" s="12"/>
      <c r="JJH44" s="12"/>
      <c r="JJI44" s="12"/>
      <c r="JJJ44" s="12"/>
      <c r="JJK44" s="12"/>
      <c r="JJL44" s="12"/>
      <c r="JJM44" s="12"/>
      <c r="JJN44" s="12"/>
      <c r="JJO44" s="12"/>
      <c r="JJP44" s="12"/>
      <c r="JJQ44" s="12"/>
      <c r="JJR44" s="12"/>
      <c r="JJS44" s="12"/>
      <c r="JJT44" s="12"/>
      <c r="JJU44" s="12"/>
      <c r="JJV44" s="12"/>
      <c r="JJW44" s="12"/>
      <c r="JJX44" s="12"/>
      <c r="JJY44" s="12"/>
      <c r="JJZ44" s="12"/>
      <c r="JKA44" s="12"/>
      <c r="JKB44" s="12"/>
      <c r="JKC44" s="12"/>
      <c r="JKD44" s="12"/>
      <c r="JKE44" s="12"/>
      <c r="JKF44" s="12"/>
      <c r="JKG44" s="12"/>
      <c r="JKH44" s="12"/>
      <c r="JKI44" s="12"/>
      <c r="JKJ44" s="12"/>
      <c r="JKK44" s="12"/>
      <c r="JKL44" s="12"/>
      <c r="JKM44" s="12"/>
      <c r="JKN44" s="12"/>
      <c r="JKO44" s="12"/>
      <c r="JKP44" s="12"/>
      <c r="JKQ44" s="12"/>
      <c r="JKR44" s="12"/>
      <c r="JKS44" s="12"/>
      <c r="JKT44" s="12"/>
      <c r="JKU44" s="12"/>
      <c r="JKV44" s="12"/>
      <c r="JKW44" s="12"/>
      <c r="JKX44" s="12"/>
      <c r="JKY44" s="12"/>
      <c r="JKZ44" s="12"/>
      <c r="JLA44" s="12"/>
      <c r="JLB44" s="12"/>
      <c r="JLC44" s="12"/>
      <c r="JLD44" s="12"/>
      <c r="JLE44" s="12"/>
      <c r="JLF44" s="12"/>
      <c r="JLG44" s="12"/>
      <c r="JLH44" s="12"/>
      <c r="JLI44" s="12"/>
      <c r="JLJ44" s="12"/>
      <c r="JLK44" s="12"/>
      <c r="JLL44" s="12"/>
      <c r="JLM44" s="12"/>
      <c r="JLN44" s="12"/>
      <c r="JLO44" s="12"/>
      <c r="JLP44" s="12"/>
      <c r="JLQ44" s="12"/>
      <c r="JLR44" s="12"/>
      <c r="JLS44" s="12"/>
      <c r="JLT44" s="12"/>
      <c r="JLU44" s="12"/>
      <c r="JLV44" s="12"/>
      <c r="JLW44" s="12"/>
      <c r="JLX44" s="12"/>
      <c r="JLY44" s="12"/>
      <c r="JLZ44" s="12"/>
      <c r="JMA44" s="12"/>
      <c r="JMB44" s="12"/>
      <c r="JMC44" s="12"/>
      <c r="JMD44" s="12"/>
      <c r="JME44" s="12"/>
      <c r="JMF44" s="12"/>
      <c r="JMG44" s="12"/>
      <c r="JMH44" s="12"/>
      <c r="JMI44" s="12"/>
      <c r="JMJ44" s="12"/>
      <c r="JMK44" s="12"/>
      <c r="JML44" s="12"/>
      <c r="JMM44" s="12"/>
      <c r="JMN44" s="12"/>
      <c r="JMO44" s="12"/>
      <c r="JMP44" s="12"/>
      <c r="JMQ44" s="12"/>
      <c r="JMR44" s="12"/>
      <c r="JMS44" s="12"/>
      <c r="JMT44" s="12"/>
      <c r="JMU44" s="12"/>
      <c r="JMV44" s="12"/>
      <c r="JMW44" s="12"/>
      <c r="JMX44" s="12"/>
      <c r="JMY44" s="12"/>
      <c r="JMZ44" s="12"/>
      <c r="JNA44" s="12"/>
      <c r="JNB44" s="12"/>
      <c r="JNC44" s="12"/>
      <c r="JND44" s="12"/>
      <c r="JNE44" s="12"/>
      <c r="JNF44" s="12"/>
      <c r="JNG44" s="12"/>
      <c r="JNH44" s="12"/>
      <c r="JNI44" s="12"/>
      <c r="JNJ44" s="12"/>
      <c r="JNK44" s="12"/>
      <c r="JNL44" s="12"/>
      <c r="JNM44" s="12"/>
      <c r="JNN44" s="12"/>
      <c r="JNO44" s="12"/>
      <c r="JNP44" s="12"/>
      <c r="JNQ44" s="12"/>
      <c r="JNR44" s="12"/>
      <c r="JNS44" s="12"/>
      <c r="JNT44" s="12"/>
      <c r="JNU44" s="12"/>
      <c r="JNV44" s="12"/>
      <c r="JNW44" s="12"/>
      <c r="JNX44" s="12"/>
      <c r="JNY44" s="12"/>
      <c r="JNZ44" s="12"/>
      <c r="JOA44" s="12"/>
      <c r="JOB44" s="12"/>
      <c r="JOC44" s="12"/>
      <c r="JOD44" s="12"/>
      <c r="JOE44" s="12"/>
      <c r="JOF44" s="12"/>
      <c r="JOG44" s="12"/>
      <c r="JOH44" s="12"/>
      <c r="JOI44" s="12"/>
      <c r="JOJ44" s="12"/>
      <c r="JOK44" s="12"/>
      <c r="JOL44" s="12"/>
      <c r="JOM44" s="12"/>
      <c r="JON44" s="12"/>
      <c r="JOO44" s="12"/>
      <c r="JOP44" s="12"/>
      <c r="JOQ44" s="12"/>
      <c r="JOR44" s="12"/>
      <c r="JOS44" s="12"/>
      <c r="JOT44" s="12"/>
      <c r="JOU44" s="12"/>
      <c r="JOV44" s="12"/>
      <c r="JOW44" s="12"/>
      <c r="JOX44" s="12"/>
      <c r="JOY44" s="12"/>
      <c r="JOZ44" s="12"/>
      <c r="JPA44" s="12"/>
      <c r="JPB44" s="12"/>
      <c r="JPC44" s="12"/>
      <c r="JPD44" s="12"/>
      <c r="JPE44" s="12"/>
      <c r="JPF44" s="12"/>
      <c r="JPG44" s="12"/>
      <c r="JPH44" s="12"/>
      <c r="JPI44" s="12"/>
      <c r="JPJ44" s="12"/>
      <c r="JPK44" s="12"/>
      <c r="JPL44" s="12"/>
      <c r="JPM44" s="12"/>
      <c r="JPN44" s="12"/>
      <c r="JPO44" s="12"/>
      <c r="JPP44" s="12"/>
      <c r="JPQ44" s="12"/>
      <c r="JPR44" s="12"/>
      <c r="JPS44" s="12"/>
      <c r="JPT44" s="12"/>
      <c r="JPU44" s="12"/>
      <c r="JPV44" s="12"/>
      <c r="JPW44" s="12"/>
      <c r="JPX44" s="12"/>
      <c r="JPY44" s="12"/>
      <c r="JPZ44" s="12"/>
      <c r="JQA44" s="12"/>
      <c r="JQB44" s="12"/>
      <c r="JQC44" s="12"/>
      <c r="JQD44" s="12"/>
      <c r="JQE44" s="12"/>
      <c r="JQF44" s="12"/>
      <c r="JQG44" s="12"/>
      <c r="JQH44" s="12"/>
      <c r="JQI44" s="12"/>
      <c r="JQJ44" s="12"/>
      <c r="JQK44" s="12"/>
      <c r="JQL44" s="12"/>
      <c r="JQM44" s="12"/>
      <c r="JQN44" s="12"/>
      <c r="JQO44" s="12"/>
      <c r="JQP44" s="12"/>
      <c r="JQQ44" s="12"/>
      <c r="JQR44" s="12"/>
      <c r="JQS44" s="12"/>
      <c r="JQT44" s="12"/>
      <c r="JQU44" s="12"/>
      <c r="JQV44" s="12"/>
      <c r="JQW44" s="12"/>
      <c r="JQX44" s="12"/>
      <c r="JQY44" s="12"/>
      <c r="JQZ44" s="12"/>
      <c r="JRA44" s="12"/>
      <c r="JRB44" s="12"/>
      <c r="JRC44" s="12"/>
      <c r="JRD44" s="12"/>
      <c r="JRE44" s="12"/>
      <c r="JRF44" s="12"/>
      <c r="JRG44" s="12"/>
      <c r="JRH44" s="12"/>
      <c r="JRI44" s="12"/>
      <c r="JRJ44" s="12"/>
      <c r="JRK44" s="12"/>
      <c r="JRL44" s="12"/>
      <c r="JRM44" s="12"/>
      <c r="JRN44" s="12"/>
      <c r="JRO44" s="12"/>
      <c r="JRP44" s="12"/>
      <c r="JRQ44" s="12"/>
      <c r="JRR44" s="12"/>
      <c r="JRS44" s="12"/>
      <c r="JRT44" s="12"/>
      <c r="JRU44" s="12"/>
      <c r="JRV44" s="12"/>
      <c r="JRW44" s="12"/>
      <c r="JRX44" s="12"/>
      <c r="JRY44" s="12"/>
      <c r="JRZ44" s="12"/>
      <c r="JSA44" s="12"/>
      <c r="JSB44" s="12"/>
      <c r="JSC44" s="12"/>
      <c r="JSD44" s="12"/>
      <c r="JSE44" s="12"/>
      <c r="JSF44" s="12"/>
      <c r="JSG44" s="12"/>
      <c r="JSH44" s="12"/>
      <c r="JSI44" s="12"/>
      <c r="JSJ44" s="12"/>
      <c r="JSK44" s="12"/>
      <c r="JSL44" s="12"/>
      <c r="JSM44" s="12"/>
      <c r="JSN44" s="12"/>
      <c r="JSO44" s="12"/>
      <c r="JSP44" s="12"/>
      <c r="JSQ44" s="12"/>
      <c r="JSR44" s="12"/>
      <c r="JSS44" s="12"/>
      <c r="JST44" s="12"/>
      <c r="JSU44" s="12"/>
      <c r="JSV44" s="12"/>
      <c r="JSW44" s="12"/>
      <c r="JSX44" s="12"/>
      <c r="JSY44" s="12"/>
      <c r="JSZ44" s="12"/>
      <c r="JTA44" s="12"/>
      <c r="JTB44" s="12"/>
      <c r="JTC44" s="12"/>
      <c r="JTD44" s="12"/>
      <c r="JTE44" s="12"/>
      <c r="JTF44" s="12"/>
      <c r="JTG44" s="12"/>
      <c r="JTH44" s="12"/>
      <c r="JTI44" s="12"/>
      <c r="JTJ44" s="12"/>
      <c r="JTK44" s="12"/>
      <c r="JTL44" s="12"/>
      <c r="JTM44" s="12"/>
      <c r="JTN44" s="12"/>
      <c r="JTO44" s="12"/>
      <c r="JTP44" s="12"/>
      <c r="JTQ44" s="12"/>
      <c r="JTR44" s="12"/>
      <c r="JTS44" s="12"/>
      <c r="JTT44" s="12"/>
      <c r="JTU44" s="12"/>
      <c r="JTV44" s="12"/>
      <c r="JTW44" s="12"/>
      <c r="JTX44" s="12"/>
      <c r="JTY44" s="12"/>
      <c r="JTZ44" s="12"/>
      <c r="JUA44" s="12"/>
      <c r="JUB44" s="12"/>
      <c r="JUC44" s="12"/>
      <c r="JUD44" s="12"/>
      <c r="JUE44" s="12"/>
      <c r="JUF44" s="12"/>
      <c r="JUG44" s="12"/>
      <c r="JUH44" s="12"/>
      <c r="JUI44" s="12"/>
      <c r="JUJ44" s="12"/>
      <c r="JUK44" s="12"/>
      <c r="JUL44" s="12"/>
      <c r="JUM44" s="12"/>
      <c r="JUN44" s="12"/>
      <c r="JUO44" s="12"/>
      <c r="JUP44" s="12"/>
      <c r="JUQ44" s="12"/>
      <c r="JUR44" s="12"/>
      <c r="JUS44" s="12"/>
      <c r="JUT44" s="12"/>
      <c r="JUU44" s="12"/>
      <c r="JUV44" s="12"/>
      <c r="JUW44" s="12"/>
      <c r="JUX44" s="12"/>
      <c r="JUY44" s="12"/>
      <c r="JUZ44" s="12"/>
      <c r="JVA44" s="12"/>
      <c r="JVB44" s="12"/>
      <c r="JVC44" s="12"/>
      <c r="JVD44" s="12"/>
      <c r="JVE44" s="12"/>
      <c r="JVF44" s="12"/>
      <c r="JVG44" s="12"/>
      <c r="JVH44" s="12"/>
      <c r="JVI44" s="12"/>
      <c r="JVJ44" s="12"/>
      <c r="JVK44" s="12"/>
      <c r="JVL44" s="12"/>
      <c r="JVM44" s="12"/>
      <c r="JVN44" s="12"/>
      <c r="JVO44" s="12"/>
      <c r="JVP44" s="12"/>
      <c r="JVQ44" s="12"/>
      <c r="JVR44" s="12"/>
      <c r="JVS44" s="12"/>
      <c r="JVT44" s="12"/>
      <c r="JVU44" s="12"/>
      <c r="JVV44" s="12"/>
      <c r="JVW44" s="12"/>
      <c r="JVX44" s="12"/>
      <c r="JVY44" s="12"/>
      <c r="JVZ44" s="12"/>
      <c r="JWA44" s="12"/>
      <c r="JWB44" s="12"/>
      <c r="JWC44" s="12"/>
      <c r="JWD44" s="12"/>
      <c r="JWE44" s="12"/>
      <c r="JWF44" s="12"/>
      <c r="JWG44" s="12"/>
      <c r="JWH44" s="12"/>
      <c r="JWI44" s="12"/>
      <c r="JWJ44" s="12"/>
      <c r="JWK44" s="12"/>
      <c r="JWL44" s="12"/>
      <c r="JWM44" s="12"/>
      <c r="JWN44" s="12"/>
      <c r="JWO44" s="12"/>
      <c r="JWP44" s="12"/>
      <c r="JWQ44" s="12"/>
      <c r="JWR44" s="12"/>
      <c r="JWS44" s="12"/>
      <c r="JWT44" s="12"/>
      <c r="JWU44" s="12"/>
      <c r="JWV44" s="12"/>
      <c r="JWW44" s="12"/>
      <c r="JWX44" s="12"/>
      <c r="JWY44" s="12"/>
      <c r="JWZ44" s="12"/>
      <c r="JXA44" s="12"/>
      <c r="JXB44" s="12"/>
      <c r="JXC44" s="12"/>
      <c r="JXD44" s="12"/>
      <c r="JXE44" s="12"/>
      <c r="JXF44" s="12"/>
      <c r="JXG44" s="12"/>
      <c r="JXH44" s="12"/>
      <c r="JXI44" s="12"/>
      <c r="JXJ44" s="12"/>
      <c r="JXK44" s="12"/>
      <c r="JXL44" s="12"/>
      <c r="JXM44" s="12"/>
      <c r="JXN44" s="12"/>
      <c r="JXO44" s="12"/>
      <c r="JXP44" s="12"/>
      <c r="JXQ44" s="12"/>
      <c r="JXR44" s="12"/>
      <c r="JXS44" s="12"/>
      <c r="JXT44" s="12"/>
      <c r="JXU44" s="12"/>
      <c r="JXV44" s="12"/>
      <c r="JXW44" s="12"/>
      <c r="JXX44" s="12"/>
      <c r="JXY44" s="12"/>
      <c r="JXZ44" s="12"/>
      <c r="JYA44" s="12"/>
      <c r="JYB44" s="12"/>
      <c r="JYC44" s="12"/>
      <c r="JYD44" s="12"/>
      <c r="JYE44" s="12"/>
      <c r="JYF44" s="12"/>
      <c r="JYG44" s="12"/>
      <c r="JYH44" s="12"/>
      <c r="JYI44" s="12"/>
      <c r="JYJ44" s="12"/>
      <c r="JYK44" s="12"/>
      <c r="JYL44" s="12"/>
      <c r="JYM44" s="12"/>
      <c r="JYN44" s="12"/>
      <c r="JYO44" s="12"/>
      <c r="JYP44" s="12"/>
      <c r="JYQ44" s="12"/>
      <c r="JYR44" s="12"/>
      <c r="JYS44" s="12"/>
      <c r="JYT44" s="12"/>
      <c r="JYU44" s="12"/>
      <c r="JYV44" s="12"/>
      <c r="JYW44" s="12"/>
      <c r="JYX44" s="12"/>
      <c r="JYY44" s="12"/>
      <c r="JYZ44" s="12"/>
      <c r="JZA44" s="12"/>
      <c r="JZB44" s="12"/>
      <c r="JZC44" s="12"/>
      <c r="JZD44" s="12"/>
      <c r="JZE44" s="12"/>
      <c r="JZF44" s="12"/>
      <c r="JZG44" s="12"/>
      <c r="JZH44" s="12"/>
      <c r="JZI44" s="12"/>
      <c r="JZJ44" s="12"/>
      <c r="JZK44" s="12"/>
      <c r="JZL44" s="12"/>
      <c r="JZM44" s="12"/>
      <c r="JZN44" s="12"/>
      <c r="JZO44" s="12"/>
      <c r="JZP44" s="12"/>
      <c r="JZQ44" s="12"/>
      <c r="JZR44" s="12"/>
      <c r="JZS44" s="12"/>
      <c r="JZT44" s="12"/>
      <c r="JZU44" s="12"/>
      <c r="JZV44" s="12"/>
      <c r="JZW44" s="12"/>
      <c r="JZX44" s="12"/>
      <c r="JZY44" s="12"/>
      <c r="JZZ44" s="12"/>
      <c r="KAA44" s="12"/>
      <c r="KAB44" s="12"/>
      <c r="KAC44" s="12"/>
      <c r="KAD44" s="12"/>
      <c r="KAE44" s="12"/>
      <c r="KAF44" s="12"/>
      <c r="KAG44" s="12"/>
      <c r="KAH44" s="12"/>
      <c r="KAI44" s="12"/>
      <c r="KAJ44" s="12"/>
      <c r="KAK44" s="12"/>
      <c r="KAL44" s="12"/>
      <c r="KAM44" s="12"/>
      <c r="KAN44" s="12"/>
      <c r="KAO44" s="12"/>
      <c r="KAP44" s="12"/>
      <c r="KAQ44" s="12"/>
      <c r="KAR44" s="12"/>
      <c r="KAS44" s="12"/>
      <c r="KAT44" s="12"/>
      <c r="KAU44" s="12"/>
      <c r="KAV44" s="12"/>
      <c r="KAW44" s="12"/>
      <c r="KAX44" s="12"/>
      <c r="KAY44" s="12"/>
      <c r="KAZ44" s="12"/>
      <c r="KBA44" s="12"/>
      <c r="KBB44" s="12"/>
      <c r="KBC44" s="12"/>
      <c r="KBD44" s="12"/>
      <c r="KBE44" s="12"/>
      <c r="KBF44" s="12"/>
      <c r="KBG44" s="12"/>
      <c r="KBH44" s="12"/>
      <c r="KBI44" s="12"/>
      <c r="KBJ44" s="12"/>
      <c r="KBK44" s="12"/>
      <c r="KBL44" s="12"/>
      <c r="KBM44" s="12"/>
      <c r="KBN44" s="12"/>
      <c r="KBO44" s="12"/>
      <c r="KBP44" s="12"/>
      <c r="KBQ44" s="12"/>
      <c r="KBR44" s="12"/>
      <c r="KBS44" s="12"/>
      <c r="KBT44" s="12"/>
      <c r="KBU44" s="12"/>
      <c r="KBV44" s="12"/>
      <c r="KBW44" s="12"/>
      <c r="KBX44" s="12"/>
      <c r="KBY44" s="12"/>
      <c r="KBZ44" s="12"/>
      <c r="KCA44" s="12"/>
      <c r="KCB44" s="12"/>
      <c r="KCC44" s="12"/>
      <c r="KCD44" s="12"/>
      <c r="KCE44" s="12"/>
      <c r="KCF44" s="12"/>
      <c r="KCG44" s="12"/>
      <c r="KCH44" s="12"/>
      <c r="KCI44" s="12"/>
      <c r="KCJ44" s="12"/>
      <c r="KCK44" s="12"/>
      <c r="KCL44" s="12"/>
      <c r="KCM44" s="12"/>
      <c r="KCN44" s="12"/>
      <c r="KCO44" s="12"/>
      <c r="KCP44" s="12"/>
      <c r="KCQ44" s="12"/>
      <c r="KCR44" s="12"/>
      <c r="KCS44" s="12"/>
      <c r="KCT44" s="12"/>
      <c r="KCU44" s="12"/>
      <c r="KCV44" s="12"/>
      <c r="KCW44" s="12"/>
      <c r="KCX44" s="12"/>
      <c r="KCY44" s="12"/>
      <c r="KCZ44" s="12"/>
      <c r="KDA44" s="12"/>
      <c r="KDB44" s="12"/>
      <c r="KDC44" s="12"/>
      <c r="KDD44" s="12"/>
      <c r="KDE44" s="12"/>
      <c r="KDF44" s="12"/>
      <c r="KDG44" s="12"/>
      <c r="KDH44" s="12"/>
      <c r="KDI44" s="12"/>
      <c r="KDJ44" s="12"/>
      <c r="KDK44" s="12"/>
      <c r="KDL44" s="12"/>
      <c r="KDM44" s="12"/>
      <c r="KDN44" s="12"/>
      <c r="KDO44" s="12"/>
      <c r="KDP44" s="12"/>
      <c r="KDQ44" s="12"/>
      <c r="KDR44" s="12"/>
      <c r="KDS44" s="12"/>
      <c r="KDT44" s="12"/>
      <c r="KDU44" s="12"/>
      <c r="KDV44" s="12"/>
      <c r="KDW44" s="12"/>
      <c r="KDX44" s="12"/>
      <c r="KDY44" s="12"/>
      <c r="KDZ44" s="12"/>
      <c r="KEA44" s="12"/>
      <c r="KEB44" s="12"/>
      <c r="KEC44" s="12"/>
      <c r="KED44" s="12"/>
      <c r="KEE44" s="12"/>
      <c r="KEF44" s="12"/>
      <c r="KEG44" s="12"/>
      <c r="KEH44" s="12"/>
      <c r="KEI44" s="12"/>
      <c r="KEJ44" s="12"/>
      <c r="KEK44" s="12"/>
      <c r="KEL44" s="12"/>
      <c r="KEM44" s="12"/>
      <c r="KEN44" s="12"/>
      <c r="KEO44" s="12"/>
      <c r="KEP44" s="12"/>
      <c r="KEQ44" s="12"/>
      <c r="KER44" s="12"/>
      <c r="KES44" s="12"/>
      <c r="KET44" s="12"/>
      <c r="KEU44" s="12"/>
      <c r="KEV44" s="12"/>
      <c r="KEW44" s="12"/>
      <c r="KEX44" s="12"/>
      <c r="KEY44" s="12"/>
      <c r="KEZ44" s="12"/>
      <c r="KFA44" s="12"/>
      <c r="KFB44" s="12"/>
      <c r="KFC44" s="12"/>
      <c r="KFD44" s="12"/>
      <c r="KFE44" s="12"/>
      <c r="KFF44" s="12"/>
      <c r="KFG44" s="12"/>
      <c r="KFH44" s="12"/>
      <c r="KFI44" s="12"/>
      <c r="KFJ44" s="12"/>
      <c r="KFK44" s="12"/>
      <c r="KFL44" s="12"/>
      <c r="KFM44" s="12"/>
      <c r="KFN44" s="12"/>
      <c r="KFO44" s="12"/>
      <c r="KFP44" s="12"/>
      <c r="KFQ44" s="12"/>
      <c r="KFR44" s="12"/>
      <c r="KFS44" s="12"/>
      <c r="KFT44" s="12"/>
      <c r="KFU44" s="12"/>
      <c r="KFV44" s="12"/>
      <c r="KFW44" s="12"/>
      <c r="KFX44" s="12"/>
      <c r="KFY44" s="12"/>
      <c r="KFZ44" s="12"/>
      <c r="KGA44" s="12"/>
      <c r="KGB44" s="12"/>
      <c r="KGC44" s="12"/>
      <c r="KGD44" s="12"/>
      <c r="KGE44" s="12"/>
      <c r="KGF44" s="12"/>
      <c r="KGG44" s="12"/>
      <c r="KGH44" s="12"/>
      <c r="KGI44" s="12"/>
      <c r="KGJ44" s="12"/>
      <c r="KGK44" s="12"/>
      <c r="KGL44" s="12"/>
      <c r="KGM44" s="12"/>
      <c r="KGN44" s="12"/>
      <c r="KGO44" s="12"/>
      <c r="KGP44" s="12"/>
      <c r="KGQ44" s="12"/>
      <c r="KGR44" s="12"/>
      <c r="KGS44" s="12"/>
      <c r="KGT44" s="12"/>
      <c r="KGU44" s="12"/>
      <c r="KGV44" s="12"/>
      <c r="KGW44" s="12"/>
      <c r="KGX44" s="12"/>
      <c r="KGY44" s="12"/>
      <c r="KGZ44" s="12"/>
      <c r="KHA44" s="12"/>
      <c r="KHB44" s="12"/>
      <c r="KHC44" s="12"/>
      <c r="KHD44" s="12"/>
      <c r="KHE44" s="12"/>
      <c r="KHF44" s="12"/>
      <c r="KHG44" s="12"/>
      <c r="KHH44" s="12"/>
      <c r="KHI44" s="12"/>
      <c r="KHJ44" s="12"/>
      <c r="KHK44" s="12"/>
      <c r="KHL44" s="12"/>
      <c r="KHM44" s="12"/>
      <c r="KHN44" s="12"/>
      <c r="KHO44" s="12"/>
      <c r="KHP44" s="12"/>
      <c r="KHQ44" s="12"/>
      <c r="KHR44" s="12"/>
      <c r="KHS44" s="12"/>
      <c r="KHT44" s="12"/>
      <c r="KHU44" s="12"/>
      <c r="KHV44" s="12"/>
      <c r="KHW44" s="12"/>
      <c r="KHX44" s="12"/>
      <c r="KHY44" s="12"/>
      <c r="KHZ44" s="12"/>
      <c r="KIA44" s="12"/>
      <c r="KIB44" s="12"/>
      <c r="KIC44" s="12"/>
      <c r="KID44" s="12"/>
      <c r="KIE44" s="12"/>
      <c r="KIF44" s="12"/>
      <c r="KIG44" s="12"/>
      <c r="KIH44" s="12"/>
      <c r="KII44" s="12"/>
      <c r="KIJ44" s="12"/>
      <c r="KIK44" s="12"/>
      <c r="KIL44" s="12"/>
      <c r="KIM44" s="12"/>
      <c r="KIN44" s="12"/>
      <c r="KIO44" s="12"/>
      <c r="KIP44" s="12"/>
      <c r="KIQ44" s="12"/>
      <c r="KIR44" s="12"/>
      <c r="KIS44" s="12"/>
      <c r="KIT44" s="12"/>
      <c r="KIU44" s="12"/>
      <c r="KIV44" s="12"/>
      <c r="KIW44" s="12"/>
      <c r="KIX44" s="12"/>
      <c r="KIY44" s="12"/>
      <c r="KIZ44" s="12"/>
      <c r="KJA44" s="12"/>
      <c r="KJB44" s="12"/>
      <c r="KJC44" s="12"/>
      <c r="KJD44" s="12"/>
      <c r="KJE44" s="12"/>
      <c r="KJF44" s="12"/>
      <c r="KJG44" s="12"/>
      <c r="KJH44" s="12"/>
      <c r="KJI44" s="12"/>
      <c r="KJJ44" s="12"/>
      <c r="KJK44" s="12"/>
      <c r="KJL44" s="12"/>
      <c r="KJM44" s="12"/>
      <c r="KJN44" s="12"/>
      <c r="KJO44" s="12"/>
      <c r="KJP44" s="12"/>
      <c r="KJQ44" s="12"/>
      <c r="KJR44" s="12"/>
      <c r="KJS44" s="12"/>
      <c r="KJT44" s="12"/>
      <c r="KJU44" s="12"/>
      <c r="KJV44" s="12"/>
      <c r="KJW44" s="12"/>
      <c r="KJX44" s="12"/>
      <c r="KJY44" s="12"/>
      <c r="KJZ44" s="12"/>
      <c r="KKA44" s="12"/>
      <c r="KKB44" s="12"/>
      <c r="KKC44" s="12"/>
      <c r="KKD44" s="12"/>
      <c r="KKE44" s="12"/>
      <c r="KKF44" s="12"/>
      <c r="KKG44" s="12"/>
      <c r="KKH44" s="12"/>
      <c r="KKI44" s="12"/>
      <c r="KKJ44" s="12"/>
      <c r="KKK44" s="12"/>
      <c r="KKL44" s="12"/>
      <c r="KKM44" s="12"/>
      <c r="KKN44" s="12"/>
      <c r="KKO44" s="12"/>
      <c r="KKP44" s="12"/>
      <c r="KKQ44" s="12"/>
      <c r="KKR44" s="12"/>
      <c r="KKS44" s="12"/>
      <c r="KKT44" s="12"/>
      <c r="KKU44" s="12"/>
      <c r="KKV44" s="12"/>
      <c r="KKW44" s="12"/>
      <c r="KKX44" s="12"/>
      <c r="KKY44" s="12"/>
      <c r="KKZ44" s="12"/>
      <c r="KLA44" s="12"/>
      <c r="KLB44" s="12"/>
      <c r="KLC44" s="12"/>
      <c r="KLD44" s="12"/>
      <c r="KLE44" s="12"/>
      <c r="KLF44" s="12"/>
      <c r="KLG44" s="12"/>
      <c r="KLH44" s="12"/>
      <c r="KLI44" s="12"/>
      <c r="KLJ44" s="12"/>
      <c r="KLK44" s="12"/>
      <c r="KLL44" s="12"/>
      <c r="KLM44" s="12"/>
      <c r="KLN44" s="12"/>
      <c r="KLO44" s="12"/>
      <c r="KLP44" s="12"/>
      <c r="KLQ44" s="12"/>
      <c r="KLR44" s="12"/>
      <c r="KLS44" s="12"/>
      <c r="KLT44" s="12"/>
      <c r="KLU44" s="12"/>
      <c r="KLV44" s="12"/>
      <c r="KLW44" s="12"/>
      <c r="KLX44" s="12"/>
      <c r="KLY44" s="12"/>
      <c r="KLZ44" s="12"/>
      <c r="KMA44" s="12"/>
      <c r="KMB44" s="12"/>
      <c r="KMC44" s="12"/>
      <c r="KMD44" s="12"/>
      <c r="KME44" s="12"/>
      <c r="KMF44" s="12"/>
      <c r="KMG44" s="12"/>
      <c r="KMH44" s="12"/>
      <c r="KMI44" s="12"/>
      <c r="KMJ44" s="12"/>
      <c r="KMK44" s="12"/>
      <c r="KML44" s="12"/>
      <c r="KMM44" s="12"/>
      <c r="KMN44" s="12"/>
      <c r="KMO44" s="12"/>
      <c r="KMP44" s="12"/>
      <c r="KMQ44" s="12"/>
      <c r="KMR44" s="12"/>
      <c r="KMS44" s="12"/>
      <c r="KMT44" s="12"/>
      <c r="KMU44" s="12"/>
      <c r="KMV44" s="12"/>
      <c r="KMW44" s="12"/>
      <c r="KMX44" s="12"/>
      <c r="KMY44" s="12"/>
      <c r="KMZ44" s="12"/>
      <c r="KNA44" s="12"/>
      <c r="KNB44" s="12"/>
      <c r="KNC44" s="12"/>
      <c r="KND44" s="12"/>
      <c r="KNE44" s="12"/>
      <c r="KNF44" s="12"/>
      <c r="KNG44" s="12"/>
      <c r="KNH44" s="12"/>
      <c r="KNI44" s="12"/>
      <c r="KNJ44" s="12"/>
      <c r="KNK44" s="12"/>
      <c r="KNL44" s="12"/>
      <c r="KNM44" s="12"/>
      <c r="KNN44" s="12"/>
      <c r="KNO44" s="12"/>
      <c r="KNP44" s="12"/>
      <c r="KNQ44" s="12"/>
      <c r="KNR44" s="12"/>
      <c r="KNS44" s="12"/>
      <c r="KNT44" s="12"/>
      <c r="KNU44" s="12"/>
      <c r="KNV44" s="12"/>
      <c r="KNW44" s="12"/>
      <c r="KNX44" s="12"/>
      <c r="KNY44" s="12"/>
      <c r="KNZ44" s="12"/>
      <c r="KOA44" s="12"/>
      <c r="KOB44" s="12"/>
      <c r="KOC44" s="12"/>
      <c r="KOD44" s="12"/>
      <c r="KOE44" s="12"/>
      <c r="KOF44" s="12"/>
      <c r="KOG44" s="12"/>
      <c r="KOH44" s="12"/>
      <c r="KOI44" s="12"/>
      <c r="KOJ44" s="12"/>
      <c r="KOK44" s="12"/>
      <c r="KOL44" s="12"/>
      <c r="KOM44" s="12"/>
      <c r="KON44" s="12"/>
      <c r="KOO44" s="12"/>
      <c r="KOP44" s="12"/>
      <c r="KOQ44" s="12"/>
      <c r="KOR44" s="12"/>
      <c r="KOS44" s="12"/>
      <c r="KOT44" s="12"/>
      <c r="KOU44" s="12"/>
      <c r="KOV44" s="12"/>
      <c r="KOW44" s="12"/>
      <c r="KOX44" s="12"/>
      <c r="KOY44" s="12"/>
      <c r="KOZ44" s="12"/>
      <c r="KPA44" s="12"/>
      <c r="KPB44" s="12"/>
      <c r="KPC44" s="12"/>
      <c r="KPD44" s="12"/>
      <c r="KPE44" s="12"/>
      <c r="KPF44" s="12"/>
      <c r="KPG44" s="12"/>
      <c r="KPH44" s="12"/>
      <c r="KPI44" s="12"/>
      <c r="KPJ44" s="12"/>
      <c r="KPK44" s="12"/>
      <c r="KPL44" s="12"/>
      <c r="KPM44" s="12"/>
      <c r="KPN44" s="12"/>
      <c r="KPO44" s="12"/>
      <c r="KPP44" s="12"/>
      <c r="KPQ44" s="12"/>
      <c r="KPR44" s="12"/>
      <c r="KPS44" s="12"/>
      <c r="KPT44" s="12"/>
      <c r="KPU44" s="12"/>
      <c r="KPV44" s="12"/>
      <c r="KPW44" s="12"/>
      <c r="KPX44" s="12"/>
      <c r="KPY44" s="12"/>
      <c r="KPZ44" s="12"/>
      <c r="KQA44" s="12"/>
      <c r="KQB44" s="12"/>
      <c r="KQC44" s="12"/>
      <c r="KQD44" s="12"/>
      <c r="KQE44" s="12"/>
      <c r="KQF44" s="12"/>
      <c r="KQG44" s="12"/>
      <c r="KQH44" s="12"/>
      <c r="KQI44" s="12"/>
      <c r="KQJ44" s="12"/>
      <c r="KQK44" s="12"/>
      <c r="KQL44" s="12"/>
      <c r="KQM44" s="12"/>
      <c r="KQN44" s="12"/>
      <c r="KQO44" s="12"/>
      <c r="KQP44" s="12"/>
      <c r="KQQ44" s="12"/>
      <c r="KQR44" s="12"/>
      <c r="KQS44" s="12"/>
      <c r="KQT44" s="12"/>
      <c r="KQU44" s="12"/>
      <c r="KQV44" s="12"/>
      <c r="KQW44" s="12"/>
      <c r="KQX44" s="12"/>
      <c r="KQY44" s="12"/>
      <c r="KQZ44" s="12"/>
      <c r="KRA44" s="12"/>
      <c r="KRB44" s="12"/>
      <c r="KRC44" s="12"/>
      <c r="KRD44" s="12"/>
      <c r="KRE44" s="12"/>
      <c r="KRF44" s="12"/>
      <c r="KRG44" s="12"/>
      <c r="KRH44" s="12"/>
      <c r="KRI44" s="12"/>
      <c r="KRJ44" s="12"/>
      <c r="KRK44" s="12"/>
      <c r="KRL44" s="12"/>
      <c r="KRM44" s="12"/>
      <c r="KRN44" s="12"/>
      <c r="KRO44" s="12"/>
      <c r="KRP44" s="12"/>
      <c r="KRQ44" s="12"/>
      <c r="KRR44" s="12"/>
      <c r="KRS44" s="12"/>
      <c r="KRT44" s="12"/>
      <c r="KRU44" s="12"/>
      <c r="KRV44" s="12"/>
      <c r="KRW44" s="12"/>
      <c r="KRX44" s="12"/>
      <c r="KRY44" s="12"/>
      <c r="KRZ44" s="12"/>
      <c r="KSA44" s="12"/>
      <c r="KSB44" s="12"/>
      <c r="KSC44" s="12"/>
      <c r="KSD44" s="12"/>
      <c r="KSE44" s="12"/>
      <c r="KSF44" s="12"/>
      <c r="KSG44" s="12"/>
      <c r="KSH44" s="12"/>
      <c r="KSI44" s="12"/>
      <c r="KSJ44" s="12"/>
      <c r="KSK44" s="12"/>
      <c r="KSL44" s="12"/>
      <c r="KSM44" s="12"/>
      <c r="KSN44" s="12"/>
      <c r="KSO44" s="12"/>
      <c r="KSP44" s="12"/>
      <c r="KSQ44" s="12"/>
      <c r="KSR44" s="12"/>
      <c r="KSS44" s="12"/>
      <c r="KST44" s="12"/>
      <c r="KSU44" s="12"/>
      <c r="KSV44" s="12"/>
      <c r="KSW44" s="12"/>
      <c r="KSX44" s="12"/>
      <c r="KSY44" s="12"/>
      <c r="KSZ44" s="12"/>
      <c r="KTA44" s="12"/>
      <c r="KTB44" s="12"/>
      <c r="KTC44" s="12"/>
      <c r="KTD44" s="12"/>
      <c r="KTE44" s="12"/>
      <c r="KTF44" s="12"/>
      <c r="KTG44" s="12"/>
      <c r="KTH44" s="12"/>
      <c r="KTI44" s="12"/>
      <c r="KTJ44" s="12"/>
      <c r="KTK44" s="12"/>
      <c r="KTL44" s="12"/>
      <c r="KTM44" s="12"/>
      <c r="KTN44" s="12"/>
      <c r="KTO44" s="12"/>
      <c r="KTP44" s="12"/>
      <c r="KTQ44" s="12"/>
      <c r="KTR44" s="12"/>
      <c r="KTS44" s="12"/>
      <c r="KTT44" s="12"/>
      <c r="KTU44" s="12"/>
      <c r="KTV44" s="12"/>
      <c r="KTW44" s="12"/>
      <c r="KTX44" s="12"/>
      <c r="KTY44" s="12"/>
      <c r="KTZ44" s="12"/>
      <c r="KUA44" s="12"/>
      <c r="KUB44" s="12"/>
      <c r="KUC44" s="12"/>
      <c r="KUD44" s="12"/>
      <c r="KUE44" s="12"/>
      <c r="KUF44" s="12"/>
      <c r="KUG44" s="12"/>
      <c r="KUH44" s="12"/>
      <c r="KUI44" s="12"/>
      <c r="KUJ44" s="12"/>
      <c r="KUK44" s="12"/>
      <c r="KUL44" s="12"/>
      <c r="KUM44" s="12"/>
      <c r="KUN44" s="12"/>
      <c r="KUO44" s="12"/>
      <c r="KUP44" s="12"/>
      <c r="KUQ44" s="12"/>
      <c r="KUR44" s="12"/>
      <c r="KUS44" s="12"/>
      <c r="KUT44" s="12"/>
      <c r="KUU44" s="12"/>
      <c r="KUV44" s="12"/>
      <c r="KUW44" s="12"/>
      <c r="KUX44" s="12"/>
      <c r="KUY44" s="12"/>
      <c r="KUZ44" s="12"/>
      <c r="KVA44" s="12"/>
      <c r="KVB44" s="12"/>
      <c r="KVC44" s="12"/>
      <c r="KVD44" s="12"/>
      <c r="KVE44" s="12"/>
      <c r="KVF44" s="12"/>
      <c r="KVG44" s="12"/>
      <c r="KVH44" s="12"/>
      <c r="KVI44" s="12"/>
      <c r="KVJ44" s="12"/>
      <c r="KVK44" s="12"/>
      <c r="KVL44" s="12"/>
      <c r="KVM44" s="12"/>
      <c r="KVN44" s="12"/>
      <c r="KVO44" s="12"/>
      <c r="KVP44" s="12"/>
      <c r="KVQ44" s="12"/>
      <c r="KVR44" s="12"/>
      <c r="KVS44" s="12"/>
      <c r="KVT44" s="12"/>
      <c r="KVU44" s="12"/>
      <c r="KVV44" s="12"/>
      <c r="KVW44" s="12"/>
      <c r="KVX44" s="12"/>
      <c r="KVY44" s="12"/>
      <c r="KVZ44" s="12"/>
      <c r="KWA44" s="12"/>
      <c r="KWB44" s="12"/>
      <c r="KWC44" s="12"/>
      <c r="KWD44" s="12"/>
      <c r="KWE44" s="12"/>
      <c r="KWF44" s="12"/>
      <c r="KWG44" s="12"/>
      <c r="KWH44" s="12"/>
      <c r="KWI44" s="12"/>
      <c r="KWJ44" s="12"/>
      <c r="KWK44" s="12"/>
      <c r="KWL44" s="12"/>
      <c r="KWM44" s="12"/>
      <c r="KWN44" s="12"/>
      <c r="KWO44" s="12"/>
      <c r="KWP44" s="12"/>
      <c r="KWQ44" s="12"/>
      <c r="KWR44" s="12"/>
      <c r="KWS44" s="12"/>
      <c r="KWT44" s="12"/>
      <c r="KWU44" s="12"/>
      <c r="KWV44" s="12"/>
      <c r="KWW44" s="12"/>
      <c r="KWX44" s="12"/>
      <c r="KWY44" s="12"/>
      <c r="KWZ44" s="12"/>
      <c r="KXA44" s="12"/>
      <c r="KXB44" s="12"/>
      <c r="KXC44" s="12"/>
      <c r="KXD44" s="12"/>
      <c r="KXE44" s="12"/>
      <c r="KXF44" s="12"/>
      <c r="KXG44" s="12"/>
      <c r="KXH44" s="12"/>
      <c r="KXI44" s="12"/>
      <c r="KXJ44" s="12"/>
      <c r="KXK44" s="12"/>
      <c r="KXL44" s="12"/>
      <c r="KXM44" s="12"/>
      <c r="KXN44" s="12"/>
      <c r="KXO44" s="12"/>
      <c r="KXP44" s="12"/>
      <c r="KXQ44" s="12"/>
      <c r="KXR44" s="12"/>
      <c r="KXS44" s="12"/>
      <c r="KXT44" s="12"/>
      <c r="KXU44" s="12"/>
      <c r="KXV44" s="12"/>
      <c r="KXW44" s="12"/>
      <c r="KXX44" s="12"/>
      <c r="KXY44" s="12"/>
      <c r="KXZ44" s="12"/>
      <c r="KYA44" s="12"/>
      <c r="KYB44" s="12"/>
      <c r="KYC44" s="12"/>
      <c r="KYD44" s="12"/>
      <c r="KYE44" s="12"/>
      <c r="KYF44" s="12"/>
      <c r="KYG44" s="12"/>
      <c r="KYH44" s="12"/>
      <c r="KYI44" s="12"/>
      <c r="KYJ44" s="12"/>
      <c r="KYK44" s="12"/>
      <c r="KYL44" s="12"/>
      <c r="KYM44" s="12"/>
      <c r="KYN44" s="12"/>
      <c r="KYO44" s="12"/>
      <c r="KYP44" s="12"/>
      <c r="KYQ44" s="12"/>
      <c r="KYR44" s="12"/>
      <c r="KYS44" s="12"/>
      <c r="KYT44" s="12"/>
      <c r="KYU44" s="12"/>
      <c r="KYV44" s="12"/>
      <c r="KYW44" s="12"/>
      <c r="KYX44" s="12"/>
      <c r="KYY44" s="12"/>
      <c r="KYZ44" s="12"/>
      <c r="KZA44" s="12"/>
      <c r="KZB44" s="12"/>
      <c r="KZC44" s="12"/>
      <c r="KZD44" s="12"/>
      <c r="KZE44" s="12"/>
      <c r="KZF44" s="12"/>
      <c r="KZG44" s="12"/>
      <c r="KZH44" s="12"/>
      <c r="KZI44" s="12"/>
      <c r="KZJ44" s="12"/>
      <c r="KZK44" s="12"/>
      <c r="KZL44" s="12"/>
      <c r="KZM44" s="12"/>
      <c r="KZN44" s="12"/>
      <c r="KZO44" s="12"/>
      <c r="KZP44" s="12"/>
      <c r="KZQ44" s="12"/>
      <c r="KZR44" s="12"/>
      <c r="KZS44" s="12"/>
      <c r="KZT44" s="12"/>
      <c r="KZU44" s="12"/>
      <c r="KZV44" s="12"/>
      <c r="KZW44" s="12"/>
      <c r="KZX44" s="12"/>
      <c r="KZY44" s="12"/>
      <c r="KZZ44" s="12"/>
      <c r="LAA44" s="12"/>
      <c r="LAB44" s="12"/>
      <c r="LAC44" s="12"/>
      <c r="LAD44" s="12"/>
      <c r="LAE44" s="12"/>
      <c r="LAF44" s="12"/>
      <c r="LAG44" s="12"/>
      <c r="LAH44" s="12"/>
      <c r="LAI44" s="12"/>
      <c r="LAJ44" s="12"/>
      <c r="LAK44" s="12"/>
      <c r="LAL44" s="12"/>
      <c r="LAM44" s="12"/>
      <c r="LAN44" s="12"/>
      <c r="LAO44" s="12"/>
      <c r="LAP44" s="12"/>
      <c r="LAQ44" s="12"/>
      <c r="LAR44" s="12"/>
      <c r="LAS44" s="12"/>
      <c r="LAT44" s="12"/>
      <c r="LAU44" s="12"/>
      <c r="LAV44" s="12"/>
      <c r="LAW44" s="12"/>
      <c r="LAX44" s="12"/>
      <c r="LAY44" s="12"/>
      <c r="LAZ44" s="12"/>
      <c r="LBA44" s="12"/>
      <c r="LBB44" s="12"/>
      <c r="LBC44" s="12"/>
      <c r="LBD44" s="12"/>
      <c r="LBE44" s="12"/>
      <c r="LBF44" s="12"/>
      <c r="LBG44" s="12"/>
      <c r="LBH44" s="12"/>
      <c r="LBI44" s="12"/>
      <c r="LBJ44" s="12"/>
      <c r="LBK44" s="12"/>
      <c r="LBL44" s="12"/>
      <c r="LBM44" s="12"/>
      <c r="LBN44" s="12"/>
      <c r="LBO44" s="12"/>
      <c r="LBP44" s="12"/>
      <c r="LBQ44" s="12"/>
      <c r="LBR44" s="12"/>
      <c r="LBS44" s="12"/>
      <c r="LBT44" s="12"/>
      <c r="LBU44" s="12"/>
      <c r="LBV44" s="12"/>
      <c r="LBW44" s="12"/>
      <c r="LBX44" s="12"/>
      <c r="LBY44" s="12"/>
      <c r="LBZ44" s="12"/>
      <c r="LCA44" s="12"/>
      <c r="LCB44" s="12"/>
      <c r="LCC44" s="12"/>
      <c r="LCD44" s="12"/>
      <c r="LCE44" s="12"/>
      <c r="LCF44" s="12"/>
      <c r="LCG44" s="12"/>
      <c r="LCH44" s="12"/>
      <c r="LCI44" s="12"/>
      <c r="LCJ44" s="12"/>
      <c r="LCK44" s="12"/>
      <c r="LCL44" s="12"/>
      <c r="LCM44" s="12"/>
      <c r="LCN44" s="12"/>
      <c r="LCO44" s="12"/>
      <c r="LCP44" s="12"/>
      <c r="LCQ44" s="12"/>
      <c r="LCR44" s="12"/>
      <c r="LCS44" s="12"/>
      <c r="LCT44" s="12"/>
      <c r="LCU44" s="12"/>
      <c r="LCV44" s="12"/>
      <c r="LCW44" s="12"/>
      <c r="LCX44" s="12"/>
      <c r="LCY44" s="12"/>
      <c r="LCZ44" s="12"/>
      <c r="LDA44" s="12"/>
      <c r="LDB44" s="12"/>
      <c r="LDC44" s="12"/>
      <c r="LDD44" s="12"/>
      <c r="LDE44" s="12"/>
      <c r="LDF44" s="12"/>
      <c r="LDG44" s="12"/>
      <c r="LDH44" s="12"/>
      <c r="LDI44" s="12"/>
      <c r="LDJ44" s="12"/>
      <c r="LDK44" s="12"/>
      <c r="LDL44" s="12"/>
      <c r="LDM44" s="12"/>
      <c r="LDN44" s="12"/>
      <c r="LDO44" s="12"/>
      <c r="LDP44" s="12"/>
      <c r="LDQ44" s="12"/>
      <c r="LDR44" s="12"/>
      <c r="LDS44" s="12"/>
      <c r="LDT44" s="12"/>
      <c r="LDU44" s="12"/>
      <c r="LDV44" s="12"/>
      <c r="LDW44" s="12"/>
      <c r="LDX44" s="12"/>
      <c r="LDY44" s="12"/>
      <c r="LDZ44" s="12"/>
      <c r="LEA44" s="12"/>
      <c r="LEB44" s="12"/>
      <c r="LEC44" s="12"/>
      <c r="LED44" s="12"/>
      <c r="LEE44" s="12"/>
      <c r="LEF44" s="12"/>
      <c r="LEG44" s="12"/>
      <c r="LEH44" s="12"/>
      <c r="LEI44" s="12"/>
      <c r="LEJ44" s="12"/>
      <c r="LEK44" s="12"/>
      <c r="LEL44" s="12"/>
      <c r="LEM44" s="12"/>
      <c r="LEN44" s="12"/>
      <c r="LEO44" s="12"/>
      <c r="LEP44" s="12"/>
      <c r="LEQ44" s="12"/>
      <c r="LER44" s="12"/>
      <c r="LES44" s="12"/>
      <c r="LET44" s="12"/>
      <c r="LEU44" s="12"/>
      <c r="LEV44" s="12"/>
      <c r="LEW44" s="12"/>
      <c r="LEX44" s="12"/>
      <c r="LEY44" s="12"/>
      <c r="LEZ44" s="12"/>
      <c r="LFA44" s="12"/>
      <c r="LFB44" s="12"/>
      <c r="LFC44" s="12"/>
      <c r="LFD44" s="12"/>
      <c r="LFE44" s="12"/>
      <c r="LFF44" s="12"/>
      <c r="LFG44" s="12"/>
      <c r="LFH44" s="12"/>
      <c r="LFI44" s="12"/>
      <c r="LFJ44" s="12"/>
      <c r="LFK44" s="12"/>
      <c r="LFL44" s="12"/>
      <c r="LFM44" s="12"/>
      <c r="LFN44" s="12"/>
      <c r="LFO44" s="12"/>
      <c r="LFP44" s="12"/>
      <c r="LFQ44" s="12"/>
      <c r="LFR44" s="12"/>
      <c r="LFS44" s="12"/>
      <c r="LFT44" s="12"/>
      <c r="LFU44" s="12"/>
      <c r="LFV44" s="12"/>
      <c r="LFW44" s="12"/>
      <c r="LFX44" s="12"/>
      <c r="LFY44" s="12"/>
      <c r="LFZ44" s="12"/>
      <c r="LGA44" s="12"/>
      <c r="LGB44" s="12"/>
      <c r="LGC44" s="12"/>
      <c r="LGD44" s="12"/>
      <c r="LGE44" s="12"/>
      <c r="LGF44" s="12"/>
      <c r="LGG44" s="12"/>
      <c r="LGH44" s="12"/>
      <c r="LGI44" s="12"/>
      <c r="LGJ44" s="12"/>
      <c r="LGK44" s="12"/>
      <c r="LGL44" s="12"/>
      <c r="LGM44" s="12"/>
      <c r="LGN44" s="12"/>
      <c r="LGO44" s="12"/>
      <c r="LGP44" s="12"/>
      <c r="LGQ44" s="12"/>
      <c r="LGR44" s="12"/>
      <c r="LGS44" s="12"/>
      <c r="LGT44" s="12"/>
      <c r="LGU44" s="12"/>
      <c r="LGV44" s="12"/>
      <c r="LGW44" s="12"/>
      <c r="LGX44" s="12"/>
      <c r="LGY44" s="12"/>
      <c r="LGZ44" s="12"/>
      <c r="LHA44" s="12"/>
      <c r="LHB44" s="12"/>
      <c r="LHC44" s="12"/>
      <c r="LHD44" s="12"/>
      <c r="LHE44" s="12"/>
      <c r="LHF44" s="12"/>
      <c r="LHG44" s="12"/>
      <c r="LHH44" s="12"/>
      <c r="LHI44" s="12"/>
      <c r="LHJ44" s="12"/>
      <c r="LHK44" s="12"/>
      <c r="LHL44" s="12"/>
      <c r="LHM44" s="12"/>
      <c r="LHN44" s="12"/>
      <c r="LHO44" s="12"/>
      <c r="LHP44" s="12"/>
      <c r="LHQ44" s="12"/>
      <c r="LHR44" s="12"/>
      <c r="LHS44" s="12"/>
      <c r="LHT44" s="12"/>
      <c r="LHU44" s="12"/>
      <c r="LHV44" s="12"/>
      <c r="LHW44" s="12"/>
      <c r="LHX44" s="12"/>
      <c r="LHY44" s="12"/>
      <c r="LHZ44" s="12"/>
      <c r="LIA44" s="12"/>
      <c r="LIB44" s="12"/>
      <c r="LIC44" s="12"/>
      <c r="LID44" s="12"/>
      <c r="LIE44" s="12"/>
      <c r="LIF44" s="12"/>
      <c r="LIG44" s="12"/>
      <c r="LIH44" s="12"/>
      <c r="LII44" s="12"/>
      <c r="LIJ44" s="12"/>
      <c r="LIK44" s="12"/>
      <c r="LIL44" s="12"/>
      <c r="LIM44" s="12"/>
      <c r="LIN44" s="12"/>
      <c r="LIO44" s="12"/>
      <c r="LIP44" s="12"/>
      <c r="LIQ44" s="12"/>
      <c r="LIR44" s="12"/>
      <c r="LIS44" s="12"/>
      <c r="LIT44" s="12"/>
      <c r="LIU44" s="12"/>
      <c r="LIV44" s="12"/>
      <c r="LIW44" s="12"/>
      <c r="LIX44" s="12"/>
      <c r="LIY44" s="12"/>
      <c r="LIZ44" s="12"/>
      <c r="LJA44" s="12"/>
      <c r="LJB44" s="12"/>
      <c r="LJC44" s="12"/>
      <c r="LJD44" s="12"/>
      <c r="LJE44" s="12"/>
      <c r="LJF44" s="12"/>
      <c r="LJG44" s="12"/>
      <c r="LJH44" s="12"/>
      <c r="LJI44" s="12"/>
      <c r="LJJ44" s="12"/>
      <c r="LJK44" s="12"/>
      <c r="LJL44" s="12"/>
      <c r="LJM44" s="12"/>
      <c r="LJN44" s="12"/>
      <c r="LJO44" s="12"/>
      <c r="LJP44" s="12"/>
      <c r="LJQ44" s="12"/>
      <c r="LJR44" s="12"/>
      <c r="LJS44" s="12"/>
      <c r="LJT44" s="12"/>
      <c r="LJU44" s="12"/>
      <c r="LJV44" s="12"/>
      <c r="LJW44" s="12"/>
      <c r="LJX44" s="12"/>
      <c r="LJY44" s="12"/>
      <c r="LJZ44" s="12"/>
      <c r="LKA44" s="12"/>
      <c r="LKB44" s="12"/>
      <c r="LKC44" s="12"/>
      <c r="LKD44" s="12"/>
      <c r="LKE44" s="12"/>
      <c r="LKF44" s="12"/>
      <c r="LKG44" s="12"/>
      <c r="LKH44" s="12"/>
      <c r="LKI44" s="12"/>
      <c r="LKJ44" s="12"/>
      <c r="LKK44" s="12"/>
      <c r="LKL44" s="12"/>
      <c r="LKM44" s="12"/>
      <c r="LKN44" s="12"/>
      <c r="LKO44" s="12"/>
      <c r="LKP44" s="12"/>
      <c r="LKQ44" s="12"/>
      <c r="LKR44" s="12"/>
      <c r="LKS44" s="12"/>
      <c r="LKT44" s="12"/>
      <c r="LKU44" s="12"/>
      <c r="LKV44" s="12"/>
      <c r="LKW44" s="12"/>
      <c r="LKX44" s="12"/>
      <c r="LKY44" s="12"/>
      <c r="LKZ44" s="12"/>
      <c r="LLA44" s="12"/>
      <c r="LLB44" s="12"/>
      <c r="LLC44" s="12"/>
      <c r="LLD44" s="12"/>
      <c r="LLE44" s="12"/>
      <c r="LLF44" s="12"/>
      <c r="LLG44" s="12"/>
      <c r="LLH44" s="12"/>
      <c r="LLI44" s="12"/>
      <c r="LLJ44" s="12"/>
      <c r="LLK44" s="12"/>
      <c r="LLL44" s="12"/>
      <c r="LLM44" s="12"/>
      <c r="LLN44" s="12"/>
      <c r="LLO44" s="12"/>
      <c r="LLP44" s="12"/>
      <c r="LLQ44" s="12"/>
      <c r="LLR44" s="12"/>
      <c r="LLS44" s="12"/>
      <c r="LLT44" s="12"/>
      <c r="LLU44" s="12"/>
      <c r="LLV44" s="12"/>
      <c r="LLW44" s="12"/>
      <c r="LLX44" s="12"/>
      <c r="LLY44" s="12"/>
      <c r="LLZ44" s="12"/>
      <c r="LMA44" s="12"/>
      <c r="LMB44" s="12"/>
      <c r="LMC44" s="12"/>
      <c r="LMD44" s="12"/>
      <c r="LME44" s="12"/>
      <c r="LMF44" s="12"/>
      <c r="LMG44" s="12"/>
      <c r="LMH44" s="12"/>
      <c r="LMI44" s="12"/>
      <c r="LMJ44" s="12"/>
      <c r="LMK44" s="12"/>
      <c r="LML44" s="12"/>
      <c r="LMM44" s="12"/>
      <c r="LMN44" s="12"/>
      <c r="LMO44" s="12"/>
      <c r="LMP44" s="12"/>
      <c r="LMQ44" s="12"/>
      <c r="LMR44" s="12"/>
      <c r="LMS44" s="12"/>
      <c r="LMT44" s="12"/>
      <c r="LMU44" s="12"/>
      <c r="LMV44" s="12"/>
      <c r="LMW44" s="12"/>
      <c r="LMX44" s="12"/>
      <c r="LMY44" s="12"/>
      <c r="LMZ44" s="12"/>
      <c r="LNA44" s="12"/>
      <c r="LNB44" s="12"/>
      <c r="LNC44" s="12"/>
      <c r="LND44" s="12"/>
      <c r="LNE44" s="12"/>
      <c r="LNF44" s="12"/>
      <c r="LNG44" s="12"/>
      <c r="LNH44" s="12"/>
      <c r="LNI44" s="12"/>
      <c r="LNJ44" s="12"/>
      <c r="LNK44" s="12"/>
      <c r="LNL44" s="12"/>
      <c r="LNM44" s="12"/>
      <c r="LNN44" s="12"/>
      <c r="LNO44" s="12"/>
      <c r="LNP44" s="12"/>
      <c r="LNQ44" s="12"/>
      <c r="LNR44" s="12"/>
      <c r="LNS44" s="12"/>
      <c r="LNT44" s="12"/>
      <c r="LNU44" s="12"/>
      <c r="LNV44" s="12"/>
      <c r="LNW44" s="12"/>
      <c r="LNX44" s="12"/>
      <c r="LNY44" s="12"/>
      <c r="LNZ44" s="12"/>
      <c r="LOA44" s="12"/>
      <c r="LOB44" s="12"/>
      <c r="LOC44" s="12"/>
      <c r="LOD44" s="12"/>
      <c r="LOE44" s="12"/>
      <c r="LOF44" s="12"/>
      <c r="LOG44" s="12"/>
      <c r="LOH44" s="12"/>
      <c r="LOI44" s="12"/>
      <c r="LOJ44" s="12"/>
      <c r="LOK44" s="12"/>
      <c r="LOL44" s="12"/>
      <c r="LOM44" s="12"/>
      <c r="LON44" s="12"/>
      <c r="LOO44" s="12"/>
      <c r="LOP44" s="12"/>
      <c r="LOQ44" s="12"/>
      <c r="LOR44" s="12"/>
      <c r="LOS44" s="12"/>
      <c r="LOT44" s="12"/>
      <c r="LOU44" s="12"/>
      <c r="LOV44" s="12"/>
      <c r="LOW44" s="12"/>
      <c r="LOX44" s="12"/>
      <c r="LOY44" s="12"/>
      <c r="LOZ44" s="12"/>
      <c r="LPA44" s="12"/>
      <c r="LPB44" s="12"/>
      <c r="LPC44" s="12"/>
      <c r="LPD44" s="12"/>
      <c r="LPE44" s="12"/>
      <c r="LPF44" s="12"/>
      <c r="LPG44" s="12"/>
      <c r="LPH44" s="12"/>
      <c r="LPI44" s="12"/>
      <c r="LPJ44" s="12"/>
      <c r="LPK44" s="12"/>
      <c r="LPL44" s="12"/>
      <c r="LPM44" s="12"/>
      <c r="LPN44" s="12"/>
      <c r="LPO44" s="12"/>
      <c r="LPP44" s="12"/>
      <c r="LPQ44" s="12"/>
      <c r="LPR44" s="12"/>
      <c r="LPS44" s="12"/>
      <c r="LPT44" s="12"/>
      <c r="LPU44" s="12"/>
      <c r="LPV44" s="12"/>
      <c r="LPW44" s="12"/>
      <c r="LPX44" s="12"/>
      <c r="LPY44" s="12"/>
      <c r="LPZ44" s="12"/>
      <c r="LQA44" s="12"/>
      <c r="LQB44" s="12"/>
      <c r="LQC44" s="12"/>
      <c r="LQD44" s="12"/>
      <c r="LQE44" s="12"/>
      <c r="LQF44" s="12"/>
      <c r="LQG44" s="12"/>
      <c r="LQH44" s="12"/>
      <c r="LQI44" s="12"/>
      <c r="LQJ44" s="12"/>
      <c r="LQK44" s="12"/>
      <c r="LQL44" s="12"/>
      <c r="LQM44" s="12"/>
      <c r="LQN44" s="12"/>
      <c r="LQO44" s="12"/>
      <c r="LQP44" s="12"/>
      <c r="LQQ44" s="12"/>
      <c r="LQR44" s="12"/>
      <c r="LQS44" s="12"/>
      <c r="LQT44" s="12"/>
      <c r="LQU44" s="12"/>
      <c r="LQV44" s="12"/>
      <c r="LQW44" s="12"/>
      <c r="LQX44" s="12"/>
      <c r="LQY44" s="12"/>
      <c r="LQZ44" s="12"/>
      <c r="LRA44" s="12"/>
      <c r="LRB44" s="12"/>
      <c r="LRC44" s="12"/>
      <c r="LRD44" s="12"/>
      <c r="LRE44" s="12"/>
      <c r="LRF44" s="12"/>
      <c r="LRG44" s="12"/>
      <c r="LRH44" s="12"/>
      <c r="LRI44" s="12"/>
      <c r="LRJ44" s="12"/>
      <c r="LRK44" s="12"/>
      <c r="LRL44" s="12"/>
      <c r="LRM44" s="12"/>
      <c r="LRN44" s="12"/>
      <c r="LRO44" s="12"/>
      <c r="LRP44" s="12"/>
      <c r="LRQ44" s="12"/>
      <c r="LRR44" s="12"/>
      <c r="LRS44" s="12"/>
      <c r="LRT44" s="12"/>
      <c r="LRU44" s="12"/>
      <c r="LRV44" s="12"/>
      <c r="LRW44" s="12"/>
      <c r="LRX44" s="12"/>
      <c r="LRY44" s="12"/>
      <c r="LRZ44" s="12"/>
      <c r="LSA44" s="12"/>
      <c r="LSB44" s="12"/>
      <c r="LSC44" s="12"/>
      <c r="LSD44" s="12"/>
      <c r="LSE44" s="12"/>
      <c r="LSF44" s="12"/>
      <c r="LSG44" s="12"/>
      <c r="LSH44" s="12"/>
      <c r="LSI44" s="12"/>
      <c r="LSJ44" s="12"/>
      <c r="LSK44" s="12"/>
      <c r="LSL44" s="12"/>
      <c r="LSM44" s="12"/>
      <c r="LSN44" s="12"/>
      <c r="LSO44" s="12"/>
      <c r="LSP44" s="12"/>
      <c r="LSQ44" s="12"/>
      <c r="LSR44" s="12"/>
      <c r="LSS44" s="12"/>
      <c r="LST44" s="12"/>
      <c r="LSU44" s="12"/>
      <c r="LSV44" s="12"/>
      <c r="LSW44" s="12"/>
      <c r="LSX44" s="12"/>
      <c r="LSY44" s="12"/>
      <c r="LSZ44" s="12"/>
      <c r="LTA44" s="12"/>
      <c r="LTB44" s="12"/>
      <c r="LTC44" s="12"/>
      <c r="LTD44" s="12"/>
      <c r="LTE44" s="12"/>
      <c r="LTF44" s="12"/>
      <c r="LTG44" s="12"/>
      <c r="LTH44" s="12"/>
      <c r="LTI44" s="12"/>
      <c r="LTJ44" s="12"/>
      <c r="LTK44" s="12"/>
      <c r="LTL44" s="12"/>
      <c r="LTM44" s="12"/>
      <c r="LTN44" s="12"/>
      <c r="LTO44" s="12"/>
      <c r="LTP44" s="12"/>
      <c r="LTQ44" s="12"/>
      <c r="LTR44" s="12"/>
      <c r="LTS44" s="12"/>
      <c r="LTT44" s="12"/>
      <c r="LTU44" s="12"/>
      <c r="LTV44" s="12"/>
      <c r="LTW44" s="12"/>
      <c r="LTX44" s="12"/>
      <c r="LTY44" s="12"/>
      <c r="LTZ44" s="12"/>
      <c r="LUA44" s="12"/>
      <c r="LUB44" s="12"/>
      <c r="LUC44" s="12"/>
      <c r="LUD44" s="12"/>
      <c r="LUE44" s="12"/>
      <c r="LUF44" s="12"/>
      <c r="LUG44" s="12"/>
      <c r="LUH44" s="12"/>
      <c r="LUI44" s="12"/>
      <c r="LUJ44" s="12"/>
      <c r="LUK44" s="12"/>
      <c r="LUL44" s="12"/>
      <c r="LUM44" s="12"/>
      <c r="LUN44" s="12"/>
      <c r="LUO44" s="12"/>
      <c r="LUP44" s="12"/>
      <c r="LUQ44" s="12"/>
      <c r="LUR44" s="12"/>
      <c r="LUS44" s="12"/>
      <c r="LUT44" s="12"/>
      <c r="LUU44" s="12"/>
      <c r="LUV44" s="12"/>
      <c r="LUW44" s="12"/>
      <c r="LUX44" s="12"/>
      <c r="LUY44" s="12"/>
      <c r="LUZ44" s="12"/>
      <c r="LVA44" s="12"/>
      <c r="LVB44" s="12"/>
      <c r="LVC44" s="12"/>
      <c r="LVD44" s="12"/>
      <c r="LVE44" s="12"/>
      <c r="LVF44" s="12"/>
      <c r="LVG44" s="12"/>
      <c r="LVH44" s="12"/>
      <c r="LVI44" s="12"/>
      <c r="LVJ44" s="12"/>
      <c r="LVK44" s="12"/>
      <c r="LVL44" s="12"/>
      <c r="LVM44" s="12"/>
      <c r="LVN44" s="12"/>
      <c r="LVO44" s="12"/>
      <c r="LVP44" s="12"/>
      <c r="LVQ44" s="12"/>
      <c r="LVR44" s="12"/>
      <c r="LVS44" s="12"/>
      <c r="LVT44" s="12"/>
      <c r="LVU44" s="12"/>
      <c r="LVV44" s="12"/>
      <c r="LVW44" s="12"/>
      <c r="LVX44" s="12"/>
      <c r="LVY44" s="12"/>
      <c r="LVZ44" s="12"/>
      <c r="LWA44" s="12"/>
      <c r="LWB44" s="12"/>
      <c r="LWC44" s="12"/>
      <c r="LWD44" s="12"/>
      <c r="LWE44" s="12"/>
      <c r="LWF44" s="12"/>
      <c r="LWG44" s="12"/>
      <c r="LWH44" s="12"/>
      <c r="LWI44" s="12"/>
      <c r="LWJ44" s="12"/>
      <c r="LWK44" s="12"/>
      <c r="LWL44" s="12"/>
      <c r="LWM44" s="12"/>
      <c r="LWN44" s="12"/>
      <c r="LWO44" s="12"/>
      <c r="LWP44" s="12"/>
      <c r="LWQ44" s="12"/>
      <c r="LWR44" s="12"/>
      <c r="LWS44" s="12"/>
      <c r="LWT44" s="12"/>
      <c r="LWU44" s="12"/>
      <c r="LWV44" s="12"/>
      <c r="LWW44" s="12"/>
      <c r="LWX44" s="12"/>
      <c r="LWY44" s="12"/>
      <c r="LWZ44" s="12"/>
      <c r="LXA44" s="12"/>
      <c r="LXB44" s="12"/>
      <c r="LXC44" s="12"/>
      <c r="LXD44" s="12"/>
      <c r="LXE44" s="12"/>
      <c r="LXF44" s="12"/>
      <c r="LXG44" s="12"/>
      <c r="LXH44" s="12"/>
      <c r="LXI44" s="12"/>
      <c r="LXJ44" s="12"/>
      <c r="LXK44" s="12"/>
      <c r="LXL44" s="12"/>
      <c r="LXM44" s="12"/>
      <c r="LXN44" s="12"/>
      <c r="LXO44" s="12"/>
      <c r="LXP44" s="12"/>
      <c r="LXQ44" s="12"/>
      <c r="LXR44" s="12"/>
      <c r="LXS44" s="12"/>
      <c r="LXT44" s="12"/>
      <c r="LXU44" s="12"/>
      <c r="LXV44" s="12"/>
      <c r="LXW44" s="12"/>
      <c r="LXX44" s="12"/>
      <c r="LXY44" s="12"/>
      <c r="LXZ44" s="12"/>
      <c r="LYA44" s="12"/>
      <c r="LYB44" s="12"/>
      <c r="LYC44" s="12"/>
      <c r="LYD44" s="12"/>
      <c r="LYE44" s="12"/>
      <c r="LYF44" s="12"/>
      <c r="LYG44" s="12"/>
      <c r="LYH44" s="12"/>
      <c r="LYI44" s="12"/>
      <c r="LYJ44" s="12"/>
      <c r="LYK44" s="12"/>
      <c r="LYL44" s="12"/>
      <c r="LYM44" s="12"/>
      <c r="LYN44" s="12"/>
      <c r="LYO44" s="12"/>
      <c r="LYP44" s="12"/>
      <c r="LYQ44" s="12"/>
      <c r="LYR44" s="12"/>
      <c r="LYS44" s="12"/>
      <c r="LYT44" s="12"/>
      <c r="LYU44" s="12"/>
      <c r="LYV44" s="12"/>
      <c r="LYW44" s="12"/>
      <c r="LYX44" s="12"/>
      <c r="LYY44" s="12"/>
      <c r="LYZ44" s="12"/>
      <c r="LZA44" s="12"/>
      <c r="LZB44" s="12"/>
      <c r="LZC44" s="12"/>
      <c r="LZD44" s="12"/>
      <c r="LZE44" s="12"/>
      <c r="LZF44" s="12"/>
      <c r="LZG44" s="12"/>
      <c r="LZH44" s="12"/>
      <c r="LZI44" s="12"/>
      <c r="LZJ44" s="12"/>
      <c r="LZK44" s="12"/>
      <c r="LZL44" s="12"/>
      <c r="LZM44" s="12"/>
      <c r="LZN44" s="12"/>
      <c r="LZO44" s="12"/>
      <c r="LZP44" s="12"/>
      <c r="LZQ44" s="12"/>
      <c r="LZR44" s="12"/>
      <c r="LZS44" s="12"/>
      <c r="LZT44" s="12"/>
      <c r="LZU44" s="12"/>
      <c r="LZV44" s="12"/>
      <c r="LZW44" s="12"/>
      <c r="LZX44" s="12"/>
      <c r="LZY44" s="12"/>
      <c r="LZZ44" s="12"/>
      <c r="MAA44" s="12"/>
      <c r="MAB44" s="12"/>
      <c r="MAC44" s="12"/>
      <c r="MAD44" s="12"/>
      <c r="MAE44" s="12"/>
      <c r="MAF44" s="12"/>
      <c r="MAG44" s="12"/>
      <c r="MAH44" s="12"/>
      <c r="MAI44" s="12"/>
      <c r="MAJ44" s="12"/>
      <c r="MAK44" s="12"/>
      <c r="MAL44" s="12"/>
      <c r="MAM44" s="12"/>
      <c r="MAN44" s="12"/>
      <c r="MAO44" s="12"/>
      <c r="MAP44" s="12"/>
      <c r="MAQ44" s="12"/>
      <c r="MAR44" s="12"/>
      <c r="MAS44" s="12"/>
      <c r="MAT44" s="12"/>
      <c r="MAU44" s="12"/>
      <c r="MAV44" s="12"/>
      <c r="MAW44" s="12"/>
      <c r="MAX44" s="12"/>
      <c r="MAY44" s="12"/>
      <c r="MAZ44" s="12"/>
      <c r="MBA44" s="12"/>
      <c r="MBB44" s="12"/>
      <c r="MBC44" s="12"/>
      <c r="MBD44" s="12"/>
      <c r="MBE44" s="12"/>
      <c r="MBF44" s="12"/>
      <c r="MBG44" s="12"/>
      <c r="MBH44" s="12"/>
      <c r="MBI44" s="12"/>
      <c r="MBJ44" s="12"/>
      <c r="MBK44" s="12"/>
      <c r="MBL44" s="12"/>
      <c r="MBM44" s="12"/>
      <c r="MBN44" s="12"/>
      <c r="MBO44" s="12"/>
      <c r="MBP44" s="12"/>
      <c r="MBQ44" s="12"/>
      <c r="MBR44" s="12"/>
      <c r="MBS44" s="12"/>
      <c r="MBT44" s="12"/>
      <c r="MBU44" s="12"/>
      <c r="MBV44" s="12"/>
      <c r="MBW44" s="12"/>
      <c r="MBX44" s="12"/>
      <c r="MBY44" s="12"/>
      <c r="MBZ44" s="12"/>
      <c r="MCA44" s="12"/>
      <c r="MCB44" s="12"/>
      <c r="MCC44" s="12"/>
      <c r="MCD44" s="12"/>
      <c r="MCE44" s="12"/>
      <c r="MCF44" s="12"/>
      <c r="MCG44" s="12"/>
      <c r="MCH44" s="12"/>
      <c r="MCI44" s="12"/>
      <c r="MCJ44" s="12"/>
      <c r="MCK44" s="12"/>
      <c r="MCL44" s="12"/>
      <c r="MCM44" s="12"/>
      <c r="MCN44" s="12"/>
      <c r="MCO44" s="12"/>
      <c r="MCP44" s="12"/>
      <c r="MCQ44" s="12"/>
      <c r="MCR44" s="12"/>
      <c r="MCS44" s="12"/>
      <c r="MCT44" s="12"/>
      <c r="MCU44" s="12"/>
      <c r="MCV44" s="12"/>
      <c r="MCW44" s="12"/>
      <c r="MCX44" s="12"/>
      <c r="MCY44" s="12"/>
      <c r="MCZ44" s="12"/>
      <c r="MDA44" s="12"/>
      <c r="MDB44" s="12"/>
      <c r="MDC44" s="12"/>
      <c r="MDD44" s="12"/>
      <c r="MDE44" s="12"/>
      <c r="MDF44" s="12"/>
      <c r="MDG44" s="12"/>
      <c r="MDH44" s="12"/>
      <c r="MDI44" s="12"/>
      <c r="MDJ44" s="12"/>
      <c r="MDK44" s="12"/>
      <c r="MDL44" s="12"/>
      <c r="MDM44" s="12"/>
      <c r="MDN44" s="12"/>
      <c r="MDO44" s="12"/>
      <c r="MDP44" s="12"/>
      <c r="MDQ44" s="12"/>
      <c r="MDR44" s="12"/>
      <c r="MDS44" s="12"/>
      <c r="MDT44" s="12"/>
      <c r="MDU44" s="12"/>
      <c r="MDV44" s="12"/>
      <c r="MDW44" s="12"/>
      <c r="MDX44" s="12"/>
      <c r="MDY44" s="12"/>
      <c r="MDZ44" s="12"/>
      <c r="MEA44" s="12"/>
      <c r="MEB44" s="12"/>
      <c r="MEC44" s="12"/>
      <c r="MED44" s="12"/>
      <c r="MEE44" s="12"/>
      <c r="MEF44" s="12"/>
      <c r="MEG44" s="12"/>
      <c r="MEH44" s="12"/>
      <c r="MEI44" s="12"/>
      <c r="MEJ44" s="12"/>
      <c r="MEK44" s="12"/>
      <c r="MEL44" s="12"/>
      <c r="MEM44" s="12"/>
      <c r="MEN44" s="12"/>
      <c r="MEO44" s="12"/>
      <c r="MEP44" s="12"/>
      <c r="MEQ44" s="12"/>
      <c r="MER44" s="12"/>
      <c r="MES44" s="12"/>
      <c r="MET44" s="12"/>
      <c r="MEU44" s="12"/>
      <c r="MEV44" s="12"/>
      <c r="MEW44" s="12"/>
      <c r="MEX44" s="12"/>
      <c r="MEY44" s="12"/>
      <c r="MEZ44" s="12"/>
      <c r="MFA44" s="12"/>
      <c r="MFB44" s="12"/>
      <c r="MFC44" s="12"/>
      <c r="MFD44" s="12"/>
      <c r="MFE44" s="12"/>
      <c r="MFF44" s="12"/>
      <c r="MFG44" s="12"/>
      <c r="MFH44" s="12"/>
      <c r="MFI44" s="12"/>
      <c r="MFJ44" s="12"/>
      <c r="MFK44" s="12"/>
      <c r="MFL44" s="12"/>
      <c r="MFM44" s="12"/>
      <c r="MFN44" s="12"/>
      <c r="MFO44" s="12"/>
      <c r="MFP44" s="12"/>
      <c r="MFQ44" s="12"/>
      <c r="MFR44" s="12"/>
      <c r="MFS44" s="12"/>
      <c r="MFT44" s="12"/>
      <c r="MFU44" s="12"/>
      <c r="MFV44" s="12"/>
      <c r="MFW44" s="12"/>
      <c r="MFX44" s="12"/>
      <c r="MFY44" s="12"/>
      <c r="MFZ44" s="12"/>
      <c r="MGA44" s="12"/>
      <c r="MGB44" s="12"/>
      <c r="MGC44" s="12"/>
      <c r="MGD44" s="12"/>
      <c r="MGE44" s="12"/>
      <c r="MGF44" s="12"/>
      <c r="MGG44" s="12"/>
      <c r="MGH44" s="12"/>
      <c r="MGI44" s="12"/>
      <c r="MGJ44" s="12"/>
      <c r="MGK44" s="12"/>
      <c r="MGL44" s="12"/>
      <c r="MGM44" s="12"/>
      <c r="MGN44" s="12"/>
      <c r="MGO44" s="12"/>
      <c r="MGP44" s="12"/>
      <c r="MGQ44" s="12"/>
      <c r="MGR44" s="12"/>
      <c r="MGS44" s="12"/>
      <c r="MGT44" s="12"/>
      <c r="MGU44" s="12"/>
      <c r="MGV44" s="12"/>
      <c r="MGW44" s="12"/>
      <c r="MGX44" s="12"/>
      <c r="MGY44" s="12"/>
      <c r="MGZ44" s="12"/>
      <c r="MHA44" s="12"/>
      <c r="MHB44" s="12"/>
      <c r="MHC44" s="12"/>
      <c r="MHD44" s="12"/>
      <c r="MHE44" s="12"/>
      <c r="MHF44" s="12"/>
      <c r="MHG44" s="12"/>
      <c r="MHH44" s="12"/>
      <c r="MHI44" s="12"/>
      <c r="MHJ44" s="12"/>
      <c r="MHK44" s="12"/>
      <c r="MHL44" s="12"/>
      <c r="MHM44" s="12"/>
      <c r="MHN44" s="12"/>
      <c r="MHO44" s="12"/>
      <c r="MHP44" s="12"/>
      <c r="MHQ44" s="12"/>
      <c r="MHR44" s="12"/>
      <c r="MHS44" s="12"/>
      <c r="MHT44" s="12"/>
      <c r="MHU44" s="12"/>
      <c r="MHV44" s="12"/>
      <c r="MHW44" s="12"/>
      <c r="MHX44" s="12"/>
      <c r="MHY44" s="12"/>
      <c r="MHZ44" s="12"/>
      <c r="MIA44" s="12"/>
      <c r="MIB44" s="12"/>
      <c r="MIC44" s="12"/>
      <c r="MID44" s="12"/>
      <c r="MIE44" s="12"/>
      <c r="MIF44" s="12"/>
      <c r="MIG44" s="12"/>
      <c r="MIH44" s="12"/>
      <c r="MII44" s="12"/>
      <c r="MIJ44" s="12"/>
      <c r="MIK44" s="12"/>
      <c r="MIL44" s="12"/>
      <c r="MIM44" s="12"/>
      <c r="MIN44" s="12"/>
      <c r="MIO44" s="12"/>
      <c r="MIP44" s="12"/>
      <c r="MIQ44" s="12"/>
      <c r="MIR44" s="12"/>
      <c r="MIS44" s="12"/>
      <c r="MIT44" s="12"/>
      <c r="MIU44" s="12"/>
      <c r="MIV44" s="12"/>
      <c r="MIW44" s="12"/>
      <c r="MIX44" s="12"/>
      <c r="MIY44" s="12"/>
      <c r="MIZ44" s="12"/>
      <c r="MJA44" s="12"/>
      <c r="MJB44" s="12"/>
      <c r="MJC44" s="12"/>
      <c r="MJD44" s="12"/>
      <c r="MJE44" s="12"/>
      <c r="MJF44" s="12"/>
      <c r="MJG44" s="12"/>
      <c r="MJH44" s="12"/>
      <c r="MJI44" s="12"/>
      <c r="MJJ44" s="12"/>
      <c r="MJK44" s="12"/>
      <c r="MJL44" s="12"/>
      <c r="MJM44" s="12"/>
      <c r="MJN44" s="12"/>
      <c r="MJO44" s="12"/>
      <c r="MJP44" s="12"/>
      <c r="MJQ44" s="12"/>
      <c r="MJR44" s="12"/>
      <c r="MJS44" s="12"/>
      <c r="MJT44" s="12"/>
      <c r="MJU44" s="12"/>
      <c r="MJV44" s="12"/>
      <c r="MJW44" s="12"/>
      <c r="MJX44" s="12"/>
      <c r="MJY44" s="12"/>
      <c r="MJZ44" s="12"/>
      <c r="MKA44" s="12"/>
      <c r="MKB44" s="12"/>
      <c r="MKC44" s="12"/>
      <c r="MKD44" s="12"/>
      <c r="MKE44" s="12"/>
      <c r="MKF44" s="12"/>
      <c r="MKG44" s="12"/>
      <c r="MKH44" s="12"/>
      <c r="MKI44" s="12"/>
      <c r="MKJ44" s="12"/>
      <c r="MKK44" s="12"/>
      <c r="MKL44" s="12"/>
      <c r="MKM44" s="12"/>
      <c r="MKN44" s="12"/>
      <c r="MKO44" s="12"/>
      <c r="MKP44" s="12"/>
      <c r="MKQ44" s="12"/>
      <c r="MKR44" s="12"/>
      <c r="MKS44" s="12"/>
      <c r="MKT44" s="12"/>
      <c r="MKU44" s="12"/>
      <c r="MKV44" s="12"/>
      <c r="MKW44" s="12"/>
      <c r="MKX44" s="12"/>
      <c r="MKY44" s="12"/>
      <c r="MKZ44" s="12"/>
      <c r="MLA44" s="12"/>
      <c r="MLB44" s="12"/>
      <c r="MLC44" s="12"/>
      <c r="MLD44" s="12"/>
      <c r="MLE44" s="12"/>
      <c r="MLF44" s="12"/>
      <c r="MLG44" s="12"/>
      <c r="MLH44" s="12"/>
      <c r="MLI44" s="12"/>
      <c r="MLJ44" s="12"/>
      <c r="MLK44" s="12"/>
      <c r="MLL44" s="12"/>
      <c r="MLM44" s="12"/>
      <c r="MLN44" s="12"/>
      <c r="MLO44" s="12"/>
      <c r="MLP44" s="12"/>
      <c r="MLQ44" s="12"/>
      <c r="MLR44" s="12"/>
      <c r="MLS44" s="12"/>
      <c r="MLT44" s="12"/>
      <c r="MLU44" s="12"/>
      <c r="MLV44" s="12"/>
      <c r="MLW44" s="12"/>
      <c r="MLX44" s="12"/>
      <c r="MLY44" s="12"/>
      <c r="MLZ44" s="12"/>
      <c r="MMA44" s="12"/>
      <c r="MMB44" s="12"/>
      <c r="MMC44" s="12"/>
      <c r="MMD44" s="12"/>
      <c r="MME44" s="12"/>
      <c r="MMF44" s="12"/>
      <c r="MMG44" s="12"/>
      <c r="MMH44" s="12"/>
      <c r="MMI44" s="12"/>
      <c r="MMJ44" s="12"/>
      <c r="MMK44" s="12"/>
      <c r="MML44" s="12"/>
      <c r="MMM44" s="12"/>
      <c r="MMN44" s="12"/>
      <c r="MMO44" s="12"/>
      <c r="MMP44" s="12"/>
      <c r="MMQ44" s="12"/>
      <c r="MMR44" s="12"/>
      <c r="MMS44" s="12"/>
      <c r="MMT44" s="12"/>
      <c r="MMU44" s="12"/>
      <c r="MMV44" s="12"/>
      <c r="MMW44" s="12"/>
      <c r="MMX44" s="12"/>
      <c r="MMY44" s="12"/>
      <c r="MMZ44" s="12"/>
      <c r="MNA44" s="12"/>
      <c r="MNB44" s="12"/>
      <c r="MNC44" s="12"/>
      <c r="MND44" s="12"/>
      <c r="MNE44" s="12"/>
      <c r="MNF44" s="12"/>
      <c r="MNG44" s="12"/>
      <c r="MNH44" s="12"/>
      <c r="MNI44" s="12"/>
      <c r="MNJ44" s="12"/>
      <c r="MNK44" s="12"/>
      <c r="MNL44" s="12"/>
      <c r="MNM44" s="12"/>
      <c r="MNN44" s="12"/>
      <c r="MNO44" s="12"/>
      <c r="MNP44" s="12"/>
      <c r="MNQ44" s="12"/>
      <c r="MNR44" s="12"/>
      <c r="MNS44" s="12"/>
      <c r="MNT44" s="12"/>
      <c r="MNU44" s="12"/>
      <c r="MNV44" s="12"/>
      <c r="MNW44" s="12"/>
      <c r="MNX44" s="12"/>
      <c r="MNY44" s="12"/>
      <c r="MNZ44" s="12"/>
      <c r="MOA44" s="12"/>
      <c r="MOB44" s="12"/>
      <c r="MOC44" s="12"/>
      <c r="MOD44" s="12"/>
      <c r="MOE44" s="12"/>
      <c r="MOF44" s="12"/>
      <c r="MOG44" s="12"/>
      <c r="MOH44" s="12"/>
      <c r="MOI44" s="12"/>
      <c r="MOJ44" s="12"/>
      <c r="MOK44" s="12"/>
      <c r="MOL44" s="12"/>
      <c r="MOM44" s="12"/>
      <c r="MON44" s="12"/>
      <c r="MOO44" s="12"/>
      <c r="MOP44" s="12"/>
      <c r="MOQ44" s="12"/>
      <c r="MOR44" s="12"/>
      <c r="MOS44" s="12"/>
      <c r="MOT44" s="12"/>
      <c r="MOU44" s="12"/>
      <c r="MOV44" s="12"/>
      <c r="MOW44" s="12"/>
      <c r="MOX44" s="12"/>
      <c r="MOY44" s="12"/>
      <c r="MOZ44" s="12"/>
      <c r="MPA44" s="12"/>
      <c r="MPB44" s="12"/>
      <c r="MPC44" s="12"/>
      <c r="MPD44" s="12"/>
      <c r="MPE44" s="12"/>
      <c r="MPF44" s="12"/>
      <c r="MPG44" s="12"/>
      <c r="MPH44" s="12"/>
      <c r="MPI44" s="12"/>
      <c r="MPJ44" s="12"/>
      <c r="MPK44" s="12"/>
      <c r="MPL44" s="12"/>
      <c r="MPM44" s="12"/>
      <c r="MPN44" s="12"/>
      <c r="MPO44" s="12"/>
      <c r="MPP44" s="12"/>
      <c r="MPQ44" s="12"/>
      <c r="MPR44" s="12"/>
      <c r="MPS44" s="12"/>
      <c r="MPT44" s="12"/>
      <c r="MPU44" s="12"/>
      <c r="MPV44" s="12"/>
      <c r="MPW44" s="12"/>
      <c r="MPX44" s="12"/>
      <c r="MPY44" s="12"/>
      <c r="MPZ44" s="12"/>
      <c r="MQA44" s="12"/>
      <c r="MQB44" s="12"/>
      <c r="MQC44" s="12"/>
      <c r="MQD44" s="12"/>
      <c r="MQE44" s="12"/>
      <c r="MQF44" s="12"/>
      <c r="MQG44" s="12"/>
      <c r="MQH44" s="12"/>
      <c r="MQI44" s="12"/>
      <c r="MQJ44" s="12"/>
      <c r="MQK44" s="12"/>
      <c r="MQL44" s="12"/>
      <c r="MQM44" s="12"/>
      <c r="MQN44" s="12"/>
      <c r="MQO44" s="12"/>
      <c r="MQP44" s="12"/>
      <c r="MQQ44" s="12"/>
      <c r="MQR44" s="12"/>
      <c r="MQS44" s="12"/>
      <c r="MQT44" s="12"/>
      <c r="MQU44" s="12"/>
      <c r="MQV44" s="12"/>
      <c r="MQW44" s="12"/>
      <c r="MQX44" s="12"/>
      <c r="MQY44" s="12"/>
      <c r="MQZ44" s="12"/>
      <c r="MRA44" s="12"/>
      <c r="MRB44" s="12"/>
      <c r="MRC44" s="12"/>
      <c r="MRD44" s="12"/>
      <c r="MRE44" s="12"/>
      <c r="MRF44" s="12"/>
      <c r="MRG44" s="12"/>
      <c r="MRH44" s="12"/>
      <c r="MRI44" s="12"/>
      <c r="MRJ44" s="12"/>
      <c r="MRK44" s="12"/>
      <c r="MRL44" s="12"/>
      <c r="MRM44" s="12"/>
      <c r="MRN44" s="12"/>
      <c r="MRO44" s="12"/>
      <c r="MRP44" s="12"/>
      <c r="MRQ44" s="12"/>
      <c r="MRR44" s="12"/>
      <c r="MRS44" s="12"/>
      <c r="MRT44" s="12"/>
      <c r="MRU44" s="12"/>
      <c r="MRV44" s="12"/>
      <c r="MRW44" s="12"/>
      <c r="MRX44" s="12"/>
      <c r="MRY44" s="12"/>
      <c r="MRZ44" s="12"/>
      <c r="MSA44" s="12"/>
      <c r="MSB44" s="12"/>
      <c r="MSC44" s="12"/>
      <c r="MSD44" s="12"/>
      <c r="MSE44" s="12"/>
      <c r="MSF44" s="12"/>
      <c r="MSG44" s="12"/>
      <c r="MSH44" s="12"/>
      <c r="MSI44" s="12"/>
      <c r="MSJ44" s="12"/>
      <c r="MSK44" s="12"/>
      <c r="MSL44" s="12"/>
      <c r="MSM44" s="12"/>
      <c r="MSN44" s="12"/>
      <c r="MSO44" s="12"/>
      <c r="MSP44" s="12"/>
      <c r="MSQ44" s="12"/>
      <c r="MSR44" s="12"/>
      <c r="MSS44" s="12"/>
      <c r="MST44" s="12"/>
      <c r="MSU44" s="12"/>
      <c r="MSV44" s="12"/>
      <c r="MSW44" s="12"/>
      <c r="MSX44" s="12"/>
      <c r="MSY44" s="12"/>
      <c r="MSZ44" s="12"/>
      <c r="MTA44" s="12"/>
      <c r="MTB44" s="12"/>
      <c r="MTC44" s="12"/>
      <c r="MTD44" s="12"/>
      <c r="MTE44" s="12"/>
      <c r="MTF44" s="12"/>
      <c r="MTG44" s="12"/>
      <c r="MTH44" s="12"/>
      <c r="MTI44" s="12"/>
      <c r="MTJ44" s="12"/>
      <c r="MTK44" s="12"/>
      <c r="MTL44" s="12"/>
      <c r="MTM44" s="12"/>
      <c r="MTN44" s="12"/>
      <c r="MTO44" s="12"/>
      <c r="MTP44" s="12"/>
      <c r="MTQ44" s="12"/>
      <c r="MTR44" s="12"/>
      <c r="MTS44" s="12"/>
      <c r="MTT44" s="12"/>
      <c r="MTU44" s="12"/>
      <c r="MTV44" s="12"/>
      <c r="MTW44" s="12"/>
      <c r="MTX44" s="12"/>
      <c r="MTY44" s="12"/>
      <c r="MTZ44" s="12"/>
      <c r="MUA44" s="12"/>
      <c r="MUB44" s="12"/>
      <c r="MUC44" s="12"/>
      <c r="MUD44" s="12"/>
      <c r="MUE44" s="12"/>
      <c r="MUF44" s="12"/>
      <c r="MUG44" s="12"/>
      <c r="MUH44" s="12"/>
      <c r="MUI44" s="12"/>
      <c r="MUJ44" s="12"/>
      <c r="MUK44" s="12"/>
      <c r="MUL44" s="12"/>
      <c r="MUM44" s="12"/>
      <c r="MUN44" s="12"/>
      <c r="MUO44" s="12"/>
      <c r="MUP44" s="12"/>
      <c r="MUQ44" s="12"/>
      <c r="MUR44" s="12"/>
      <c r="MUS44" s="12"/>
      <c r="MUT44" s="12"/>
      <c r="MUU44" s="12"/>
      <c r="MUV44" s="12"/>
      <c r="MUW44" s="12"/>
      <c r="MUX44" s="12"/>
      <c r="MUY44" s="12"/>
      <c r="MUZ44" s="12"/>
      <c r="MVA44" s="12"/>
      <c r="MVB44" s="12"/>
      <c r="MVC44" s="12"/>
      <c r="MVD44" s="12"/>
      <c r="MVE44" s="12"/>
      <c r="MVF44" s="12"/>
      <c r="MVG44" s="12"/>
      <c r="MVH44" s="12"/>
      <c r="MVI44" s="12"/>
      <c r="MVJ44" s="12"/>
      <c r="MVK44" s="12"/>
      <c r="MVL44" s="12"/>
      <c r="MVM44" s="12"/>
      <c r="MVN44" s="12"/>
      <c r="MVO44" s="12"/>
      <c r="MVP44" s="12"/>
      <c r="MVQ44" s="12"/>
      <c r="MVR44" s="12"/>
      <c r="MVS44" s="12"/>
      <c r="MVT44" s="12"/>
      <c r="MVU44" s="12"/>
      <c r="MVV44" s="12"/>
      <c r="MVW44" s="12"/>
      <c r="MVX44" s="12"/>
      <c r="MVY44" s="12"/>
      <c r="MVZ44" s="12"/>
      <c r="MWA44" s="12"/>
      <c r="MWB44" s="12"/>
      <c r="MWC44" s="12"/>
      <c r="MWD44" s="12"/>
      <c r="MWE44" s="12"/>
      <c r="MWF44" s="12"/>
      <c r="MWG44" s="12"/>
      <c r="MWH44" s="12"/>
      <c r="MWI44" s="12"/>
      <c r="MWJ44" s="12"/>
      <c r="MWK44" s="12"/>
      <c r="MWL44" s="12"/>
      <c r="MWM44" s="12"/>
      <c r="MWN44" s="12"/>
      <c r="MWO44" s="12"/>
      <c r="MWP44" s="12"/>
      <c r="MWQ44" s="12"/>
      <c r="MWR44" s="12"/>
      <c r="MWS44" s="12"/>
      <c r="MWT44" s="12"/>
      <c r="MWU44" s="12"/>
      <c r="MWV44" s="12"/>
      <c r="MWW44" s="12"/>
      <c r="MWX44" s="12"/>
      <c r="MWY44" s="12"/>
      <c r="MWZ44" s="12"/>
      <c r="MXA44" s="12"/>
      <c r="MXB44" s="12"/>
      <c r="MXC44" s="12"/>
      <c r="MXD44" s="12"/>
      <c r="MXE44" s="12"/>
      <c r="MXF44" s="12"/>
      <c r="MXG44" s="12"/>
      <c r="MXH44" s="12"/>
      <c r="MXI44" s="12"/>
      <c r="MXJ44" s="12"/>
      <c r="MXK44" s="12"/>
      <c r="MXL44" s="12"/>
      <c r="MXM44" s="12"/>
      <c r="MXN44" s="12"/>
      <c r="MXO44" s="12"/>
      <c r="MXP44" s="12"/>
      <c r="MXQ44" s="12"/>
      <c r="MXR44" s="12"/>
      <c r="MXS44" s="12"/>
      <c r="MXT44" s="12"/>
      <c r="MXU44" s="12"/>
      <c r="MXV44" s="12"/>
      <c r="MXW44" s="12"/>
      <c r="MXX44" s="12"/>
      <c r="MXY44" s="12"/>
      <c r="MXZ44" s="12"/>
      <c r="MYA44" s="12"/>
      <c r="MYB44" s="12"/>
      <c r="MYC44" s="12"/>
      <c r="MYD44" s="12"/>
      <c r="MYE44" s="12"/>
      <c r="MYF44" s="12"/>
      <c r="MYG44" s="12"/>
      <c r="MYH44" s="12"/>
      <c r="MYI44" s="12"/>
      <c r="MYJ44" s="12"/>
      <c r="MYK44" s="12"/>
      <c r="MYL44" s="12"/>
      <c r="MYM44" s="12"/>
      <c r="MYN44" s="12"/>
      <c r="MYO44" s="12"/>
      <c r="MYP44" s="12"/>
      <c r="MYQ44" s="12"/>
      <c r="MYR44" s="12"/>
      <c r="MYS44" s="12"/>
      <c r="MYT44" s="12"/>
      <c r="MYU44" s="12"/>
      <c r="MYV44" s="12"/>
      <c r="MYW44" s="12"/>
      <c r="MYX44" s="12"/>
      <c r="MYY44" s="12"/>
      <c r="MYZ44" s="12"/>
      <c r="MZA44" s="12"/>
      <c r="MZB44" s="12"/>
      <c r="MZC44" s="12"/>
      <c r="MZD44" s="12"/>
      <c r="MZE44" s="12"/>
      <c r="MZF44" s="12"/>
      <c r="MZG44" s="12"/>
      <c r="MZH44" s="12"/>
      <c r="MZI44" s="12"/>
      <c r="MZJ44" s="12"/>
      <c r="MZK44" s="12"/>
      <c r="MZL44" s="12"/>
      <c r="MZM44" s="12"/>
      <c r="MZN44" s="12"/>
      <c r="MZO44" s="12"/>
      <c r="MZP44" s="12"/>
      <c r="MZQ44" s="12"/>
      <c r="MZR44" s="12"/>
      <c r="MZS44" s="12"/>
      <c r="MZT44" s="12"/>
      <c r="MZU44" s="12"/>
      <c r="MZV44" s="12"/>
      <c r="MZW44" s="12"/>
      <c r="MZX44" s="12"/>
      <c r="MZY44" s="12"/>
      <c r="MZZ44" s="12"/>
      <c r="NAA44" s="12"/>
      <c r="NAB44" s="12"/>
      <c r="NAC44" s="12"/>
      <c r="NAD44" s="12"/>
      <c r="NAE44" s="12"/>
      <c r="NAF44" s="12"/>
      <c r="NAG44" s="12"/>
      <c r="NAH44" s="12"/>
      <c r="NAI44" s="12"/>
      <c r="NAJ44" s="12"/>
      <c r="NAK44" s="12"/>
      <c r="NAL44" s="12"/>
      <c r="NAM44" s="12"/>
      <c r="NAN44" s="12"/>
      <c r="NAO44" s="12"/>
      <c r="NAP44" s="12"/>
      <c r="NAQ44" s="12"/>
      <c r="NAR44" s="12"/>
      <c r="NAS44" s="12"/>
      <c r="NAT44" s="12"/>
      <c r="NAU44" s="12"/>
      <c r="NAV44" s="12"/>
      <c r="NAW44" s="12"/>
      <c r="NAX44" s="12"/>
      <c r="NAY44" s="12"/>
      <c r="NAZ44" s="12"/>
      <c r="NBA44" s="12"/>
      <c r="NBB44" s="12"/>
      <c r="NBC44" s="12"/>
      <c r="NBD44" s="12"/>
      <c r="NBE44" s="12"/>
      <c r="NBF44" s="12"/>
      <c r="NBG44" s="12"/>
      <c r="NBH44" s="12"/>
      <c r="NBI44" s="12"/>
      <c r="NBJ44" s="12"/>
      <c r="NBK44" s="12"/>
      <c r="NBL44" s="12"/>
      <c r="NBM44" s="12"/>
      <c r="NBN44" s="12"/>
      <c r="NBO44" s="12"/>
      <c r="NBP44" s="12"/>
      <c r="NBQ44" s="12"/>
      <c r="NBR44" s="12"/>
      <c r="NBS44" s="12"/>
      <c r="NBT44" s="12"/>
      <c r="NBU44" s="12"/>
      <c r="NBV44" s="12"/>
      <c r="NBW44" s="12"/>
      <c r="NBX44" s="12"/>
      <c r="NBY44" s="12"/>
      <c r="NBZ44" s="12"/>
      <c r="NCA44" s="12"/>
      <c r="NCB44" s="12"/>
      <c r="NCC44" s="12"/>
      <c r="NCD44" s="12"/>
      <c r="NCE44" s="12"/>
      <c r="NCF44" s="12"/>
      <c r="NCG44" s="12"/>
      <c r="NCH44" s="12"/>
      <c r="NCI44" s="12"/>
      <c r="NCJ44" s="12"/>
      <c r="NCK44" s="12"/>
      <c r="NCL44" s="12"/>
      <c r="NCM44" s="12"/>
      <c r="NCN44" s="12"/>
      <c r="NCO44" s="12"/>
      <c r="NCP44" s="12"/>
      <c r="NCQ44" s="12"/>
      <c r="NCR44" s="12"/>
      <c r="NCS44" s="12"/>
      <c r="NCT44" s="12"/>
      <c r="NCU44" s="12"/>
      <c r="NCV44" s="12"/>
      <c r="NCW44" s="12"/>
      <c r="NCX44" s="12"/>
      <c r="NCY44" s="12"/>
      <c r="NCZ44" s="12"/>
      <c r="NDA44" s="12"/>
      <c r="NDB44" s="12"/>
      <c r="NDC44" s="12"/>
      <c r="NDD44" s="12"/>
      <c r="NDE44" s="12"/>
      <c r="NDF44" s="12"/>
      <c r="NDG44" s="12"/>
      <c r="NDH44" s="12"/>
      <c r="NDI44" s="12"/>
      <c r="NDJ44" s="12"/>
      <c r="NDK44" s="12"/>
      <c r="NDL44" s="12"/>
      <c r="NDM44" s="12"/>
      <c r="NDN44" s="12"/>
      <c r="NDO44" s="12"/>
      <c r="NDP44" s="12"/>
      <c r="NDQ44" s="12"/>
      <c r="NDR44" s="12"/>
      <c r="NDS44" s="12"/>
      <c r="NDT44" s="12"/>
      <c r="NDU44" s="12"/>
      <c r="NDV44" s="12"/>
      <c r="NDW44" s="12"/>
      <c r="NDX44" s="12"/>
      <c r="NDY44" s="12"/>
      <c r="NDZ44" s="12"/>
      <c r="NEA44" s="12"/>
      <c r="NEB44" s="12"/>
      <c r="NEC44" s="12"/>
      <c r="NED44" s="12"/>
      <c r="NEE44" s="12"/>
      <c r="NEF44" s="12"/>
      <c r="NEG44" s="12"/>
      <c r="NEH44" s="12"/>
      <c r="NEI44" s="12"/>
      <c r="NEJ44" s="12"/>
      <c r="NEK44" s="12"/>
      <c r="NEL44" s="12"/>
      <c r="NEM44" s="12"/>
      <c r="NEN44" s="12"/>
      <c r="NEO44" s="12"/>
      <c r="NEP44" s="12"/>
      <c r="NEQ44" s="12"/>
      <c r="NER44" s="12"/>
      <c r="NES44" s="12"/>
      <c r="NET44" s="12"/>
      <c r="NEU44" s="12"/>
      <c r="NEV44" s="12"/>
      <c r="NEW44" s="12"/>
      <c r="NEX44" s="12"/>
      <c r="NEY44" s="12"/>
      <c r="NEZ44" s="12"/>
      <c r="NFA44" s="12"/>
      <c r="NFB44" s="12"/>
      <c r="NFC44" s="12"/>
      <c r="NFD44" s="12"/>
      <c r="NFE44" s="12"/>
      <c r="NFF44" s="12"/>
      <c r="NFG44" s="12"/>
      <c r="NFH44" s="12"/>
      <c r="NFI44" s="12"/>
      <c r="NFJ44" s="12"/>
      <c r="NFK44" s="12"/>
      <c r="NFL44" s="12"/>
      <c r="NFM44" s="12"/>
      <c r="NFN44" s="12"/>
      <c r="NFO44" s="12"/>
      <c r="NFP44" s="12"/>
      <c r="NFQ44" s="12"/>
      <c r="NFR44" s="12"/>
      <c r="NFS44" s="12"/>
      <c r="NFT44" s="12"/>
      <c r="NFU44" s="12"/>
      <c r="NFV44" s="12"/>
      <c r="NFW44" s="12"/>
      <c r="NFX44" s="12"/>
      <c r="NFY44" s="12"/>
      <c r="NFZ44" s="12"/>
      <c r="NGA44" s="12"/>
      <c r="NGB44" s="12"/>
      <c r="NGC44" s="12"/>
      <c r="NGD44" s="12"/>
      <c r="NGE44" s="12"/>
      <c r="NGF44" s="12"/>
      <c r="NGG44" s="12"/>
      <c r="NGH44" s="12"/>
      <c r="NGI44" s="12"/>
      <c r="NGJ44" s="12"/>
      <c r="NGK44" s="12"/>
      <c r="NGL44" s="12"/>
      <c r="NGM44" s="12"/>
      <c r="NGN44" s="12"/>
      <c r="NGO44" s="12"/>
      <c r="NGP44" s="12"/>
      <c r="NGQ44" s="12"/>
      <c r="NGR44" s="12"/>
      <c r="NGS44" s="12"/>
      <c r="NGT44" s="12"/>
      <c r="NGU44" s="12"/>
      <c r="NGV44" s="12"/>
      <c r="NGW44" s="12"/>
      <c r="NGX44" s="12"/>
      <c r="NGY44" s="12"/>
      <c r="NGZ44" s="12"/>
      <c r="NHA44" s="12"/>
      <c r="NHB44" s="12"/>
      <c r="NHC44" s="12"/>
      <c r="NHD44" s="12"/>
      <c r="NHE44" s="12"/>
      <c r="NHF44" s="12"/>
      <c r="NHG44" s="12"/>
      <c r="NHH44" s="12"/>
      <c r="NHI44" s="12"/>
      <c r="NHJ44" s="12"/>
      <c r="NHK44" s="12"/>
      <c r="NHL44" s="12"/>
      <c r="NHM44" s="12"/>
      <c r="NHN44" s="12"/>
      <c r="NHO44" s="12"/>
      <c r="NHP44" s="12"/>
      <c r="NHQ44" s="12"/>
      <c r="NHR44" s="12"/>
      <c r="NHS44" s="12"/>
      <c r="NHT44" s="12"/>
      <c r="NHU44" s="12"/>
      <c r="NHV44" s="12"/>
      <c r="NHW44" s="12"/>
      <c r="NHX44" s="12"/>
      <c r="NHY44" s="12"/>
      <c r="NHZ44" s="12"/>
      <c r="NIA44" s="12"/>
      <c r="NIB44" s="12"/>
      <c r="NIC44" s="12"/>
      <c r="NID44" s="12"/>
      <c r="NIE44" s="12"/>
      <c r="NIF44" s="12"/>
      <c r="NIG44" s="12"/>
      <c r="NIH44" s="12"/>
      <c r="NII44" s="12"/>
      <c r="NIJ44" s="12"/>
      <c r="NIK44" s="12"/>
      <c r="NIL44" s="12"/>
      <c r="NIM44" s="12"/>
      <c r="NIN44" s="12"/>
      <c r="NIO44" s="12"/>
      <c r="NIP44" s="12"/>
      <c r="NIQ44" s="12"/>
      <c r="NIR44" s="12"/>
      <c r="NIS44" s="12"/>
      <c r="NIT44" s="12"/>
      <c r="NIU44" s="12"/>
      <c r="NIV44" s="12"/>
      <c r="NIW44" s="12"/>
      <c r="NIX44" s="12"/>
      <c r="NIY44" s="12"/>
      <c r="NIZ44" s="12"/>
      <c r="NJA44" s="12"/>
      <c r="NJB44" s="12"/>
      <c r="NJC44" s="12"/>
      <c r="NJD44" s="12"/>
      <c r="NJE44" s="12"/>
      <c r="NJF44" s="12"/>
      <c r="NJG44" s="12"/>
      <c r="NJH44" s="12"/>
      <c r="NJI44" s="12"/>
      <c r="NJJ44" s="12"/>
      <c r="NJK44" s="12"/>
      <c r="NJL44" s="12"/>
      <c r="NJM44" s="12"/>
      <c r="NJN44" s="12"/>
      <c r="NJO44" s="12"/>
      <c r="NJP44" s="12"/>
      <c r="NJQ44" s="12"/>
      <c r="NJR44" s="12"/>
      <c r="NJS44" s="12"/>
      <c r="NJT44" s="12"/>
      <c r="NJU44" s="12"/>
      <c r="NJV44" s="12"/>
      <c r="NJW44" s="12"/>
      <c r="NJX44" s="12"/>
      <c r="NJY44" s="12"/>
      <c r="NJZ44" s="12"/>
      <c r="NKA44" s="12"/>
      <c r="NKB44" s="12"/>
      <c r="NKC44" s="12"/>
      <c r="NKD44" s="12"/>
      <c r="NKE44" s="12"/>
      <c r="NKF44" s="12"/>
      <c r="NKG44" s="12"/>
      <c r="NKH44" s="12"/>
      <c r="NKI44" s="12"/>
      <c r="NKJ44" s="12"/>
      <c r="NKK44" s="12"/>
      <c r="NKL44" s="12"/>
      <c r="NKM44" s="12"/>
      <c r="NKN44" s="12"/>
      <c r="NKO44" s="12"/>
      <c r="NKP44" s="12"/>
      <c r="NKQ44" s="12"/>
      <c r="NKR44" s="12"/>
      <c r="NKS44" s="12"/>
      <c r="NKT44" s="12"/>
      <c r="NKU44" s="12"/>
      <c r="NKV44" s="12"/>
      <c r="NKW44" s="12"/>
      <c r="NKX44" s="12"/>
      <c r="NKY44" s="12"/>
      <c r="NKZ44" s="12"/>
      <c r="NLA44" s="12"/>
      <c r="NLB44" s="12"/>
      <c r="NLC44" s="12"/>
      <c r="NLD44" s="12"/>
      <c r="NLE44" s="12"/>
      <c r="NLF44" s="12"/>
      <c r="NLG44" s="12"/>
      <c r="NLH44" s="12"/>
      <c r="NLI44" s="12"/>
      <c r="NLJ44" s="12"/>
      <c r="NLK44" s="12"/>
      <c r="NLL44" s="12"/>
      <c r="NLM44" s="12"/>
      <c r="NLN44" s="12"/>
      <c r="NLO44" s="12"/>
      <c r="NLP44" s="12"/>
      <c r="NLQ44" s="12"/>
      <c r="NLR44" s="12"/>
      <c r="NLS44" s="12"/>
      <c r="NLT44" s="12"/>
      <c r="NLU44" s="12"/>
      <c r="NLV44" s="12"/>
      <c r="NLW44" s="12"/>
      <c r="NLX44" s="12"/>
      <c r="NLY44" s="12"/>
      <c r="NLZ44" s="12"/>
      <c r="NMA44" s="12"/>
      <c r="NMB44" s="12"/>
      <c r="NMC44" s="12"/>
      <c r="NMD44" s="12"/>
      <c r="NME44" s="12"/>
      <c r="NMF44" s="12"/>
      <c r="NMG44" s="12"/>
      <c r="NMH44" s="12"/>
      <c r="NMI44" s="12"/>
      <c r="NMJ44" s="12"/>
      <c r="NMK44" s="12"/>
      <c r="NML44" s="12"/>
      <c r="NMM44" s="12"/>
      <c r="NMN44" s="12"/>
      <c r="NMO44" s="12"/>
      <c r="NMP44" s="12"/>
      <c r="NMQ44" s="12"/>
      <c r="NMR44" s="12"/>
      <c r="NMS44" s="12"/>
      <c r="NMT44" s="12"/>
      <c r="NMU44" s="12"/>
      <c r="NMV44" s="12"/>
      <c r="NMW44" s="12"/>
      <c r="NMX44" s="12"/>
      <c r="NMY44" s="12"/>
      <c r="NMZ44" s="12"/>
      <c r="NNA44" s="12"/>
      <c r="NNB44" s="12"/>
      <c r="NNC44" s="12"/>
      <c r="NND44" s="12"/>
      <c r="NNE44" s="12"/>
      <c r="NNF44" s="12"/>
      <c r="NNG44" s="12"/>
      <c r="NNH44" s="12"/>
      <c r="NNI44" s="12"/>
      <c r="NNJ44" s="12"/>
      <c r="NNK44" s="12"/>
      <c r="NNL44" s="12"/>
      <c r="NNM44" s="12"/>
      <c r="NNN44" s="12"/>
      <c r="NNO44" s="12"/>
      <c r="NNP44" s="12"/>
      <c r="NNQ44" s="12"/>
      <c r="NNR44" s="12"/>
      <c r="NNS44" s="12"/>
      <c r="NNT44" s="12"/>
      <c r="NNU44" s="12"/>
      <c r="NNV44" s="12"/>
      <c r="NNW44" s="12"/>
      <c r="NNX44" s="12"/>
      <c r="NNY44" s="12"/>
      <c r="NNZ44" s="12"/>
      <c r="NOA44" s="12"/>
      <c r="NOB44" s="12"/>
      <c r="NOC44" s="12"/>
      <c r="NOD44" s="12"/>
      <c r="NOE44" s="12"/>
      <c r="NOF44" s="12"/>
      <c r="NOG44" s="12"/>
      <c r="NOH44" s="12"/>
      <c r="NOI44" s="12"/>
      <c r="NOJ44" s="12"/>
      <c r="NOK44" s="12"/>
      <c r="NOL44" s="12"/>
      <c r="NOM44" s="12"/>
      <c r="NON44" s="12"/>
      <c r="NOO44" s="12"/>
      <c r="NOP44" s="12"/>
      <c r="NOQ44" s="12"/>
      <c r="NOR44" s="12"/>
      <c r="NOS44" s="12"/>
      <c r="NOT44" s="12"/>
      <c r="NOU44" s="12"/>
      <c r="NOV44" s="12"/>
      <c r="NOW44" s="12"/>
      <c r="NOX44" s="12"/>
      <c r="NOY44" s="12"/>
      <c r="NOZ44" s="12"/>
      <c r="NPA44" s="12"/>
      <c r="NPB44" s="12"/>
      <c r="NPC44" s="12"/>
      <c r="NPD44" s="12"/>
      <c r="NPE44" s="12"/>
      <c r="NPF44" s="12"/>
      <c r="NPG44" s="12"/>
      <c r="NPH44" s="12"/>
      <c r="NPI44" s="12"/>
      <c r="NPJ44" s="12"/>
      <c r="NPK44" s="12"/>
      <c r="NPL44" s="12"/>
      <c r="NPM44" s="12"/>
      <c r="NPN44" s="12"/>
      <c r="NPO44" s="12"/>
      <c r="NPP44" s="12"/>
      <c r="NPQ44" s="12"/>
      <c r="NPR44" s="12"/>
      <c r="NPS44" s="12"/>
      <c r="NPT44" s="12"/>
      <c r="NPU44" s="12"/>
      <c r="NPV44" s="12"/>
      <c r="NPW44" s="12"/>
      <c r="NPX44" s="12"/>
      <c r="NPY44" s="12"/>
      <c r="NPZ44" s="12"/>
      <c r="NQA44" s="12"/>
      <c r="NQB44" s="12"/>
      <c r="NQC44" s="12"/>
      <c r="NQD44" s="12"/>
      <c r="NQE44" s="12"/>
      <c r="NQF44" s="12"/>
      <c r="NQG44" s="12"/>
      <c r="NQH44" s="12"/>
      <c r="NQI44" s="12"/>
      <c r="NQJ44" s="12"/>
      <c r="NQK44" s="12"/>
      <c r="NQL44" s="12"/>
      <c r="NQM44" s="12"/>
      <c r="NQN44" s="12"/>
      <c r="NQO44" s="12"/>
      <c r="NQP44" s="12"/>
      <c r="NQQ44" s="12"/>
      <c r="NQR44" s="12"/>
      <c r="NQS44" s="12"/>
      <c r="NQT44" s="12"/>
      <c r="NQU44" s="12"/>
      <c r="NQV44" s="12"/>
      <c r="NQW44" s="12"/>
      <c r="NQX44" s="12"/>
      <c r="NQY44" s="12"/>
      <c r="NQZ44" s="12"/>
      <c r="NRA44" s="12"/>
      <c r="NRB44" s="12"/>
      <c r="NRC44" s="12"/>
      <c r="NRD44" s="12"/>
      <c r="NRE44" s="12"/>
      <c r="NRF44" s="12"/>
      <c r="NRG44" s="12"/>
      <c r="NRH44" s="12"/>
      <c r="NRI44" s="12"/>
      <c r="NRJ44" s="12"/>
      <c r="NRK44" s="12"/>
      <c r="NRL44" s="12"/>
      <c r="NRM44" s="12"/>
      <c r="NRN44" s="12"/>
      <c r="NRO44" s="12"/>
      <c r="NRP44" s="12"/>
      <c r="NRQ44" s="12"/>
      <c r="NRR44" s="12"/>
      <c r="NRS44" s="12"/>
      <c r="NRT44" s="12"/>
      <c r="NRU44" s="12"/>
      <c r="NRV44" s="12"/>
      <c r="NRW44" s="12"/>
      <c r="NRX44" s="12"/>
      <c r="NRY44" s="12"/>
      <c r="NRZ44" s="12"/>
      <c r="NSA44" s="12"/>
      <c r="NSB44" s="12"/>
      <c r="NSC44" s="12"/>
      <c r="NSD44" s="12"/>
      <c r="NSE44" s="12"/>
      <c r="NSF44" s="12"/>
      <c r="NSG44" s="12"/>
      <c r="NSH44" s="12"/>
      <c r="NSI44" s="12"/>
      <c r="NSJ44" s="12"/>
      <c r="NSK44" s="12"/>
      <c r="NSL44" s="12"/>
      <c r="NSM44" s="12"/>
      <c r="NSN44" s="12"/>
      <c r="NSO44" s="12"/>
      <c r="NSP44" s="12"/>
      <c r="NSQ44" s="12"/>
      <c r="NSR44" s="12"/>
      <c r="NSS44" s="12"/>
      <c r="NST44" s="12"/>
      <c r="NSU44" s="12"/>
      <c r="NSV44" s="12"/>
      <c r="NSW44" s="12"/>
      <c r="NSX44" s="12"/>
      <c r="NSY44" s="12"/>
      <c r="NSZ44" s="12"/>
      <c r="NTA44" s="12"/>
      <c r="NTB44" s="12"/>
      <c r="NTC44" s="12"/>
      <c r="NTD44" s="12"/>
      <c r="NTE44" s="12"/>
      <c r="NTF44" s="12"/>
      <c r="NTG44" s="12"/>
      <c r="NTH44" s="12"/>
      <c r="NTI44" s="12"/>
      <c r="NTJ44" s="12"/>
      <c r="NTK44" s="12"/>
      <c r="NTL44" s="12"/>
      <c r="NTM44" s="12"/>
      <c r="NTN44" s="12"/>
      <c r="NTO44" s="12"/>
      <c r="NTP44" s="12"/>
      <c r="NTQ44" s="12"/>
      <c r="NTR44" s="12"/>
      <c r="NTS44" s="12"/>
      <c r="NTT44" s="12"/>
      <c r="NTU44" s="12"/>
      <c r="NTV44" s="12"/>
      <c r="NTW44" s="12"/>
      <c r="NTX44" s="12"/>
      <c r="NTY44" s="12"/>
      <c r="NTZ44" s="12"/>
      <c r="NUA44" s="12"/>
      <c r="NUB44" s="12"/>
      <c r="NUC44" s="12"/>
      <c r="NUD44" s="12"/>
      <c r="NUE44" s="12"/>
      <c r="NUF44" s="12"/>
      <c r="NUG44" s="12"/>
      <c r="NUH44" s="12"/>
      <c r="NUI44" s="12"/>
      <c r="NUJ44" s="12"/>
      <c r="NUK44" s="12"/>
      <c r="NUL44" s="12"/>
      <c r="NUM44" s="12"/>
      <c r="NUN44" s="12"/>
      <c r="NUO44" s="12"/>
      <c r="NUP44" s="12"/>
      <c r="NUQ44" s="12"/>
      <c r="NUR44" s="12"/>
      <c r="NUS44" s="12"/>
      <c r="NUT44" s="12"/>
      <c r="NUU44" s="12"/>
      <c r="NUV44" s="12"/>
      <c r="NUW44" s="12"/>
      <c r="NUX44" s="12"/>
      <c r="NUY44" s="12"/>
      <c r="NUZ44" s="12"/>
      <c r="NVA44" s="12"/>
      <c r="NVB44" s="12"/>
      <c r="NVC44" s="12"/>
      <c r="NVD44" s="12"/>
      <c r="NVE44" s="12"/>
      <c r="NVF44" s="12"/>
      <c r="NVG44" s="12"/>
      <c r="NVH44" s="12"/>
      <c r="NVI44" s="12"/>
      <c r="NVJ44" s="12"/>
      <c r="NVK44" s="12"/>
      <c r="NVL44" s="12"/>
      <c r="NVM44" s="12"/>
      <c r="NVN44" s="12"/>
      <c r="NVO44" s="12"/>
      <c r="NVP44" s="12"/>
      <c r="NVQ44" s="12"/>
      <c r="NVR44" s="12"/>
      <c r="NVS44" s="12"/>
      <c r="NVT44" s="12"/>
      <c r="NVU44" s="12"/>
      <c r="NVV44" s="12"/>
      <c r="NVW44" s="12"/>
      <c r="NVX44" s="12"/>
      <c r="NVY44" s="12"/>
      <c r="NVZ44" s="12"/>
      <c r="NWA44" s="12"/>
      <c r="NWB44" s="12"/>
      <c r="NWC44" s="12"/>
      <c r="NWD44" s="12"/>
      <c r="NWE44" s="12"/>
      <c r="NWF44" s="12"/>
      <c r="NWG44" s="12"/>
      <c r="NWH44" s="12"/>
      <c r="NWI44" s="12"/>
      <c r="NWJ44" s="12"/>
      <c r="NWK44" s="12"/>
      <c r="NWL44" s="12"/>
      <c r="NWM44" s="12"/>
      <c r="NWN44" s="12"/>
      <c r="NWO44" s="12"/>
      <c r="NWP44" s="12"/>
      <c r="NWQ44" s="12"/>
      <c r="NWR44" s="12"/>
      <c r="NWS44" s="12"/>
      <c r="NWT44" s="12"/>
      <c r="NWU44" s="12"/>
      <c r="NWV44" s="12"/>
      <c r="NWW44" s="12"/>
      <c r="NWX44" s="12"/>
      <c r="NWY44" s="12"/>
      <c r="NWZ44" s="12"/>
      <c r="NXA44" s="12"/>
      <c r="NXB44" s="12"/>
      <c r="NXC44" s="12"/>
      <c r="NXD44" s="12"/>
      <c r="NXE44" s="12"/>
      <c r="NXF44" s="12"/>
      <c r="NXG44" s="12"/>
      <c r="NXH44" s="12"/>
      <c r="NXI44" s="12"/>
      <c r="NXJ44" s="12"/>
      <c r="NXK44" s="12"/>
      <c r="NXL44" s="12"/>
      <c r="NXM44" s="12"/>
      <c r="NXN44" s="12"/>
      <c r="NXO44" s="12"/>
      <c r="NXP44" s="12"/>
      <c r="NXQ44" s="12"/>
      <c r="NXR44" s="12"/>
      <c r="NXS44" s="12"/>
      <c r="NXT44" s="12"/>
      <c r="NXU44" s="12"/>
      <c r="NXV44" s="12"/>
      <c r="NXW44" s="12"/>
      <c r="NXX44" s="12"/>
      <c r="NXY44" s="12"/>
      <c r="NXZ44" s="12"/>
      <c r="NYA44" s="12"/>
      <c r="NYB44" s="12"/>
      <c r="NYC44" s="12"/>
      <c r="NYD44" s="12"/>
      <c r="NYE44" s="12"/>
      <c r="NYF44" s="12"/>
      <c r="NYG44" s="12"/>
      <c r="NYH44" s="12"/>
      <c r="NYI44" s="12"/>
      <c r="NYJ44" s="12"/>
      <c r="NYK44" s="12"/>
      <c r="NYL44" s="12"/>
      <c r="NYM44" s="12"/>
      <c r="NYN44" s="12"/>
      <c r="NYO44" s="12"/>
      <c r="NYP44" s="12"/>
      <c r="NYQ44" s="12"/>
      <c r="NYR44" s="12"/>
      <c r="NYS44" s="12"/>
      <c r="NYT44" s="12"/>
      <c r="NYU44" s="12"/>
      <c r="NYV44" s="12"/>
      <c r="NYW44" s="12"/>
      <c r="NYX44" s="12"/>
      <c r="NYY44" s="12"/>
      <c r="NYZ44" s="12"/>
      <c r="NZA44" s="12"/>
      <c r="NZB44" s="12"/>
      <c r="NZC44" s="12"/>
      <c r="NZD44" s="12"/>
      <c r="NZE44" s="12"/>
      <c r="NZF44" s="12"/>
      <c r="NZG44" s="12"/>
      <c r="NZH44" s="12"/>
      <c r="NZI44" s="12"/>
      <c r="NZJ44" s="12"/>
      <c r="NZK44" s="12"/>
      <c r="NZL44" s="12"/>
      <c r="NZM44" s="12"/>
      <c r="NZN44" s="12"/>
      <c r="NZO44" s="12"/>
      <c r="NZP44" s="12"/>
      <c r="NZQ44" s="12"/>
      <c r="NZR44" s="12"/>
      <c r="NZS44" s="12"/>
      <c r="NZT44" s="12"/>
      <c r="NZU44" s="12"/>
      <c r="NZV44" s="12"/>
      <c r="NZW44" s="12"/>
      <c r="NZX44" s="12"/>
      <c r="NZY44" s="12"/>
      <c r="NZZ44" s="12"/>
      <c r="OAA44" s="12"/>
      <c r="OAB44" s="12"/>
      <c r="OAC44" s="12"/>
      <c r="OAD44" s="12"/>
      <c r="OAE44" s="12"/>
      <c r="OAF44" s="12"/>
      <c r="OAG44" s="12"/>
      <c r="OAH44" s="12"/>
      <c r="OAI44" s="12"/>
      <c r="OAJ44" s="12"/>
      <c r="OAK44" s="12"/>
      <c r="OAL44" s="12"/>
      <c r="OAM44" s="12"/>
      <c r="OAN44" s="12"/>
      <c r="OAO44" s="12"/>
      <c r="OAP44" s="12"/>
      <c r="OAQ44" s="12"/>
      <c r="OAR44" s="12"/>
      <c r="OAS44" s="12"/>
      <c r="OAT44" s="12"/>
      <c r="OAU44" s="12"/>
      <c r="OAV44" s="12"/>
      <c r="OAW44" s="12"/>
      <c r="OAX44" s="12"/>
      <c r="OAY44" s="12"/>
      <c r="OAZ44" s="12"/>
      <c r="OBA44" s="12"/>
      <c r="OBB44" s="12"/>
      <c r="OBC44" s="12"/>
      <c r="OBD44" s="12"/>
      <c r="OBE44" s="12"/>
      <c r="OBF44" s="12"/>
      <c r="OBG44" s="12"/>
      <c r="OBH44" s="12"/>
      <c r="OBI44" s="12"/>
      <c r="OBJ44" s="12"/>
      <c r="OBK44" s="12"/>
      <c r="OBL44" s="12"/>
      <c r="OBM44" s="12"/>
      <c r="OBN44" s="12"/>
      <c r="OBO44" s="12"/>
      <c r="OBP44" s="12"/>
      <c r="OBQ44" s="12"/>
      <c r="OBR44" s="12"/>
      <c r="OBS44" s="12"/>
      <c r="OBT44" s="12"/>
      <c r="OBU44" s="12"/>
      <c r="OBV44" s="12"/>
      <c r="OBW44" s="12"/>
      <c r="OBX44" s="12"/>
      <c r="OBY44" s="12"/>
      <c r="OBZ44" s="12"/>
      <c r="OCA44" s="12"/>
      <c r="OCB44" s="12"/>
      <c r="OCC44" s="12"/>
      <c r="OCD44" s="12"/>
      <c r="OCE44" s="12"/>
      <c r="OCF44" s="12"/>
      <c r="OCG44" s="12"/>
      <c r="OCH44" s="12"/>
      <c r="OCI44" s="12"/>
      <c r="OCJ44" s="12"/>
      <c r="OCK44" s="12"/>
      <c r="OCL44" s="12"/>
      <c r="OCM44" s="12"/>
      <c r="OCN44" s="12"/>
      <c r="OCO44" s="12"/>
      <c r="OCP44" s="12"/>
      <c r="OCQ44" s="12"/>
      <c r="OCR44" s="12"/>
      <c r="OCS44" s="12"/>
      <c r="OCT44" s="12"/>
      <c r="OCU44" s="12"/>
      <c r="OCV44" s="12"/>
      <c r="OCW44" s="12"/>
      <c r="OCX44" s="12"/>
      <c r="OCY44" s="12"/>
      <c r="OCZ44" s="12"/>
      <c r="ODA44" s="12"/>
      <c r="ODB44" s="12"/>
      <c r="ODC44" s="12"/>
      <c r="ODD44" s="12"/>
      <c r="ODE44" s="12"/>
      <c r="ODF44" s="12"/>
      <c r="ODG44" s="12"/>
      <c r="ODH44" s="12"/>
      <c r="ODI44" s="12"/>
      <c r="ODJ44" s="12"/>
      <c r="ODK44" s="12"/>
      <c r="ODL44" s="12"/>
      <c r="ODM44" s="12"/>
      <c r="ODN44" s="12"/>
      <c r="ODO44" s="12"/>
      <c r="ODP44" s="12"/>
      <c r="ODQ44" s="12"/>
      <c r="ODR44" s="12"/>
      <c r="ODS44" s="12"/>
      <c r="ODT44" s="12"/>
      <c r="ODU44" s="12"/>
      <c r="ODV44" s="12"/>
      <c r="ODW44" s="12"/>
      <c r="ODX44" s="12"/>
      <c r="ODY44" s="12"/>
      <c r="ODZ44" s="12"/>
      <c r="OEA44" s="12"/>
      <c r="OEB44" s="12"/>
      <c r="OEC44" s="12"/>
      <c r="OED44" s="12"/>
      <c r="OEE44" s="12"/>
      <c r="OEF44" s="12"/>
      <c r="OEG44" s="12"/>
      <c r="OEH44" s="12"/>
      <c r="OEI44" s="12"/>
      <c r="OEJ44" s="12"/>
      <c r="OEK44" s="12"/>
      <c r="OEL44" s="12"/>
      <c r="OEM44" s="12"/>
      <c r="OEN44" s="12"/>
      <c r="OEO44" s="12"/>
      <c r="OEP44" s="12"/>
      <c r="OEQ44" s="12"/>
      <c r="OER44" s="12"/>
      <c r="OES44" s="12"/>
      <c r="OET44" s="12"/>
      <c r="OEU44" s="12"/>
      <c r="OEV44" s="12"/>
      <c r="OEW44" s="12"/>
      <c r="OEX44" s="12"/>
      <c r="OEY44" s="12"/>
      <c r="OEZ44" s="12"/>
      <c r="OFA44" s="12"/>
      <c r="OFB44" s="12"/>
      <c r="OFC44" s="12"/>
      <c r="OFD44" s="12"/>
      <c r="OFE44" s="12"/>
      <c r="OFF44" s="12"/>
      <c r="OFG44" s="12"/>
      <c r="OFH44" s="12"/>
      <c r="OFI44" s="12"/>
      <c r="OFJ44" s="12"/>
      <c r="OFK44" s="12"/>
      <c r="OFL44" s="12"/>
      <c r="OFM44" s="12"/>
      <c r="OFN44" s="12"/>
      <c r="OFO44" s="12"/>
      <c r="OFP44" s="12"/>
      <c r="OFQ44" s="12"/>
      <c r="OFR44" s="12"/>
      <c r="OFS44" s="12"/>
      <c r="OFT44" s="12"/>
      <c r="OFU44" s="12"/>
      <c r="OFV44" s="12"/>
      <c r="OFW44" s="12"/>
      <c r="OFX44" s="12"/>
      <c r="OFY44" s="12"/>
      <c r="OFZ44" s="12"/>
      <c r="OGA44" s="12"/>
      <c r="OGB44" s="12"/>
      <c r="OGC44" s="12"/>
      <c r="OGD44" s="12"/>
      <c r="OGE44" s="12"/>
      <c r="OGF44" s="12"/>
      <c r="OGG44" s="12"/>
      <c r="OGH44" s="12"/>
      <c r="OGI44" s="12"/>
      <c r="OGJ44" s="12"/>
      <c r="OGK44" s="12"/>
      <c r="OGL44" s="12"/>
      <c r="OGM44" s="12"/>
      <c r="OGN44" s="12"/>
      <c r="OGO44" s="12"/>
      <c r="OGP44" s="12"/>
      <c r="OGQ44" s="12"/>
      <c r="OGR44" s="12"/>
      <c r="OGS44" s="12"/>
      <c r="OGT44" s="12"/>
      <c r="OGU44" s="12"/>
      <c r="OGV44" s="12"/>
      <c r="OGW44" s="12"/>
      <c r="OGX44" s="12"/>
      <c r="OGY44" s="12"/>
      <c r="OGZ44" s="12"/>
      <c r="OHA44" s="12"/>
      <c r="OHB44" s="12"/>
      <c r="OHC44" s="12"/>
      <c r="OHD44" s="12"/>
      <c r="OHE44" s="12"/>
      <c r="OHF44" s="12"/>
      <c r="OHG44" s="12"/>
      <c r="OHH44" s="12"/>
      <c r="OHI44" s="12"/>
      <c r="OHJ44" s="12"/>
      <c r="OHK44" s="12"/>
      <c r="OHL44" s="12"/>
      <c r="OHM44" s="12"/>
      <c r="OHN44" s="12"/>
      <c r="OHO44" s="12"/>
      <c r="OHP44" s="12"/>
      <c r="OHQ44" s="12"/>
      <c r="OHR44" s="12"/>
      <c r="OHS44" s="12"/>
      <c r="OHT44" s="12"/>
      <c r="OHU44" s="12"/>
      <c r="OHV44" s="12"/>
      <c r="OHW44" s="12"/>
      <c r="OHX44" s="12"/>
      <c r="OHY44" s="12"/>
      <c r="OHZ44" s="12"/>
      <c r="OIA44" s="12"/>
      <c r="OIB44" s="12"/>
      <c r="OIC44" s="12"/>
      <c r="OID44" s="12"/>
      <c r="OIE44" s="12"/>
      <c r="OIF44" s="12"/>
      <c r="OIG44" s="12"/>
      <c r="OIH44" s="12"/>
      <c r="OII44" s="12"/>
      <c r="OIJ44" s="12"/>
      <c r="OIK44" s="12"/>
      <c r="OIL44" s="12"/>
      <c r="OIM44" s="12"/>
      <c r="OIN44" s="12"/>
      <c r="OIO44" s="12"/>
      <c r="OIP44" s="12"/>
      <c r="OIQ44" s="12"/>
      <c r="OIR44" s="12"/>
      <c r="OIS44" s="12"/>
      <c r="OIT44" s="12"/>
      <c r="OIU44" s="12"/>
      <c r="OIV44" s="12"/>
      <c r="OIW44" s="12"/>
      <c r="OIX44" s="12"/>
      <c r="OIY44" s="12"/>
      <c r="OIZ44" s="12"/>
      <c r="OJA44" s="12"/>
      <c r="OJB44" s="12"/>
      <c r="OJC44" s="12"/>
      <c r="OJD44" s="12"/>
      <c r="OJE44" s="12"/>
      <c r="OJF44" s="12"/>
      <c r="OJG44" s="12"/>
      <c r="OJH44" s="12"/>
      <c r="OJI44" s="12"/>
      <c r="OJJ44" s="12"/>
      <c r="OJK44" s="12"/>
      <c r="OJL44" s="12"/>
      <c r="OJM44" s="12"/>
      <c r="OJN44" s="12"/>
      <c r="OJO44" s="12"/>
      <c r="OJP44" s="12"/>
      <c r="OJQ44" s="12"/>
      <c r="OJR44" s="12"/>
      <c r="OJS44" s="12"/>
      <c r="OJT44" s="12"/>
      <c r="OJU44" s="12"/>
      <c r="OJV44" s="12"/>
      <c r="OJW44" s="12"/>
      <c r="OJX44" s="12"/>
      <c r="OJY44" s="12"/>
      <c r="OJZ44" s="12"/>
      <c r="OKA44" s="12"/>
      <c r="OKB44" s="12"/>
      <c r="OKC44" s="12"/>
      <c r="OKD44" s="12"/>
      <c r="OKE44" s="12"/>
      <c r="OKF44" s="12"/>
      <c r="OKG44" s="12"/>
      <c r="OKH44" s="12"/>
      <c r="OKI44" s="12"/>
      <c r="OKJ44" s="12"/>
      <c r="OKK44" s="12"/>
      <c r="OKL44" s="12"/>
      <c r="OKM44" s="12"/>
      <c r="OKN44" s="12"/>
      <c r="OKO44" s="12"/>
      <c r="OKP44" s="12"/>
      <c r="OKQ44" s="12"/>
      <c r="OKR44" s="12"/>
      <c r="OKS44" s="12"/>
      <c r="OKT44" s="12"/>
      <c r="OKU44" s="12"/>
      <c r="OKV44" s="12"/>
      <c r="OKW44" s="12"/>
      <c r="OKX44" s="12"/>
      <c r="OKY44" s="12"/>
      <c r="OKZ44" s="12"/>
      <c r="OLA44" s="12"/>
      <c r="OLB44" s="12"/>
      <c r="OLC44" s="12"/>
      <c r="OLD44" s="12"/>
      <c r="OLE44" s="12"/>
      <c r="OLF44" s="12"/>
      <c r="OLG44" s="12"/>
      <c r="OLH44" s="12"/>
      <c r="OLI44" s="12"/>
      <c r="OLJ44" s="12"/>
      <c r="OLK44" s="12"/>
      <c r="OLL44" s="12"/>
      <c r="OLM44" s="12"/>
      <c r="OLN44" s="12"/>
      <c r="OLO44" s="12"/>
      <c r="OLP44" s="12"/>
      <c r="OLQ44" s="12"/>
      <c r="OLR44" s="12"/>
      <c r="OLS44" s="12"/>
      <c r="OLT44" s="12"/>
      <c r="OLU44" s="12"/>
      <c r="OLV44" s="12"/>
      <c r="OLW44" s="12"/>
      <c r="OLX44" s="12"/>
      <c r="OLY44" s="12"/>
      <c r="OLZ44" s="12"/>
      <c r="OMA44" s="12"/>
      <c r="OMB44" s="12"/>
      <c r="OMC44" s="12"/>
      <c r="OMD44" s="12"/>
      <c r="OME44" s="12"/>
      <c r="OMF44" s="12"/>
      <c r="OMG44" s="12"/>
      <c r="OMH44" s="12"/>
      <c r="OMI44" s="12"/>
      <c r="OMJ44" s="12"/>
      <c r="OMK44" s="12"/>
      <c r="OML44" s="12"/>
      <c r="OMM44" s="12"/>
      <c r="OMN44" s="12"/>
      <c r="OMO44" s="12"/>
      <c r="OMP44" s="12"/>
      <c r="OMQ44" s="12"/>
      <c r="OMR44" s="12"/>
      <c r="OMS44" s="12"/>
      <c r="OMT44" s="12"/>
      <c r="OMU44" s="12"/>
      <c r="OMV44" s="12"/>
      <c r="OMW44" s="12"/>
      <c r="OMX44" s="12"/>
      <c r="OMY44" s="12"/>
      <c r="OMZ44" s="12"/>
      <c r="ONA44" s="12"/>
      <c r="ONB44" s="12"/>
      <c r="ONC44" s="12"/>
      <c r="OND44" s="12"/>
      <c r="ONE44" s="12"/>
      <c r="ONF44" s="12"/>
      <c r="ONG44" s="12"/>
      <c r="ONH44" s="12"/>
      <c r="ONI44" s="12"/>
      <c r="ONJ44" s="12"/>
      <c r="ONK44" s="12"/>
      <c r="ONL44" s="12"/>
      <c r="ONM44" s="12"/>
      <c r="ONN44" s="12"/>
      <c r="ONO44" s="12"/>
      <c r="ONP44" s="12"/>
      <c r="ONQ44" s="12"/>
      <c r="ONR44" s="12"/>
      <c r="ONS44" s="12"/>
      <c r="ONT44" s="12"/>
      <c r="ONU44" s="12"/>
      <c r="ONV44" s="12"/>
      <c r="ONW44" s="12"/>
      <c r="ONX44" s="12"/>
      <c r="ONY44" s="12"/>
      <c r="ONZ44" s="12"/>
      <c r="OOA44" s="12"/>
      <c r="OOB44" s="12"/>
      <c r="OOC44" s="12"/>
      <c r="OOD44" s="12"/>
      <c r="OOE44" s="12"/>
      <c r="OOF44" s="12"/>
      <c r="OOG44" s="12"/>
      <c r="OOH44" s="12"/>
      <c r="OOI44" s="12"/>
      <c r="OOJ44" s="12"/>
      <c r="OOK44" s="12"/>
      <c r="OOL44" s="12"/>
      <c r="OOM44" s="12"/>
      <c r="OON44" s="12"/>
      <c r="OOO44" s="12"/>
      <c r="OOP44" s="12"/>
      <c r="OOQ44" s="12"/>
      <c r="OOR44" s="12"/>
      <c r="OOS44" s="12"/>
      <c r="OOT44" s="12"/>
      <c r="OOU44" s="12"/>
      <c r="OOV44" s="12"/>
      <c r="OOW44" s="12"/>
      <c r="OOX44" s="12"/>
      <c r="OOY44" s="12"/>
      <c r="OOZ44" s="12"/>
      <c r="OPA44" s="12"/>
      <c r="OPB44" s="12"/>
      <c r="OPC44" s="12"/>
      <c r="OPD44" s="12"/>
      <c r="OPE44" s="12"/>
      <c r="OPF44" s="12"/>
      <c r="OPG44" s="12"/>
      <c r="OPH44" s="12"/>
      <c r="OPI44" s="12"/>
      <c r="OPJ44" s="12"/>
      <c r="OPK44" s="12"/>
      <c r="OPL44" s="12"/>
      <c r="OPM44" s="12"/>
      <c r="OPN44" s="12"/>
      <c r="OPO44" s="12"/>
      <c r="OPP44" s="12"/>
      <c r="OPQ44" s="12"/>
      <c r="OPR44" s="12"/>
      <c r="OPS44" s="12"/>
      <c r="OPT44" s="12"/>
      <c r="OPU44" s="12"/>
      <c r="OPV44" s="12"/>
      <c r="OPW44" s="12"/>
      <c r="OPX44" s="12"/>
      <c r="OPY44" s="12"/>
      <c r="OPZ44" s="12"/>
      <c r="OQA44" s="12"/>
      <c r="OQB44" s="12"/>
      <c r="OQC44" s="12"/>
      <c r="OQD44" s="12"/>
      <c r="OQE44" s="12"/>
      <c r="OQF44" s="12"/>
      <c r="OQG44" s="12"/>
      <c r="OQH44" s="12"/>
      <c r="OQI44" s="12"/>
      <c r="OQJ44" s="12"/>
      <c r="OQK44" s="12"/>
      <c r="OQL44" s="12"/>
      <c r="OQM44" s="12"/>
      <c r="OQN44" s="12"/>
      <c r="OQO44" s="12"/>
      <c r="OQP44" s="12"/>
      <c r="OQQ44" s="12"/>
      <c r="OQR44" s="12"/>
      <c r="OQS44" s="12"/>
      <c r="OQT44" s="12"/>
      <c r="OQU44" s="12"/>
      <c r="OQV44" s="12"/>
      <c r="OQW44" s="12"/>
      <c r="OQX44" s="12"/>
      <c r="OQY44" s="12"/>
      <c r="OQZ44" s="12"/>
      <c r="ORA44" s="12"/>
      <c r="ORB44" s="12"/>
      <c r="ORC44" s="12"/>
      <c r="ORD44" s="12"/>
      <c r="ORE44" s="12"/>
      <c r="ORF44" s="12"/>
      <c r="ORG44" s="12"/>
      <c r="ORH44" s="12"/>
      <c r="ORI44" s="12"/>
      <c r="ORJ44" s="12"/>
      <c r="ORK44" s="12"/>
      <c r="ORL44" s="12"/>
      <c r="ORM44" s="12"/>
      <c r="ORN44" s="12"/>
      <c r="ORO44" s="12"/>
      <c r="ORP44" s="12"/>
      <c r="ORQ44" s="12"/>
      <c r="ORR44" s="12"/>
      <c r="ORS44" s="12"/>
      <c r="ORT44" s="12"/>
      <c r="ORU44" s="12"/>
      <c r="ORV44" s="12"/>
      <c r="ORW44" s="12"/>
      <c r="ORX44" s="12"/>
      <c r="ORY44" s="12"/>
      <c r="ORZ44" s="12"/>
      <c r="OSA44" s="12"/>
      <c r="OSB44" s="12"/>
      <c r="OSC44" s="12"/>
      <c r="OSD44" s="12"/>
      <c r="OSE44" s="12"/>
      <c r="OSF44" s="12"/>
      <c r="OSG44" s="12"/>
      <c r="OSH44" s="12"/>
      <c r="OSI44" s="12"/>
      <c r="OSJ44" s="12"/>
      <c r="OSK44" s="12"/>
      <c r="OSL44" s="12"/>
      <c r="OSM44" s="12"/>
      <c r="OSN44" s="12"/>
      <c r="OSO44" s="12"/>
      <c r="OSP44" s="12"/>
      <c r="OSQ44" s="12"/>
      <c r="OSR44" s="12"/>
      <c r="OSS44" s="12"/>
      <c r="OST44" s="12"/>
      <c r="OSU44" s="12"/>
      <c r="OSV44" s="12"/>
      <c r="OSW44" s="12"/>
      <c r="OSX44" s="12"/>
      <c r="OSY44" s="12"/>
      <c r="OSZ44" s="12"/>
      <c r="OTA44" s="12"/>
      <c r="OTB44" s="12"/>
      <c r="OTC44" s="12"/>
      <c r="OTD44" s="12"/>
      <c r="OTE44" s="12"/>
      <c r="OTF44" s="12"/>
      <c r="OTG44" s="12"/>
      <c r="OTH44" s="12"/>
      <c r="OTI44" s="12"/>
      <c r="OTJ44" s="12"/>
      <c r="OTK44" s="12"/>
      <c r="OTL44" s="12"/>
      <c r="OTM44" s="12"/>
      <c r="OTN44" s="12"/>
      <c r="OTO44" s="12"/>
      <c r="OTP44" s="12"/>
      <c r="OTQ44" s="12"/>
      <c r="OTR44" s="12"/>
      <c r="OTS44" s="12"/>
      <c r="OTT44" s="12"/>
      <c r="OTU44" s="12"/>
      <c r="OTV44" s="12"/>
      <c r="OTW44" s="12"/>
      <c r="OTX44" s="12"/>
      <c r="OTY44" s="12"/>
      <c r="OTZ44" s="12"/>
      <c r="OUA44" s="12"/>
      <c r="OUB44" s="12"/>
      <c r="OUC44" s="12"/>
      <c r="OUD44" s="12"/>
      <c r="OUE44" s="12"/>
      <c r="OUF44" s="12"/>
      <c r="OUG44" s="12"/>
      <c r="OUH44" s="12"/>
      <c r="OUI44" s="12"/>
      <c r="OUJ44" s="12"/>
      <c r="OUK44" s="12"/>
      <c r="OUL44" s="12"/>
      <c r="OUM44" s="12"/>
      <c r="OUN44" s="12"/>
      <c r="OUO44" s="12"/>
      <c r="OUP44" s="12"/>
      <c r="OUQ44" s="12"/>
      <c r="OUR44" s="12"/>
      <c r="OUS44" s="12"/>
      <c r="OUT44" s="12"/>
      <c r="OUU44" s="12"/>
      <c r="OUV44" s="12"/>
      <c r="OUW44" s="12"/>
      <c r="OUX44" s="12"/>
      <c r="OUY44" s="12"/>
      <c r="OUZ44" s="12"/>
      <c r="OVA44" s="12"/>
      <c r="OVB44" s="12"/>
      <c r="OVC44" s="12"/>
      <c r="OVD44" s="12"/>
      <c r="OVE44" s="12"/>
      <c r="OVF44" s="12"/>
      <c r="OVG44" s="12"/>
      <c r="OVH44" s="12"/>
      <c r="OVI44" s="12"/>
      <c r="OVJ44" s="12"/>
      <c r="OVK44" s="12"/>
      <c r="OVL44" s="12"/>
      <c r="OVM44" s="12"/>
      <c r="OVN44" s="12"/>
      <c r="OVO44" s="12"/>
      <c r="OVP44" s="12"/>
      <c r="OVQ44" s="12"/>
      <c r="OVR44" s="12"/>
      <c r="OVS44" s="12"/>
      <c r="OVT44" s="12"/>
      <c r="OVU44" s="12"/>
      <c r="OVV44" s="12"/>
      <c r="OVW44" s="12"/>
      <c r="OVX44" s="12"/>
      <c r="OVY44" s="12"/>
      <c r="OVZ44" s="12"/>
      <c r="OWA44" s="12"/>
      <c r="OWB44" s="12"/>
      <c r="OWC44" s="12"/>
      <c r="OWD44" s="12"/>
      <c r="OWE44" s="12"/>
      <c r="OWF44" s="12"/>
      <c r="OWG44" s="12"/>
      <c r="OWH44" s="12"/>
      <c r="OWI44" s="12"/>
      <c r="OWJ44" s="12"/>
      <c r="OWK44" s="12"/>
      <c r="OWL44" s="12"/>
      <c r="OWM44" s="12"/>
      <c r="OWN44" s="12"/>
      <c r="OWO44" s="12"/>
      <c r="OWP44" s="12"/>
      <c r="OWQ44" s="12"/>
      <c r="OWR44" s="12"/>
      <c r="OWS44" s="12"/>
      <c r="OWT44" s="12"/>
      <c r="OWU44" s="12"/>
      <c r="OWV44" s="12"/>
      <c r="OWW44" s="12"/>
      <c r="OWX44" s="12"/>
      <c r="OWY44" s="12"/>
      <c r="OWZ44" s="12"/>
      <c r="OXA44" s="12"/>
      <c r="OXB44" s="12"/>
      <c r="OXC44" s="12"/>
      <c r="OXD44" s="12"/>
      <c r="OXE44" s="12"/>
      <c r="OXF44" s="12"/>
      <c r="OXG44" s="12"/>
      <c r="OXH44" s="12"/>
      <c r="OXI44" s="12"/>
      <c r="OXJ44" s="12"/>
      <c r="OXK44" s="12"/>
      <c r="OXL44" s="12"/>
      <c r="OXM44" s="12"/>
      <c r="OXN44" s="12"/>
      <c r="OXO44" s="12"/>
      <c r="OXP44" s="12"/>
      <c r="OXQ44" s="12"/>
      <c r="OXR44" s="12"/>
      <c r="OXS44" s="12"/>
      <c r="OXT44" s="12"/>
      <c r="OXU44" s="12"/>
      <c r="OXV44" s="12"/>
      <c r="OXW44" s="12"/>
      <c r="OXX44" s="12"/>
      <c r="OXY44" s="12"/>
      <c r="OXZ44" s="12"/>
      <c r="OYA44" s="12"/>
      <c r="OYB44" s="12"/>
      <c r="OYC44" s="12"/>
      <c r="OYD44" s="12"/>
      <c r="OYE44" s="12"/>
      <c r="OYF44" s="12"/>
      <c r="OYG44" s="12"/>
      <c r="OYH44" s="12"/>
      <c r="OYI44" s="12"/>
      <c r="OYJ44" s="12"/>
      <c r="OYK44" s="12"/>
      <c r="OYL44" s="12"/>
      <c r="OYM44" s="12"/>
      <c r="OYN44" s="12"/>
      <c r="OYO44" s="12"/>
      <c r="OYP44" s="12"/>
      <c r="OYQ44" s="12"/>
      <c r="OYR44" s="12"/>
      <c r="OYS44" s="12"/>
      <c r="OYT44" s="12"/>
      <c r="OYU44" s="12"/>
      <c r="OYV44" s="12"/>
      <c r="OYW44" s="12"/>
      <c r="OYX44" s="12"/>
      <c r="OYY44" s="12"/>
      <c r="OYZ44" s="12"/>
      <c r="OZA44" s="12"/>
      <c r="OZB44" s="12"/>
      <c r="OZC44" s="12"/>
      <c r="OZD44" s="12"/>
      <c r="OZE44" s="12"/>
      <c r="OZF44" s="12"/>
      <c r="OZG44" s="12"/>
      <c r="OZH44" s="12"/>
      <c r="OZI44" s="12"/>
      <c r="OZJ44" s="12"/>
      <c r="OZK44" s="12"/>
      <c r="OZL44" s="12"/>
      <c r="OZM44" s="12"/>
      <c r="OZN44" s="12"/>
      <c r="OZO44" s="12"/>
      <c r="OZP44" s="12"/>
      <c r="OZQ44" s="12"/>
      <c r="OZR44" s="12"/>
      <c r="OZS44" s="12"/>
      <c r="OZT44" s="12"/>
      <c r="OZU44" s="12"/>
      <c r="OZV44" s="12"/>
      <c r="OZW44" s="12"/>
      <c r="OZX44" s="12"/>
      <c r="OZY44" s="12"/>
      <c r="OZZ44" s="12"/>
      <c r="PAA44" s="12"/>
      <c r="PAB44" s="12"/>
      <c r="PAC44" s="12"/>
      <c r="PAD44" s="12"/>
      <c r="PAE44" s="12"/>
      <c r="PAF44" s="12"/>
      <c r="PAG44" s="12"/>
      <c r="PAH44" s="12"/>
      <c r="PAI44" s="12"/>
      <c r="PAJ44" s="12"/>
      <c r="PAK44" s="12"/>
      <c r="PAL44" s="12"/>
      <c r="PAM44" s="12"/>
      <c r="PAN44" s="12"/>
      <c r="PAO44" s="12"/>
      <c r="PAP44" s="12"/>
      <c r="PAQ44" s="12"/>
      <c r="PAR44" s="12"/>
      <c r="PAS44" s="12"/>
      <c r="PAT44" s="12"/>
      <c r="PAU44" s="12"/>
      <c r="PAV44" s="12"/>
      <c r="PAW44" s="12"/>
      <c r="PAX44" s="12"/>
      <c r="PAY44" s="12"/>
      <c r="PAZ44" s="12"/>
      <c r="PBA44" s="12"/>
      <c r="PBB44" s="12"/>
      <c r="PBC44" s="12"/>
      <c r="PBD44" s="12"/>
      <c r="PBE44" s="12"/>
      <c r="PBF44" s="12"/>
      <c r="PBG44" s="12"/>
      <c r="PBH44" s="12"/>
      <c r="PBI44" s="12"/>
      <c r="PBJ44" s="12"/>
      <c r="PBK44" s="12"/>
      <c r="PBL44" s="12"/>
      <c r="PBM44" s="12"/>
      <c r="PBN44" s="12"/>
      <c r="PBO44" s="12"/>
      <c r="PBP44" s="12"/>
      <c r="PBQ44" s="12"/>
      <c r="PBR44" s="12"/>
      <c r="PBS44" s="12"/>
      <c r="PBT44" s="12"/>
      <c r="PBU44" s="12"/>
      <c r="PBV44" s="12"/>
      <c r="PBW44" s="12"/>
      <c r="PBX44" s="12"/>
      <c r="PBY44" s="12"/>
      <c r="PBZ44" s="12"/>
      <c r="PCA44" s="12"/>
      <c r="PCB44" s="12"/>
      <c r="PCC44" s="12"/>
      <c r="PCD44" s="12"/>
      <c r="PCE44" s="12"/>
      <c r="PCF44" s="12"/>
      <c r="PCG44" s="12"/>
      <c r="PCH44" s="12"/>
      <c r="PCI44" s="12"/>
      <c r="PCJ44" s="12"/>
      <c r="PCK44" s="12"/>
      <c r="PCL44" s="12"/>
      <c r="PCM44" s="12"/>
      <c r="PCN44" s="12"/>
      <c r="PCO44" s="12"/>
      <c r="PCP44" s="12"/>
      <c r="PCQ44" s="12"/>
      <c r="PCR44" s="12"/>
      <c r="PCS44" s="12"/>
      <c r="PCT44" s="12"/>
      <c r="PCU44" s="12"/>
      <c r="PCV44" s="12"/>
      <c r="PCW44" s="12"/>
      <c r="PCX44" s="12"/>
      <c r="PCY44" s="12"/>
      <c r="PCZ44" s="12"/>
      <c r="PDA44" s="12"/>
      <c r="PDB44" s="12"/>
      <c r="PDC44" s="12"/>
      <c r="PDD44" s="12"/>
      <c r="PDE44" s="12"/>
      <c r="PDF44" s="12"/>
      <c r="PDG44" s="12"/>
      <c r="PDH44" s="12"/>
      <c r="PDI44" s="12"/>
      <c r="PDJ44" s="12"/>
      <c r="PDK44" s="12"/>
      <c r="PDL44" s="12"/>
      <c r="PDM44" s="12"/>
      <c r="PDN44" s="12"/>
      <c r="PDO44" s="12"/>
      <c r="PDP44" s="12"/>
      <c r="PDQ44" s="12"/>
      <c r="PDR44" s="12"/>
      <c r="PDS44" s="12"/>
      <c r="PDT44" s="12"/>
      <c r="PDU44" s="12"/>
      <c r="PDV44" s="12"/>
      <c r="PDW44" s="12"/>
      <c r="PDX44" s="12"/>
      <c r="PDY44" s="12"/>
      <c r="PDZ44" s="12"/>
      <c r="PEA44" s="12"/>
      <c r="PEB44" s="12"/>
      <c r="PEC44" s="12"/>
      <c r="PED44" s="12"/>
      <c r="PEE44" s="12"/>
      <c r="PEF44" s="12"/>
      <c r="PEG44" s="12"/>
      <c r="PEH44" s="12"/>
      <c r="PEI44" s="12"/>
      <c r="PEJ44" s="12"/>
      <c r="PEK44" s="12"/>
      <c r="PEL44" s="12"/>
      <c r="PEM44" s="12"/>
      <c r="PEN44" s="12"/>
      <c r="PEO44" s="12"/>
      <c r="PEP44" s="12"/>
      <c r="PEQ44" s="12"/>
      <c r="PER44" s="12"/>
      <c r="PES44" s="12"/>
      <c r="PET44" s="12"/>
      <c r="PEU44" s="12"/>
      <c r="PEV44" s="12"/>
      <c r="PEW44" s="12"/>
      <c r="PEX44" s="12"/>
      <c r="PEY44" s="12"/>
      <c r="PEZ44" s="12"/>
      <c r="PFA44" s="12"/>
      <c r="PFB44" s="12"/>
      <c r="PFC44" s="12"/>
      <c r="PFD44" s="12"/>
      <c r="PFE44" s="12"/>
      <c r="PFF44" s="12"/>
      <c r="PFG44" s="12"/>
      <c r="PFH44" s="12"/>
      <c r="PFI44" s="12"/>
      <c r="PFJ44" s="12"/>
      <c r="PFK44" s="12"/>
      <c r="PFL44" s="12"/>
      <c r="PFM44" s="12"/>
      <c r="PFN44" s="12"/>
      <c r="PFO44" s="12"/>
      <c r="PFP44" s="12"/>
      <c r="PFQ44" s="12"/>
      <c r="PFR44" s="12"/>
      <c r="PFS44" s="12"/>
      <c r="PFT44" s="12"/>
      <c r="PFU44" s="12"/>
      <c r="PFV44" s="12"/>
      <c r="PFW44" s="12"/>
      <c r="PFX44" s="12"/>
      <c r="PFY44" s="12"/>
      <c r="PFZ44" s="12"/>
      <c r="PGA44" s="12"/>
      <c r="PGB44" s="12"/>
      <c r="PGC44" s="12"/>
      <c r="PGD44" s="12"/>
      <c r="PGE44" s="12"/>
      <c r="PGF44" s="12"/>
      <c r="PGG44" s="12"/>
      <c r="PGH44" s="12"/>
      <c r="PGI44" s="12"/>
      <c r="PGJ44" s="12"/>
      <c r="PGK44" s="12"/>
      <c r="PGL44" s="12"/>
      <c r="PGM44" s="12"/>
      <c r="PGN44" s="12"/>
      <c r="PGO44" s="12"/>
      <c r="PGP44" s="12"/>
      <c r="PGQ44" s="12"/>
      <c r="PGR44" s="12"/>
      <c r="PGS44" s="12"/>
      <c r="PGT44" s="12"/>
      <c r="PGU44" s="12"/>
      <c r="PGV44" s="12"/>
      <c r="PGW44" s="12"/>
      <c r="PGX44" s="12"/>
      <c r="PGY44" s="12"/>
      <c r="PGZ44" s="12"/>
      <c r="PHA44" s="12"/>
      <c r="PHB44" s="12"/>
      <c r="PHC44" s="12"/>
      <c r="PHD44" s="12"/>
      <c r="PHE44" s="12"/>
      <c r="PHF44" s="12"/>
      <c r="PHG44" s="12"/>
      <c r="PHH44" s="12"/>
      <c r="PHI44" s="12"/>
      <c r="PHJ44" s="12"/>
      <c r="PHK44" s="12"/>
      <c r="PHL44" s="12"/>
      <c r="PHM44" s="12"/>
      <c r="PHN44" s="12"/>
      <c r="PHO44" s="12"/>
      <c r="PHP44" s="12"/>
      <c r="PHQ44" s="12"/>
      <c r="PHR44" s="12"/>
      <c r="PHS44" s="12"/>
      <c r="PHT44" s="12"/>
      <c r="PHU44" s="12"/>
      <c r="PHV44" s="12"/>
      <c r="PHW44" s="12"/>
      <c r="PHX44" s="12"/>
      <c r="PHY44" s="12"/>
      <c r="PHZ44" s="12"/>
      <c r="PIA44" s="12"/>
      <c r="PIB44" s="12"/>
      <c r="PIC44" s="12"/>
      <c r="PID44" s="12"/>
      <c r="PIE44" s="12"/>
      <c r="PIF44" s="12"/>
      <c r="PIG44" s="12"/>
      <c r="PIH44" s="12"/>
      <c r="PII44" s="12"/>
      <c r="PIJ44" s="12"/>
      <c r="PIK44" s="12"/>
      <c r="PIL44" s="12"/>
      <c r="PIM44" s="12"/>
      <c r="PIN44" s="12"/>
      <c r="PIO44" s="12"/>
      <c r="PIP44" s="12"/>
      <c r="PIQ44" s="12"/>
      <c r="PIR44" s="12"/>
      <c r="PIS44" s="12"/>
      <c r="PIT44" s="12"/>
      <c r="PIU44" s="12"/>
      <c r="PIV44" s="12"/>
      <c r="PIW44" s="12"/>
      <c r="PIX44" s="12"/>
      <c r="PIY44" s="12"/>
      <c r="PIZ44" s="12"/>
      <c r="PJA44" s="12"/>
      <c r="PJB44" s="12"/>
      <c r="PJC44" s="12"/>
      <c r="PJD44" s="12"/>
      <c r="PJE44" s="12"/>
      <c r="PJF44" s="12"/>
      <c r="PJG44" s="12"/>
      <c r="PJH44" s="12"/>
      <c r="PJI44" s="12"/>
      <c r="PJJ44" s="12"/>
      <c r="PJK44" s="12"/>
      <c r="PJL44" s="12"/>
      <c r="PJM44" s="12"/>
      <c r="PJN44" s="12"/>
      <c r="PJO44" s="12"/>
      <c r="PJP44" s="12"/>
      <c r="PJQ44" s="12"/>
      <c r="PJR44" s="12"/>
      <c r="PJS44" s="12"/>
      <c r="PJT44" s="12"/>
      <c r="PJU44" s="12"/>
      <c r="PJV44" s="12"/>
      <c r="PJW44" s="12"/>
      <c r="PJX44" s="12"/>
      <c r="PJY44" s="12"/>
      <c r="PJZ44" s="12"/>
      <c r="PKA44" s="12"/>
      <c r="PKB44" s="12"/>
      <c r="PKC44" s="12"/>
      <c r="PKD44" s="12"/>
      <c r="PKE44" s="12"/>
      <c r="PKF44" s="12"/>
      <c r="PKG44" s="12"/>
      <c r="PKH44" s="12"/>
      <c r="PKI44" s="12"/>
      <c r="PKJ44" s="12"/>
      <c r="PKK44" s="12"/>
      <c r="PKL44" s="12"/>
      <c r="PKM44" s="12"/>
      <c r="PKN44" s="12"/>
      <c r="PKO44" s="12"/>
      <c r="PKP44" s="12"/>
      <c r="PKQ44" s="12"/>
      <c r="PKR44" s="12"/>
      <c r="PKS44" s="12"/>
      <c r="PKT44" s="12"/>
      <c r="PKU44" s="12"/>
      <c r="PKV44" s="12"/>
      <c r="PKW44" s="12"/>
      <c r="PKX44" s="12"/>
      <c r="PKY44" s="12"/>
      <c r="PKZ44" s="12"/>
      <c r="PLA44" s="12"/>
      <c r="PLB44" s="12"/>
      <c r="PLC44" s="12"/>
      <c r="PLD44" s="12"/>
      <c r="PLE44" s="12"/>
      <c r="PLF44" s="12"/>
      <c r="PLG44" s="12"/>
      <c r="PLH44" s="12"/>
      <c r="PLI44" s="12"/>
      <c r="PLJ44" s="12"/>
      <c r="PLK44" s="12"/>
      <c r="PLL44" s="12"/>
      <c r="PLM44" s="12"/>
      <c r="PLN44" s="12"/>
      <c r="PLO44" s="12"/>
      <c r="PLP44" s="12"/>
      <c r="PLQ44" s="12"/>
      <c r="PLR44" s="12"/>
      <c r="PLS44" s="12"/>
      <c r="PLT44" s="12"/>
      <c r="PLU44" s="12"/>
      <c r="PLV44" s="12"/>
      <c r="PLW44" s="12"/>
      <c r="PLX44" s="12"/>
      <c r="PLY44" s="12"/>
      <c r="PLZ44" s="12"/>
      <c r="PMA44" s="12"/>
      <c r="PMB44" s="12"/>
      <c r="PMC44" s="12"/>
      <c r="PMD44" s="12"/>
      <c r="PME44" s="12"/>
      <c r="PMF44" s="12"/>
      <c r="PMG44" s="12"/>
      <c r="PMH44" s="12"/>
      <c r="PMI44" s="12"/>
      <c r="PMJ44" s="12"/>
      <c r="PMK44" s="12"/>
      <c r="PML44" s="12"/>
      <c r="PMM44" s="12"/>
      <c r="PMN44" s="12"/>
      <c r="PMO44" s="12"/>
      <c r="PMP44" s="12"/>
      <c r="PMQ44" s="12"/>
      <c r="PMR44" s="12"/>
      <c r="PMS44" s="12"/>
      <c r="PMT44" s="12"/>
      <c r="PMU44" s="12"/>
      <c r="PMV44" s="12"/>
      <c r="PMW44" s="12"/>
      <c r="PMX44" s="12"/>
      <c r="PMY44" s="12"/>
      <c r="PMZ44" s="12"/>
      <c r="PNA44" s="12"/>
      <c r="PNB44" s="12"/>
      <c r="PNC44" s="12"/>
      <c r="PND44" s="12"/>
      <c r="PNE44" s="12"/>
      <c r="PNF44" s="12"/>
      <c r="PNG44" s="12"/>
      <c r="PNH44" s="12"/>
      <c r="PNI44" s="12"/>
      <c r="PNJ44" s="12"/>
      <c r="PNK44" s="12"/>
      <c r="PNL44" s="12"/>
      <c r="PNM44" s="12"/>
      <c r="PNN44" s="12"/>
      <c r="PNO44" s="12"/>
      <c r="PNP44" s="12"/>
      <c r="PNQ44" s="12"/>
      <c r="PNR44" s="12"/>
      <c r="PNS44" s="12"/>
      <c r="PNT44" s="12"/>
      <c r="PNU44" s="12"/>
      <c r="PNV44" s="12"/>
      <c r="PNW44" s="12"/>
      <c r="PNX44" s="12"/>
      <c r="PNY44" s="12"/>
      <c r="PNZ44" s="12"/>
      <c r="POA44" s="12"/>
      <c r="POB44" s="12"/>
      <c r="POC44" s="12"/>
      <c r="POD44" s="12"/>
      <c r="POE44" s="12"/>
      <c r="POF44" s="12"/>
      <c r="POG44" s="12"/>
      <c r="POH44" s="12"/>
      <c r="POI44" s="12"/>
      <c r="POJ44" s="12"/>
      <c r="POK44" s="12"/>
      <c r="POL44" s="12"/>
      <c r="POM44" s="12"/>
      <c r="PON44" s="12"/>
      <c r="POO44" s="12"/>
      <c r="POP44" s="12"/>
      <c r="POQ44" s="12"/>
      <c r="POR44" s="12"/>
      <c r="POS44" s="12"/>
      <c r="POT44" s="12"/>
      <c r="POU44" s="12"/>
      <c r="POV44" s="12"/>
      <c r="POW44" s="12"/>
      <c r="POX44" s="12"/>
      <c r="POY44" s="12"/>
      <c r="POZ44" s="12"/>
      <c r="PPA44" s="12"/>
      <c r="PPB44" s="12"/>
      <c r="PPC44" s="12"/>
      <c r="PPD44" s="12"/>
      <c r="PPE44" s="12"/>
      <c r="PPF44" s="12"/>
      <c r="PPG44" s="12"/>
      <c r="PPH44" s="12"/>
      <c r="PPI44" s="12"/>
      <c r="PPJ44" s="12"/>
      <c r="PPK44" s="12"/>
      <c r="PPL44" s="12"/>
      <c r="PPM44" s="12"/>
      <c r="PPN44" s="12"/>
      <c r="PPO44" s="12"/>
      <c r="PPP44" s="12"/>
      <c r="PPQ44" s="12"/>
      <c r="PPR44" s="12"/>
      <c r="PPS44" s="12"/>
      <c r="PPT44" s="12"/>
      <c r="PPU44" s="12"/>
      <c r="PPV44" s="12"/>
      <c r="PPW44" s="12"/>
      <c r="PPX44" s="12"/>
      <c r="PPY44" s="12"/>
      <c r="PPZ44" s="12"/>
      <c r="PQA44" s="12"/>
      <c r="PQB44" s="12"/>
      <c r="PQC44" s="12"/>
      <c r="PQD44" s="12"/>
      <c r="PQE44" s="12"/>
      <c r="PQF44" s="12"/>
      <c r="PQG44" s="12"/>
      <c r="PQH44" s="12"/>
      <c r="PQI44" s="12"/>
      <c r="PQJ44" s="12"/>
      <c r="PQK44" s="12"/>
      <c r="PQL44" s="12"/>
      <c r="PQM44" s="12"/>
      <c r="PQN44" s="12"/>
      <c r="PQO44" s="12"/>
      <c r="PQP44" s="12"/>
      <c r="PQQ44" s="12"/>
      <c r="PQR44" s="12"/>
      <c r="PQS44" s="12"/>
      <c r="PQT44" s="12"/>
      <c r="PQU44" s="12"/>
      <c r="PQV44" s="12"/>
      <c r="PQW44" s="12"/>
      <c r="PQX44" s="12"/>
      <c r="PQY44" s="12"/>
      <c r="PQZ44" s="12"/>
      <c r="PRA44" s="12"/>
      <c r="PRB44" s="12"/>
      <c r="PRC44" s="12"/>
      <c r="PRD44" s="12"/>
      <c r="PRE44" s="12"/>
      <c r="PRF44" s="12"/>
      <c r="PRG44" s="12"/>
      <c r="PRH44" s="12"/>
      <c r="PRI44" s="12"/>
      <c r="PRJ44" s="12"/>
      <c r="PRK44" s="12"/>
      <c r="PRL44" s="12"/>
      <c r="PRM44" s="12"/>
      <c r="PRN44" s="12"/>
      <c r="PRO44" s="12"/>
      <c r="PRP44" s="12"/>
      <c r="PRQ44" s="12"/>
      <c r="PRR44" s="12"/>
      <c r="PRS44" s="12"/>
      <c r="PRT44" s="12"/>
      <c r="PRU44" s="12"/>
      <c r="PRV44" s="12"/>
      <c r="PRW44" s="12"/>
      <c r="PRX44" s="12"/>
      <c r="PRY44" s="12"/>
      <c r="PRZ44" s="12"/>
      <c r="PSA44" s="12"/>
      <c r="PSB44" s="12"/>
      <c r="PSC44" s="12"/>
      <c r="PSD44" s="12"/>
      <c r="PSE44" s="12"/>
      <c r="PSF44" s="12"/>
      <c r="PSG44" s="12"/>
      <c r="PSH44" s="12"/>
      <c r="PSI44" s="12"/>
      <c r="PSJ44" s="12"/>
      <c r="PSK44" s="12"/>
      <c r="PSL44" s="12"/>
      <c r="PSM44" s="12"/>
      <c r="PSN44" s="12"/>
      <c r="PSO44" s="12"/>
      <c r="PSP44" s="12"/>
      <c r="PSQ44" s="12"/>
      <c r="PSR44" s="12"/>
      <c r="PSS44" s="12"/>
      <c r="PST44" s="12"/>
      <c r="PSU44" s="12"/>
      <c r="PSV44" s="12"/>
      <c r="PSW44" s="12"/>
      <c r="PSX44" s="12"/>
      <c r="PSY44" s="12"/>
      <c r="PSZ44" s="12"/>
      <c r="PTA44" s="12"/>
      <c r="PTB44" s="12"/>
      <c r="PTC44" s="12"/>
      <c r="PTD44" s="12"/>
      <c r="PTE44" s="12"/>
      <c r="PTF44" s="12"/>
      <c r="PTG44" s="12"/>
      <c r="PTH44" s="12"/>
      <c r="PTI44" s="12"/>
      <c r="PTJ44" s="12"/>
      <c r="PTK44" s="12"/>
      <c r="PTL44" s="12"/>
      <c r="PTM44" s="12"/>
      <c r="PTN44" s="12"/>
      <c r="PTO44" s="12"/>
      <c r="PTP44" s="12"/>
      <c r="PTQ44" s="12"/>
      <c r="PTR44" s="12"/>
      <c r="PTS44" s="12"/>
      <c r="PTT44" s="12"/>
      <c r="PTU44" s="12"/>
      <c r="PTV44" s="12"/>
      <c r="PTW44" s="12"/>
      <c r="PTX44" s="12"/>
      <c r="PTY44" s="12"/>
      <c r="PTZ44" s="12"/>
      <c r="PUA44" s="12"/>
      <c r="PUB44" s="12"/>
      <c r="PUC44" s="12"/>
      <c r="PUD44" s="12"/>
      <c r="PUE44" s="12"/>
      <c r="PUF44" s="12"/>
      <c r="PUG44" s="12"/>
      <c r="PUH44" s="12"/>
      <c r="PUI44" s="12"/>
      <c r="PUJ44" s="12"/>
      <c r="PUK44" s="12"/>
      <c r="PUL44" s="12"/>
      <c r="PUM44" s="12"/>
      <c r="PUN44" s="12"/>
      <c r="PUO44" s="12"/>
      <c r="PUP44" s="12"/>
      <c r="PUQ44" s="12"/>
      <c r="PUR44" s="12"/>
      <c r="PUS44" s="12"/>
      <c r="PUT44" s="12"/>
      <c r="PUU44" s="12"/>
      <c r="PUV44" s="12"/>
      <c r="PUW44" s="12"/>
      <c r="PUX44" s="12"/>
      <c r="PUY44" s="12"/>
      <c r="PUZ44" s="12"/>
      <c r="PVA44" s="12"/>
      <c r="PVB44" s="12"/>
      <c r="PVC44" s="12"/>
      <c r="PVD44" s="12"/>
      <c r="PVE44" s="12"/>
      <c r="PVF44" s="12"/>
      <c r="PVG44" s="12"/>
      <c r="PVH44" s="12"/>
      <c r="PVI44" s="12"/>
      <c r="PVJ44" s="12"/>
      <c r="PVK44" s="12"/>
      <c r="PVL44" s="12"/>
      <c r="PVM44" s="12"/>
      <c r="PVN44" s="12"/>
      <c r="PVO44" s="12"/>
      <c r="PVP44" s="12"/>
      <c r="PVQ44" s="12"/>
      <c r="PVR44" s="12"/>
      <c r="PVS44" s="12"/>
      <c r="PVT44" s="12"/>
      <c r="PVU44" s="12"/>
      <c r="PVV44" s="12"/>
      <c r="PVW44" s="12"/>
      <c r="PVX44" s="12"/>
      <c r="PVY44" s="12"/>
      <c r="PVZ44" s="12"/>
      <c r="PWA44" s="12"/>
      <c r="PWB44" s="12"/>
      <c r="PWC44" s="12"/>
      <c r="PWD44" s="12"/>
      <c r="PWE44" s="12"/>
      <c r="PWF44" s="12"/>
      <c r="PWG44" s="12"/>
      <c r="PWH44" s="12"/>
      <c r="PWI44" s="12"/>
      <c r="PWJ44" s="12"/>
      <c r="PWK44" s="12"/>
      <c r="PWL44" s="12"/>
      <c r="PWM44" s="12"/>
      <c r="PWN44" s="12"/>
      <c r="PWO44" s="12"/>
      <c r="PWP44" s="12"/>
      <c r="PWQ44" s="12"/>
      <c r="PWR44" s="12"/>
      <c r="PWS44" s="12"/>
      <c r="PWT44" s="12"/>
      <c r="PWU44" s="12"/>
      <c r="PWV44" s="12"/>
      <c r="PWW44" s="12"/>
      <c r="PWX44" s="12"/>
      <c r="PWY44" s="12"/>
      <c r="PWZ44" s="12"/>
      <c r="PXA44" s="12"/>
      <c r="PXB44" s="12"/>
      <c r="PXC44" s="12"/>
      <c r="PXD44" s="12"/>
      <c r="PXE44" s="12"/>
      <c r="PXF44" s="12"/>
      <c r="PXG44" s="12"/>
      <c r="PXH44" s="12"/>
      <c r="PXI44" s="12"/>
      <c r="PXJ44" s="12"/>
      <c r="PXK44" s="12"/>
      <c r="PXL44" s="12"/>
      <c r="PXM44" s="12"/>
      <c r="PXN44" s="12"/>
      <c r="PXO44" s="12"/>
      <c r="PXP44" s="12"/>
      <c r="PXQ44" s="12"/>
      <c r="PXR44" s="12"/>
      <c r="PXS44" s="12"/>
      <c r="PXT44" s="12"/>
      <c r="PXU44" s="12"/>
      <c r="PXV44" s="12"/>
      <c r="PXW44" s="12"/>
      <c r="PXX44" s="12"/>
      <c r="PXY44" s="12"/>
      <c r="PXZ44" s="12"/>
      <c r="PYA44" s="12"/>
      <c r="PYB44" s="12"/>
      <c r="PYC44" s="12"/>
      <c r="PYD44" s="12"/>
      <c r="PYE44" s="12"/>
      <c r="PYF44" s="12"/>
      <c r="PYG44" s="12"/>
      <c r="PYH44" s="12"/>
      <c r="PYI44" s="12"/>
      <c r="PYJ44" s="12"/>
      <c r="PYK44" s="12"/>
      <c r="PYL44" s="12"/>
      <c r="PYM44" s="12"/>
      <c r="PYN44" s="12"/>
      <c r="PYO44" s="12"/>
      <c r="PYP44" s="12"/>
      <c r="PYQ44" s="12"/>
      <c r="PYR44" s="12"/>
      <c r="PYS44" s="12"/>
      <c r="PYT44" s="12"/>
      <c r="PYU44" s="12"/>
      <c r="PYV44" s="12"/>
      <c r="PYW44" s="12"/>
      <c r="PYX44" s="12"/>
      <c r="PYY44" s="12"/>
      <c r="PYZ44" s="12"/>
      <c r="PZA44" s="12"/>
      <c r="PZB44" s="12"/>
      <c r="PZC44" s="12"/>
      <c r="PZD44" s="12"/>
      <c r="PZE44" s="12"/>
      <c r="PZF44" s="12"/>
      <c r="PZG44" s="12"/>
      <c r="PZH44" s="12"/>
      <c r="PZI44" s="12"/>
      <c r="PZJ44" s="12"/>
      <c r="PZK44" s="12"/>
      <c r="PZL44" s="12"/>
      <c r="PZM44" s="12"/>
      <c r="PZN44" s="12"/>
      <c r="PZO44" s="12"/>
      <c r="PZP44" s="12"/>
      <c r="PZQ44" s="12"/>
      <c r="PZR44" s="12"/>
      <c r="PZS44" s="12"/>
      <c r="PZT44" s="12"/>
      <c r="PZU44" s="12"/>
      <c r="PZV44" s="12"/>
      <c r="PZW44" s="12"/>
      <c r="PZX44" s="12"/>
      <c r="PZY44" s="12"/>
      <c r="PZZ44" s="12"/>
      <c r="QAA44" s="12"/>
      <c r="QAB44" s="12"/>
      <c r="QAC44" s="12"/>
      <c r="QAD44" s="12"/>
      <c r="QAE44" s="12"/>
      <c r="QAF44" s="12"/>
      <c r="QAG44" s="12"/>
      <c r="QAH44" s="12"/>
      <c r="QAI44" s="12"/>
      <c r="QAJ44" s="12"/>
      <c r="QAK44" s="12"/>
      <c r="QAL44" s="12"/>
      <c r="QAM44" s="12"/>
      <c r="QAN44" s="12"/>
      <c r="QAO44" s="12"/>
      <c r="QAP44" s="12"/>
      <c r="QAQ44" s="12"/>
      <c r="QAR44" s="12"/>
      <c r="QAS44" s="12"/>
      <c r="QAT44" s="12"/>
      <c r="QAU44" s="12"/>
      <c r="QAV44" s="12"/>
      <c r="QAW44" s="12"/>
      <c r="QAX44" s="12"/>
      <c r="QAY44" s="12"/>
      <c r="QAZ44" s="12"/>
      <c r="QBA44" s="12"/>
      <c r="QBB44" s="12"/>
      <c r="QBC44" s="12"/>
      <c r="QBD44" s="12"/>
      <c r="QBE44" s="12"/>
      <c r="QBF44" s="12"/>
      <c r="QBG44" s="12"/>
      <c r="QBH44" s="12"/>
      <c r="QBI44" s="12"/>
      <c r="QBJ44" s="12"/>
      <c r="QBK44" s="12"/>
      <c r="QBL44" s="12"/>
      <c r="QBM44" s="12"/>
      <c r="QBN44" s="12"/>
      <c r="QBO44" s="12"/>
      <c r="QBP44" s="12"/>
      <c r="QBQ44" s="12"/>
      <c r="QBR44" s="12"/>
      <c r="QBS44" s="12"/>
      <c r="QBT44" s="12"/>
      <c r="QBU44" s="12"/>
      <c r="QBV44" s="12"/>
      <c r="QBW44" s="12"/>
      <c r="QBX44" s="12"/>
      <c r="QBY44" s="12"/>
      <c r="QBZ44" s="12"/>
      <c r="QCA44" s="12"/>
      <c r="QCB44" s="12"/>
      <c r="QCC44" s="12"/>
      <c r="QCD44" s="12"/>
      <c r="QCE44" s="12"/>
      <c r="QCF44" s="12"/>
      <c r="QCG44" s="12"/>
      <c r="QCH44" s="12"/>
      <c r="QCI44" s="12"/>
      <c r="QCJ44" s="12"/>
      <c r="QCK44" s="12"/>
      <c r="QCL44" s="12"/>
      <c r="QCM44" s="12"/>
      <c r="QCN44" s="12"/>
      <c r="QCO44" s="12"/>
      <c r="QCP44" s="12"/>
      <c r="QCQ44" s="12"/>
      <c r="QCR44" s="12"/>
      <c r="QCS44" s="12"/>
      <c r="QCT44" s="12"/>
      <c r="QCU44" s="12"/>
      <c r="QCV44" s="12"/>
      <c r="QCW44" s="12"/>
      <c r="QCX44" s="12"/>
      <c r="QCY44" s="12"/>
      <c r="QCZ44" s="12"/>
      <c r="QDA44" s="12"/>
      <c r="QDB44" s="12"/>
      <c r="QDC44" s="12"/>
      <c r="QDD44" s="12"/>
      <c r="QDE44" s="12"/>
      <c r="QDF44" s="12"/>
      <c r="QDG44" s="12"/>
      <c r="QDH44" s="12"/>
      <c r="QDI44" s="12"/>
      <c r="QDJ44" s="12"/>
      <c r="QDK44" s="12"/>
      <c r="QDL44" s="12"/>
      <c r="QDM44" s="12"/>
      <c r="QDN44" s="12"/>
      <c r="QDO44" s="12"/>
      <c r="QDP44" s="12"/>
      <c r="QDQ44" s="12"/>
      <c r="QDR44" s="12"/>
      <c r="QDS44" s="12"/>
      <c r="QDT44" s="12"/>
      <c r="QDU44" s="12"/>
      <c r="QDV44" s="12"/>
      <c r="QDW44" s="12"/>
      <c r="QDX44" s="12"/>
      <c r="QDY44" s="12"/>
      <c r="QDZ44" s="12"/>
      <c r="QEA44" s="12"/>
      <c r="QEB44" s="12"/>
      <c r="QEC44" s="12"/>
      <c r="QED44" s="12"/>
      <c r="QEE44" s="12"/>
      <c r="QEF44" s="12"/>
      <c r="QEG44" s="12"/>
      <c r="QEH44" s="12"/>
      <c r="QEI44" s="12"/>
      <c r="QEJ44" s="12"/>
      <c r="QEK44" s="12"/>
      <c r="QEL44" s="12"/>
      <c r="QEM44" s="12"/>
      <c r="QEN44" s="12"/>
      <c r="QEO44" s="12"/>
      <c r="QEP44" s="12"/>
      <c r="QEQ44" s="12"/>
      <c r="QER44" s="12"/>
      <c r="QES44" s="12"/>
      <c r="QET44" s="12"/>
      <c r="QEU44" s="12"/>
      <c r="QEV44" s="12"/>
      <c r="QEW44" s="12"/>
      <c r="QEX44" s="12"/>
      <c r="QEY44" s="12"/>
      <c r="QEZ44" s="12"/>
      <c r="QFA44" s="12"/>
      <c r="QFB44" s="12"/>
      <c r="QFC44" s="12"/>
      <c r="QFD44" s="12"/>
      <c r="QFE44" s="12"/>
      <c r="QFF44" s="12"/>
      <c r="QFG44" s="12"/>
      <c r="QFH44" s="12"/>
      <c r="QFI44" s="12"/>
      <c r="QFJ44" s="12"/>
      <c r="QFK44" s="12"/>
      <c r="QFL44" s="12"/>
      <c r="QFM44" s="12"/>
      <c r="QFN44" s="12"/>
      <c r="QFO44" s="12"/>
      <c r="QFP44" s="12"/>
      <c r="QFQ44" s="12"/>
      <c r="QFR44" s="12"/>
      <c r="QFS44" s="12"/>
      <c r="QFT44" s="12"/>
      <c r="QFU44" s="12"/>
      <c r="QFV44" s="12"/>
      <c r="QFW44" s="12"/>
      <c r="QFX44" s="12"/>
      <c r="QFY44" s="12"/>
      <c r="QFZ44" s="12"/>
      <c r="QGA44" s="12"/>
      <c r="QGB44" s="12"/>
      <c r="QGC44" s="12"/>
      <c r="QGD44" s="12"/>
      <c r="QGE44" s="12"/>
      <c r="QGF44" s="12"/>
      <c r="QGG44" s="12"/>
      <c r="QGH44" s="12"/>
      <c r="QGI44" s="12"/>
      <c r="QGJ44" s="12"/>
      <c r="QGK44" s="12"/>
      <c r="QGL44" s="12"/>
      <c r="QGM44" s="12"/>
      <c r="QGN44" s="12"/>
      <c r="QGO44" s="12"/>
      <c r="QGP44" s="12"/>
      <c r="QGQ44" s="12"/>
      <c r="QGR44" s="12"/>
      <c r="QGS44" s="12"/>
      <c r="QGT44" s="12"/>
      <c r="QGU44" s="12"/>
      <c r="QGV44" s="12"/>
      <c r="QGW44" s="12"/>
      <c r="QGX44" s="12"/>
      <c r="QGY44" s="12"/>
      <c r="QGZ44" s="12"/>
      <c r="QHA44" s="12"/>
      <c r="QHB44" s="12"/>
      <c r="QHC44" s="12"/>
      <c r="QHD44" s="12"/>
      <c r="QHE44" s="12"/>
      <c r="QHF44" s="12"/>
      <c r="QHG44" s="12"/>
      <c r="QHH44" s="12"/>
      <c r="QHI44" s="12"/>
      <c r="QHJ44" s="12"/>
      <c r="QHK44" s="12"/>
      <c r="QHL44" s="12"/>
      <c r="QHM44" s="12"/>
      <c r="QHN44" s="12"/>
      <c r="QHO44" s="12"/>
      <c r="QHP44" s="12"/>
      <c r="QHQ44" s="12"/>
      <c r="QHR44" s="12"/>
      <c r="QHS44" s="12"/>
      <c r="QHT44" s="12"/>
      <c r="QHU44" s="12"/>
      <c r="QHV44" s="12"/>
      <c r="QHW44" s="12"/>
      <c r="QHX44" s="12"/>
      <c r="QHY44" s="12"/>
      <c r="QHZ44" s="12"/>
      <c r="QIA44" s="12"/>
      <c r="QIB44" s="12"/>
      <c r="QIC44" s="12"/>
      <c r="QID44" s="12"/>
      <c r="QIE44" s="12"/>
      <c r="QIF44" s="12"/>
      <c r="QIG44" s="12"/>
      <c r="QIH44" s="12"/>
      <c r="QII44" s="12"/>
      <c r="QIJ44" s="12"/>
      <c r="QIK44" s="12"/>
      <c r="QIL44" s="12"/>
      <c r="QIM44" s="12"/>
      <c r="QIN44" s="12"/>
      <c r="QIO44" s="12"/>
      <c r="QIP44" s="12"/>
      <c r="QIQ44" s="12"/>
      <c r="QIR44" s="12"/>
      <c r="QIS44" s="12"/>
      <c r="QIT44" s="12"/>
      <c r="QIU44" s="12"/>
      <c r="QIV44" s="12"/>
      <c r="QIW44" s="12"/>
      <c r="QIX44" s="12"/>
      <c r="QIY44" s="12"/>
      <c r="QIZ44" s="12"/>
      <c r="QJA44" s="12"/>
      <c r="QJB44" s="12"/>
      <c r="QJC44" s="12"/>
      <c r="QJD44" s="12"/>
      <c r="QJE44" s="12"/>
      <c r="QJF44" s="12"/>
      <c r="QJG44" s="12"/>
      <c r="QJH44" s="12"/>
      <c r="QJI44" s="12"/>
      <c r="QJJ44" s="12"/>
      <c r="QJK44" s="12"/>
      <c r="QJL44" s="12"/>
      <c r="QJM44" s="12"/>
      <c r="QJN44" s="12"/>
      <c r="QJO44" s="12"/>
      <c r="QJP44" s="12"/>
      <c r="QJQ44" s="12"/>
      <c r="QJR44" s="12"/>
      <c r="QJS44" s="12"/>
      <c r="QJT44" s="12"/>
      <c r="QJU44" s="12"/>
      <c r="QJV44" s="12"/>
      <c r="QJW44" s="12"/>
      <c r="QJX44" s="12"/>
      <c r="QJY44" s="12"/>
      <c r="QJZ44" s="12"/>
      <c r="QKA44" s="12"/>
      <c r="QKB44" s="12"/>
      <c r="QKC44" s="12"/>
      <c r="QKD44" s="12"/>
      <c r="QKE44" s="12"/>
      <c r="QKF44" s="12"/>
      <c r="QKG44" s="12"/>
      <c r="QKH44" s="12"/>
      <c r="QKI44" s="12"/>
      <c r="QKJ44" s="12"/>
      <c r="QKK44" s="12"/>
      <c r="QKL44" s="12"/>
      <c r="QKM44" s="12"/>
      <c r="QKN44" s="12"/>
      <c r="QKO44" s="12"/>
      <c r="QKP44" s="12"/>
      <c r="QKQ44" s="12"/>
      <c r="QKR44" s="12"/>
      <c r="QKS44" s="12"/>
      <c r="QKT44" s="12"/>
      <c r="QKU44" s="12"/>
      <c r="QKV44" s="12"/>
      <c r="QKW44" s="12"/>
      <c r="QKX44" s="12"/>
      <c r="QKY44" s="12"/>
      <c r="QKZ44" s="12"/>
      <c r="QLA44" s="12"/>
      <c r="QLB44" s="12"/>
      <c r="QLC44" s="12"/>
      <c r="QLD44" s="12"/>
      <c r="QLE44" s="12"/>
      <c r="QLF44" s="12"/>
      <c r="QLG44" s="12"/>
      <c r="QLH44" s="12"/>
      <c r="QLI44" s="12"/>
      <c r="QLJ44" s="12"/>
      <c r="QLK44" s="12"/>
      <c r="QLL44" s="12"/>
      <c r="QLM44" s="12"/>
      <c r="QLN44" s="12"/>
      <c r="QLO44" s="12"/>
      <c r="QLP44" s="12"/>
      <c r="QLQ44" s="12"/>
      <c r="QLR44" s="12"/>
      <c r="QLS44" s="12"/>
      <c r="QLT44" s="12"/>
      <c r="QLU44" s="12"/>
      <c r="QLV44" s="12"/>
      <c r="QLW44" s="12"/>
      <c r="QLX44" s="12"/>
      <c r="QLY44" s="12"/>
      <c r="QLZ44" s="12"/>
      <c r="QMA44" s="12"/>
      <c r="QMB44" s="12"/>
      <c r="QMC44" s="12"/>
      <c r="QMD44" s="12"/>
      <c r="QME44" s="12"/>
      <c r="QMF44" s="12"/>
      <c r="QMG44" s="12"/>
      <c r="QMH44" s="12"/>
      <c r="QMI44" s="12"/>
      <c r="QMJ44" s="12"/>
      <c r="QMK44" s="12"/>
      <c r="QML44" s="12"/>
      <c r="QMM44" s="12"/>
      <c r="QMN44" s="12"/>
      <c r="QMO44" s="12"/>
      <c r="QMP44" s="12"/>
      <c r="QMQ44" s="12"/>
      <c r="QMR44" s="12"/>
      <c r="QMS44" s="12"/>
      <c r="QMT44" s="12"/>
      <c r="QMU44" s="12"/>
      <c r="QMV44" s="12"/>
      <c r="QMW44" s="12"/>
      <c r="QMX44" s="12"/>
      <c r="QMY44" s="12"/>
      <c r="QMZ44" s="12"/>
      <c r="QNA44" s="12"/>
      <c r="QNB44" s="12"/>
      <c r="QNC44" s="12"/>
      <c r="QND44" s="12"/>
      <c r="QNE44" s="12"/>
      <c r="QNF44" s="12"/>
      <c r="QNG44" s="12"/>
      <c r="QNH44" s="12"/>
      <c r="QNI44" s="12"/>
      <c r="QNJ44" s="12"/>
      <c r="QNK44" s="12"/>
      <c r="QNL44" s="12"/>
      <c r="QNM44" s="12"/>
      <c r="QNN44" s="12"/>
      <c r="QNO44" s="12"/>
      <c r="QNP44" s="12"/>
      <c r="QNQ44" s="12"/>
      <c r="QNR44" s="12"/>
      <c r="QNS44" s="12"/>
      <c r="QNT44" s="12"/>
      <c r="QNU44" s="12"/>
      <c r="QNV44" s="12"/>
      <c r="QNW44" s="12"/>
      <c r="QNX44" s="12"/>
      <c r="QNY44" s="12"/>
      <c r="QNZ44" s="12"/>
      <c r="QOA44" s="12"/>
      <c r="QOB44" s="12"/>
      <c r="QOC44" s="12"/>
      <c r="QOD44" s="12"/>
      <c r="QOE44" s="12"/>
      <c r="QOF44" s="12"/>
      <c r="QOG44" s="12"/>
      <c r="QOH44" s="12"/>
      <c r="QOI44" s="12"/>
      <c r="QOJ44" s="12"/>
      <c r="QOK44" s="12"/>
      <c r="QOL44" s="12"/>
      <c r="QOM44" s="12"/>
      <c r="QON44" s="12"/>
      <c r="QOO44" s="12"/>
      <c r="QOP44" s="12"/>
      <c r="QOQ44" s="12"/>
      <c r="QOR44" s="12"/>
      <c r="QOS44" s="12"/>
      <c r="QOT44" s="12"/>
      <c r="QOU44" s="12"/>
      <c r="QOV44" s="12"/>
      <c r="QOW44" s="12"/>
      <c r="QOX44" s="12"/>
      <c r="QOY44" s="12"/>
      <c r="QOZ44" s="12"/>
      <c r="QPA44" s="12"/>
      <c r="QPB44" s="12"/>
      <c r="QPC44" s="12"/>
      <c r="QPD44" s="12"/>
      <c r="QPE44" s="12"/>
      <c r="QPF44" s="12"/>
      <c r="QPG44" s="12"/>
      <c r="QPH44" s="12"/>
      <c r="QPI44" s="12"/>
      <c r="QPJ44" s="12"/>
      <c r="QPK44" s="12"/>
      <c r="QPL44" s="12"/>
      <c r="QPM44" s="12"/>
      <c r="QPN44" s="12"/>
      <c r="QPO44" s="12"/>
      <c r="QPP44" s="12"/>
      <c r="QPQ44" s="12"/>
      <c r="QPR44" s="12"/>
      <c r="QPS44" s="12"/>
      <c r="QPT44" s="12"/>
      <c r="QPU44" s="12"/>
      <c r="QPV44" s="12"/>
      <c r="QPW44" s="12"/>
      <c r="QPX44" s="12"/>
      <c r="QPY44" s="12"/>
      <c r="QPZ44" s="12"/>
      <c r="QQA44" s="12"/>
      <c r="QQB44" s="12"/>
      <c r="QQC44" s="12"/>
      <c r="QQD44" s="12"/>
      <c r="QQE44" s="12"/>
      <c r="QQF44" s="12"/>
      <c r="QQG44" s="12"/>
      <c r="QQH44" s="12"/>
      <c r="QQI44" s="12"/>
      <c r="QQJ44" s="12"/>
      <c r="QQK44" s="12"/>
      <c r="QQL44" s="12"/>
      <c r="QQM44" s="12"/>
      <c r="QQN44" s="12"/>
      <c r="QQO44" s="12"/>
      <c r="QQP44" s="12"/>
      <c r="QQQ44" s="12"/>
      <c r="QQR44" s="12"/>
      <c r="QQS44" s="12"/>
      <c r="QQT44" s="12"/>
      <c r="QQU44" s="12"/>
      <c r="QQV44" s="12"/>
      <c r="QQW44" s="12"/>
      <c r="QQX44" s="12"/>
      <c r="QQY44" s="12"/>
      <c r="QQZ44" s="12"/>
      <c r="QRA44" s="12"/>
      <c r="QRB44" s="12"/>
      <c r="QRC44" s="12"/>
      <c r="QRD44" s="12"/>
      <c r="QRE44" s="12"/>
      <c r="QRF44" s="12"/>
      <c r="QRG44" s="12"/>
      <c r="QRH44" s="12"/>
      <c r="QRI44" s="12"/>
      <c r="QRJ44" s="12"/>
      <c r="QRK44" s="12"/>
      <c r="QRL44" s="12"/>
      <c r="QRM44" s="12"/>
      <c r="QRN44" s="12"/>
      <c r="QRO44" s="12"/>
      <c r="QRP44" s="12"/>
      <c r="QRQ44" s="12"/>
      <c r="QRR44" s="12"/>
      <c r="QRS44" s="12"/>
      <c r="QRT44" s="12"/>
      <c r="QRU44" s="12"/>
      <c r="QRV44" s="12"/>
      <c r="QRW44" s="12"/>
      <c r="QRX44" s="12"/>
      <c r="QRY44" s="12"/>
      <c r="QRZ44" s="12"/>
      <c r="QSA44" s="12"/>
      <c r="QSB44" s="12"/>
      <c r="QSC44" s="12"/>
      <c r="QSD44" s="12"/>
      <c r="QSE44" s="12"/>
      <c r="QSF44" s="12"/>
      <c r="QSG44" s="12"/>
      <c r="QSH44" s="12"/>
      <c r="QSI44" s="12"/>
      <c r="QSJ44" s="12"/>
      <c r="QSK44" s="12"/>
      <c r="QSL44" s="12"/>
      <c r="QSM44" s="12"/>
      <c r="QSN44" s="12"/>
      <c r="QSO44" s="12"/>
      <c r="QSP44" s="12"/>
      <c r="QSQ44" s="12"/>
      <c r="QSR44" s="12"/>
      <c r="QSS44" s="12"/>
      <c r="QST44" s="12"/>
      <c r="QSU44" s="12"/>
      <c r="QSV44" s="12"/>
      <c r="QSW44" s="12"/>
      <c r="QSX44" s="12"/>
      <c r="QSY44" s="12"/>
      <c r="QSZ44" s="12"/>
      <c r="QTA44" s="12"/>
      <c r="QTB44" s="12"/>
      <c r="QTC44" s="12"/>
      <c r="QTD44" s="12"/>
      <c r="QTE44" s="12"/>
      <c r="QTF44" s="12"/>
      <c r="QTG44" s="12"/>
      <c r="QTH44" s="12"/>
      <c r="QTI44" s="12"/>
      <c r="QTJ44" s="12"/>
      <c r="QTK44" s="12"/>
      <c r="QTL44" s="12"/>
      <c r="QTM44" s="12"/>
      <c r="QTN44" s="12"/>
      <c r="QTO44" s="12"/>
      <c r="QTP44" s="12"/>
      <c r="QTQ44" s="12"/>
      <c r="QTR44" s="12"/>
      <c r="QTS44" s="12"/>
      <c r="QTT44" s="12"/>
      <c r="QTU44" s="12"/>
      <c r="QTV44" s="12"/>
      <c r="QTW44" s="12"/>
      <c r="QTX44" s="12"/>
      <c r="QTY44" s="12"/>
      <c r="QTZ44" s="12"/>
      <c r="QUA44" s="12"/>
      <c r="QUB44" s="12"/>
      <c r="QUC44" s="12"/>
      <c r="QUD44" s="12"/>
      <c r="QUE44" s="12"/>
      <c r="QUF44" s="12"/>
      <c r="QUG44" s="12"/>
      <c r="QUH44" s="12"/>
      <c r="QUI44" s="12"/>
      <c r="QUJ44" s="12"/>
      <c r="QUK44" s="12"/>
      <c r="QUL44" s="12"/>
      <c r="QUM44" s="12"/>
      <c r="QUN44" s="12"/>
      <c r="QUO44" s="12"/>
      <c r="QUP44" s="12"/>
      <c r="QUQ44" s="12"/>
      <c r="QUR44" s="12"/>
      <c r="QUS44" s="12"/>
      <c r="QUT44" s="12"/>
      <c r="QUU44" s="12"/>
      <c r="QUV44" s="12"/>
      <c r="QUW44" s="12"/>
      <c r="QUX44" s="12"/>
      <c r="QUY44" s="12"/>
      <c r="QUZ44" s="12"/>
      <c r="QVA44" s="12"/>
      <c r="QVB44" s="12"/>
      <c r="QVC44" s="12"/>
      <c r="QVD44" s="12"/>
      <c r="QVE44" s="12"/>
      <c r="QVF44" s="12"/>
      <c r="QVG44" s="12"/>
      <c r="QVH44" s="12"/>
      <c r="QVI44" s="12"/>
      <c r="QVJ44" s="12"/>
      <c r="QVK44" s="12"/>
      <c r="QVL44" s="12"/>
      <c r="QVM44" s="12"/>
      <c r="QVN44" s="12"/>
      <c r="QVO44" s="12"/>
      <c r="QVP44" s="12"/>
      <c r="QVQ44" s="12"/>
      <c r="QVR44" s="12"/>
      <c r="QVS44" s="12"/>
      <c r="QVT44" s="12"/>
      <c r="QVU44" s="12"/>
      <c r="QVV44" s="12"/>
      <c r="QVW44" s="12"/>
      <c r="QVX44" s="12"/>
      <c r="QVY44" s="12"/>
      <c r="QVZ44" s="12"/>
      <c r="QWA44" s="12"/>
      <c r="QWB44" s="12"/>
      <c r="QWC44" s="12"/>
      <c r="QWD44" s="12"/>
      <c r="QWE44" s="12"/>
      <c r="QWF44" s="12"/>
      <c r="QWG44" s="12"/>
      <c r="QWH44" s="12"/>
      <c r="QWI44" s="12"/>
      <c r="QWJ44" s="12"/>
      <c r="QWK44" s="12"/>
      <c r="QWL44" s="12"/>
      <c r="QWM44" s="12"/>
      <c r="QWN44" s="12"/>
      <c r="QWO44" s="12"/>
      <c r="QWP44" s="12"/>
      <c r="QWQ44" s="12"/>
      <c r="QWR44" s="12"/>
      <c r="QWS44" s="12"/>
      <c r="QWT44" s="12"/>
      <c r="QWU44" s="12"/>
      <c r="QWV44" s="12"/>
      <c r="QWW44" s="12"/>
      <c r="QWX44" s="12"/>
      <c r="QWY44" s="12"/>
      <c r="QWZ44" s="12"/>
      <c r="QXA44" s="12"/>
      <c r="QXB44" s="12"/>
      <c r="QXC44" s="12"/>
      <c r="QXD44" s="12"/>
      <c r="QXE44" s="12"/>
      <c r="QXF44" s="12"/>
      <c r="QXG44" s="12"/>
      <c r="QXH44" s="12"/>
      <c r="QXI44" s="12"/>
      <c r="QXJ44" s="12"/>
      <c r="QXK44" s="12"/>
      <c r="QXL44" s="12"/>
      <c r="QXM44" s="12"/>
      <c r="QXN44" s="12"/>
      <c r="QXO44" s="12"/>
      <c r="QXP44" s="12"/>
      <c r="QXQ44" s="12"/>
      <c r="QXR44" s="12"/>
      <c r="QXS44" s="12"/>
      <c r="QXT44" s="12"/>
      <c r="QXU44" s="12"/>
      <c r="QXV44" s="12"/>
      <c r="QXW44" s="12"/>
      <c r="QXX44" s="12"/>
      <c r="QXY44" s="12"/>
      <c r="QXZ44" s="12"/>
      <c r="QYA44" s="12"/>
      <c r="QYB44" s="12"/>
      <c r="QYC44" s="12"/>
      <c r="QYD44" s="12"/>
      <c r="QYE44" s="12"/>
      <c r="QYF44" s="12"/>
      <c r="QYG44" s="12"/>
      <c r="QYH44" s="12"/>
      <c r="QYI44" s="12"/>
      <c r="QYJ44" s="12"/>
      <c r="QYK44" s="12"/>
      <c r="QYL44" s="12"/>
      <c r="QYM44" s="12"/>
      <c r="QYN44" s="12"/>
      <c r="QYO44" s="12"/>
      <c r="QYP44" s="12"/>
      <c r="QYQ44" s="12"/>
      <c r="QYR44" s="12"/>
      <c r="QYS44" s="12"/>
      <c r="QYT44" s="12"/>
      <c r="QYU44" s="12"/>
      <c r="QYV44" s="12"/>
      <c r="QYW44" s="12"/>
      <c r="QYX44" s="12"/>
      <c r="QYY44" s="12"/>
      <c r="QYZ44" s="12"/>
      <c r="QZA44" s="12"/>
      <c r="QZB44" s="12"/>
      <c r="QZC44" s="12"/>
      <c r="QZD44" s="12"/>
      <c r="QZE44" s="12"/>
      <c r="QZF44" s="12"/>
      <c r="QZG44" s="12"/>
      <c r="QZH44" s="12"/>
      <c r="QZI44" s="12"/>
      <c r="QZJ44" s="12"/>
      <c r="QZK44" s="12"/>
      <c r="QZL44" s="12"/>
      <c r="QZM44" s="12"/>
      <c r="QZN44" s="12"/>
      <c r="QZO44" s="12"/>
      <c r="QZP44" s="12"/>
      <c r="QZQ44" s="12"/>
      <c r="QZR44" s="12"/>
      <c r="QZS44" s="12"/>
      <c r="QZT44" s="12"/>
      <c r="QZU44" s="12"/>
      <c r="QZV44" s="12"/>
      <c r="QZW44" s="12"/>
      <c r="QZX44" s="12"/>
      <c r="QZY44" s="12"/>
      <c r="QZZ44" s="12"/>
      <c r="RAA44" s="12"/>
      <c r="RAB44" s="12"/>
      <c r="RAC44" s="12"/>
      <c r="RAD44" s="12"/>
      <c r="RAE44" s="12"/>
      <c r="RAF44" s="12"/>
      <c r="RAG44" s="12"/>
      <c r="RAH44" s="12"/>
      <c r="RAI44" s="12"/>
      <c r="RAJ44" s="12"/>
      <c r="RAK44" s="12"/>
      <c r="RAL44" s="12"/>
      <c r="RAM44" s="12"/>
      <c r="RAN44" s="12"/>
      <c r="RAO44" s="12"/>
      <c r="RAP44" s="12"/>
      <c r="RAQ44" s="12"/>
      <c r="RAR44" s="12"/>
      <c r="RAS44" s="12"/>
      <c r="RAT44" s="12"/>
      <c r="RAU44" s="12"/>
      <c r="RAV44" s="12"/>
      <c r="RAW44" s="12"/>
      <c r="RAX44" s="12"/>
      <c r="RAY44" s="12"/>
      <c r="RAZ44" s="12"/>
      <c r="RBA44" s="12"/>
      <c r="RBB44" s="12"/>
      <c r="RBC44" s="12"/>
      <c r="RBD44" s="12"/>
      <c r="RBE44" s="12"/>
      <c r="RBF44" s="12"/>
      <c r="RBG44" s="12"/>
      <c r="RBH44" s="12"/>
      <c r="RBI44" s="12"/>
      <c r="RBJ44" s="12"/>
      <c r="RBK44" s="12"/>
      <c r="RBL44" s="12"/>
      <c r="RBM44" s="12"/>
      <c r="RBN44" s="12"/>
      <c r="RBO44" s="12"/>
      <c r="RBP44" s="12"/>
      <c r="RBQ44" s="12"/>
      <c r="RBR44" s="12"/>
      <c r="RBS44" s="12"/>
      <c r="RBT44" s="12"/>
      <c r="RBU44" s="12"/>
      <c r="RBV44" s="12"/>
      <c r="RBW44" s="12"/>
      <c r="RBX44" s="12"/>
      <c r="RBY44" s="12"/>
      <c r="RBZ44" s="12"/>
      <c r="RCA44" s="12"/>
      <c r="RCB44" s="12"/>
      <c r="RCC44" s="12"/>
      <c r="RCD44" s="12"/>
      <c r="RCE44" s="12"/>
      <c r="RCF44" s="12"/>
      <c r="RCG44" s="12"/>
      <c r="RCH44" s="12"/>
      <c r="RCI44" s="12"/>
      <c r="RCJ44" s="12"/>
      <c r="RCK44" s="12"/>
      <c r="RCL44" s="12"/>
      <c r="RCM44" s="12"/>
      <c r="RCN44" s="12"/>
      <c r="RCO44" s="12"/>
      <c r="RCP44" s="12"/>
      <c r="RCQ44" s="12"/>
      <c r="RCR44" s="12"/>
      <c r="RCS44" s="12"/>
      <c r="RCT44" s="12"/>
      <c r="RCU44" s="12"/>
      <c r="RCV44" s="12"/>
      <c r="RCW44" s="12"/>
      <c r="RCX44" s="12"/>
      <c r="RCY44" s="12"/>
      <c r="RCZ44" s="12"/>
      <c r="RDA44" s="12"/>
      <c r="RDB44" s="12"/>
      <c r="RDC44" s="12"/>
      <c r="RDD44" s="12"/>
      <c r="RDE44" s="12"/>
      <c r="RDF44" s="12"/>
      <c r="RDG44" s="12"/>
      <c r="RDH44" s="12"/>
      <c r="RDI44" s="12"/>
      <c r="RDJ44" s="12"/>
      <c r="RDK44" s="12"/>
      <c r="RDL44" s="12"/>
      <c r="RDM44" s="12"/>
      <c r="RDN44" s="12"/>
      <c r="RDO44" s="12"/>
      <c r="RDP44" s="12"/>
      <c r="RDQ44" s="12"/>
      <c r="RDR44" s="12"/>
      <c r="RDS44" s="12"/>
      <c r="RDT44" s="12"/>
      <c r="RDU44" s="12"/>
      <c r="RDV44" s="12"/>
      <c r="RDW44" s="12"/>
      <c r="RDX44" s="12"/>
      <c r="RDY44" s="12"/>
      <c r="RDZ44" s="12"/>
      <c r="REA44" s="12"/>
      <c r="REB44" s="12"/>
      <c r="REC44" s="12"/>
      <c r="RED44" s="12"/>
      <c r="REE44" s="12"/>
      <c r="REF44" s="12"/>
      <c r="REG44" s="12"/>
      <c r="REH44" s="12"/>
      <c r="REI44" s="12"/>
      <c r="REJ44" s="12"/>
      <c r="REK44" s="12"/>
      <c r="REL44" s="12"/>
      <c r="REM44" s="12"/>
      <c r="REN44" s="12"/>
      <c r="REO44" s="12"/>
      <c r="REP44" s="12"/>
      <c r="REQ44" s="12"/>
      <c r="RER44" s="12"/>
      <c r="RES44" s="12"/>
      <c r="RET44" s="12"/>
      <c r="REU44" s="12"/>
      <c r="REV44" s="12"/>
      <c r="REW44" s="12"/>
      <c r="REX44" s="12"/>
      <c r="REY44" s="12"/>
      <c r="REZ44" s="12"/>
      <c r="RFA44" s="12"/>
      <c r="RFB44" s="12"/>
      <c r="RFC44" s="12"/>
      <c r="RFD44" s="12"/>
      <c r="RFE44" s="12"/>
      <c r="RFF44" s="12"/>
      <c r="RFG44" s="12"/>
      <c r="RFH44" s="12"/>
      <c r="RFI44" s="12"/>
      <c r="RFJ44" s="12"/>
      <c r="RFK44" s="12"/>
      <c r="RFL44" s="12"/>
      <c r="RFM44" s="12"/>
      <c r="RFN44" s="12"/>
      <c r="RFO44" s="12"/>
      <c r="RFP44" s="12"/>
      <c r="RFQ44" s="12"/>
      <c r="RFR44" s="12"/>
      <c r="RFS44" s="12"/>
      <c r="RFT44" s="12"/>
      <c r="RFU44" s="12"/>
      <c r="RFV44" s="12"/>
      <c r="RFW44" s="12"/>
      <c r="RFX44" s="12"/>
      <c r="RFY44" s="12"/>
      <c r="RFZ44" s="12"/>
      <c r="RGA44" s="12"/>
      <c r="RGB44" s="12"/>
      <c r="RGC44" s="12"/>
      <c r="RGD44" s="12"/>
      <c r="RGE44" s="12"/>
      <c r="RGF44" s="12"/>
      <c r="RGG44" s="12"/>
      <c r="RGH44" s="12"/>
      <c r="RGI44" s="12"/>
      <c r="RGJ44" s="12"/>
      <c r="RGK44" s="12"/>
      <c r="RGL44" s="12"/>
      <c r="RGM44" s="12"/>
      <c r="RGN44" s="12"/>
      <c r="RGO44" s="12"/>
      <c r="RGP44" s="12"/>
      <c r="RGQ44" s="12"/>
      <c r="RGR44" s="12"/>
      <c r="RGS44" s="12"/>
      <c r="RGT44" s="12"/>
      <c r="RGU44" s="12"/>
      <c r="RGV44" s="12"/>
      <c r="RGW44" s="12"/>
      <c r="RGX44" s="12"/>
      <c r="RGY44" s="12"/>
      <c r="RGZ44" s="12"/>
      <c r="RHA44" s="12"/>
      <c r="RHB44" s="12"/>
      <c r="RHC44" s="12"/>
      <c r="RHD44" s="12"/>
      <c r="RHE44" s="12"/>
      <c r="RHF44" s="12"/>
      <c r="RHG44" s="12"/>
      <c r="RHH44" s="12"/>
      <c r="RHI44" s="12"/>
      <c r="RHJ44" s="12"/>
      <c r="RHK44" s="12"/>
      <c r="RHL44" s="12"/>
      <c r="RHM44" s="12"/>
      <c r="RHN44" s="12"/>
      <c r="RHO44" s="12"/>
      <c r="RHP44" s="12"/>
      <c r="RHQ44" s="12"/>
      <c r="RHR44" s="12"/>
      <c r="RHS44" s="12"/>
      <c r="RHT44" s="12"/>
      <c r="RHU44" s="12"/>
      <c r="RHV44" s="12"/>
      <c r="RHW44" s="12"/>
      <c r="RHX44" s="12"/>
      <c r="RHY44" s="12"/>
      <c r="RHZ44" s="12"/>
      <c r="RIA44" s="12"/>
      <c r="RIB44" s="12"/>
      <c r="RIC44" s="12"/>
      <c r="RID44" s="12"/>
      <c r="RIE44" s="12"/>
      <c r="RIF44" s="12"/>
      <c r="RIG44" s="12"/>
      <c r="RIH44" s="12"/>
      <c r="RII44" s="12"/>
      <c r="RIJ44" s="12"/>
      <c r="RIK44" s="12"/>
      <c r="RIL44" s="12"/>
      <c r="RIM44" s="12"/>
      <c r="RIN44" s="12"/>
      <c r="RIO44" s="12"/>
      <c r="RIP44" s="12"/>
      <c r="RIQ44" s="12"/>
      <c r="RIR44" s="12"/>
      <c r="RIS44" s="12"/>
      <c r="RIT44" s="12"/>
      <c r="RIU44" s="12"/>
      <c r="RIV44" s="12"/>
      <c r="RIW44" s="12"/>
      <c r="RIX44" s="12"/>
      <c r="RIY44" s="12"/>
      <c r="RIZ44" s="12"/>
      <c r="RJA44" s="12"/>
      <c r="RJB44" s="12"/>
      <c r="RJC44" s="12"/>
      <c r="RJD44" s="12"/>
      <c r="RJE44" s="12"/>
      <c r="RJF44" s="12"/>
      <c r="RJG44" s="12"/>
      <c r="RJH44" s="12"/>
      <c r="RJI44" s="12"/>
      <c r="RJJ44" s="12"/>
      <c r="RJK44" s="12"/>
      <c r="RJL44" s="12"/>
      <c r="RJM44" s="12"/>
      <c r="RJN44" s="12"/>
      <c r="RJO44" s="12"/>
      <c r="RJP44" s="12"/>
      <c r="RJQ44" s="12"/>
      <c r="RJR44" s="12"/>
      <c r="RJS44" s="12"/>
      <c r="RJT44" s="12"/>
      <c r="RJU44" s="12"/>
      <c r="RJV44" s="12"/>
      <c r="RJW44" s="12"/>
      <c r="RJX44" s="12"/>
      <c r="RJY44" s="12"/>
      <c r="RJZ44" s="12"/>
      <c r="RKA44" s="12"/>
      <c r="RKB44" s="12"/>
      <c r="RKC44" s="12"/>
      <c r="RKD44" s="12"/>
      <c r="RKE44" s="12"/>
      <c r="RKF44" s="12"/>
      <c r="RKG44" s="12"/>
      <c r="RKH44" s="12"/>
      <c r="RKI44" s="12"/>
      <c r="RKJ44" s="12"/>
      <c r="RKK44" s="12"/>
      <c r="RKL44" s="12"/>
      <c r="RKM44" s="12"/>
      <c r="RKN44" s="12"/>
      <c r="RKO44" s="12"/>
      <c r="RKP44" s="12"/>
      <c r="RKQ44" s="12"/>
      <c r="RKR44" s="12"/>
      <c r="RKS44" s="12"/>
      <c r="RKT44" s="12"/>
      <c r="RKU44" s="12"/>
      <c r="RKV44" s="12"/>
      <c r="RKW44" s="12"/>
      <c r="RKX44" s="12"/>
      <c r="RKY44" s="12"/>
      <c r="RKZ44" s="12"/>
      <c r="RLA44" s="12"/>
      <c r="RLB44" s="12"/>
      <c r="RLC44" s="12"/>
      <c r="RLD44" s="12"/>
      <c r="RLE44" s="12"/>
      <c r="RLF44" s="12"/>
      <c r="RLG44" s="12"/>
      <c r="RLH44" s="12"/>
      <c r="RLI44" s="12"/>
      <c r="RLJ44" s="12"/>
      <c r="RLK44" s="12"/>
      <c r="RLL44" s="12"/>
      <c r="RLM44" s="12"/>
      <c r="RLN44" s="12"/>
      <c r="RLO44" s="12"/>
      <c r="RLP44" s="12"/>
      <c r="RLQ44" s="12"/>
      <c r="RLR44" s="12"/>
      <c r="RLS44" s="12"/>
      <c r="RLT44" s="12"/>
      <c r="RLU44" s="12"/>
      <c r="RLV44" s="12"/>
      <c r="RLW44" s="12"/>
      <c r="RLX44" s="12"/>
      <c r="RLY44" s="12"/>
      <c r="RLZ44" s="12"/>
      <c r="RMA44" s="12"/>
      <c r="RMB44" s="12"/>
      <c r="RMC44" s="12"/>
      <c r="RMD44" s="12"/>
      <c r="RME44" s="12"/>
      <c r="RMF44" s="12"/>
      <c r="RMG44" s="12"/>
      <c r="RMH44" s="12"/>
      <c r="RMI44" s="12"/>
      <c r="RMJ44" s="12"/>
      <c r="RMK44" s="12"/>
      <c r="RML44" s="12"/>
      <c r="RMM44" s="12"/>
      <c r="RMN44" s="12"/>
      <c r="RMO44" s="12"/>
      <c r="RMP44" s="12"/>
      <c r="RMQ44" s="12"/>
      <c r="RMR44" s="12"/>
      <c r="RMS44" s="12"/>
      <c r="RMT44" s="12"/>
      <c r="RMU44" s="12"/>
      <c r="RMV44" s="12"/>
      <c r="RMW44" s="12"/>
      <c r="RMX44" s="12"/>
      <c r="RMY44" s="12"/>
      <c r="RMZ44" s="12"/>
      <c r="RNA44" s="12"/>
      <c r="RNB44" s="12"/>
      <c r="RNC44" s="12"/>
      <c r="RND44" s="12"/>
      <c r="RNE44" s="12"/>
      <c r="RNF44" s="12"/>
      <c r="RNG44" s="12"/>
      <c r="RNH44" s="12"/>
      <c r="RNI44" s="12"/>
      <c r="RNJ44" s="12"/>
      <c r="RNK44" s="12"/>
      <c r="RNL44" s="12"/>
      <c r="RNM44" s="12"/>
      <c r="RNN44" s="12"/>
      <c r="RNO44" s="12"/>
      <c r="RNP44" s="12"/>
      <c r="RNQ44" s="12"/>
      <c r="RNR44" s="12"/>
      <c r="RNS44" s="12"/>
      <c r="RNT44" s="12"/>
      <c r="RNU44" s="12"/>
      <c r="RNV44" s="12"/>
      <c r="RNW44" s="12"/>
      <c r="RNX44" s="12"/>
      <c r="RNY44" s="12"/>
      <c r="RNZ44" s="12"/>
      <c r="ROA44" s="12"/>
      <c r="ROB44" s="12"/>
      <c r="ROC44" s="12"/>
      <c r="ROD44" s="12"/>
      <c r="ROE44" s="12"/>
      <c r="ROF44" s="12"/>
      <c r="ROG44" s="12"/>
      <c r="ROH44" s="12"/>
      <c r="ROI44" s="12"/>
      <c r="ROJ44" s="12"/>
      <c r="ROK44" s="12"/>
      <c r="ROL44" s="12"/>
      <c r="ROM44" s="12"/>
      <c r="RON44" s="12"/>
      <c r="ROO44" s="12"/>
      <c r="ROP44" s="12"/>
      <c r="ROQ44" s="12"/>
      <c r="ROR44" s="12"/>
      <c r="ROS44" s="12"/>
      <c r="ROT44" s="12"/>
      <c r="ROU44" s="12"/>
      <c r="ROV44" s="12"/>
      <c r="ROW44" s="12"/>
      <c r="ROX44" s="12"/>
      <c r="ROY44" s="12"/>
      <c r="ROZ44" s="12"/>
      <c r="RPA44" s="12"/>
      <c r="RPB44" s="12"/>
      <c r="RPC44" s="12"/>
      <c r="RPD44" s="12"/>
      <c r="RPE44" s="12"/>
      <c r="RPF44" s="12"/>
      <c r="RPG44" s="12"/>
      <c r="RPH44" s="12"/>
      <c r="RPI44" s="12"/>
      <c r="RPJ44" s="12"/>
      <c r="RPK44" s="12"/>
      <c r="RPL44" s="12"/>
      <c r="RPM44" s="12"/>
      <c r="RPN44" s="12"/>
      <c r="RPO44" s="12"/>
      <c r="RPP44" s="12"/>
      <c r="RPQ44" s="12"/>
      <c r="RPR44" s="12"/>
      <c r="RPS44" s="12"/>
      <c r="RPT44" s="12"/>
      <c r="RPU44" s="12"/>
      <c r="RPV44" s="12"/>
      <c r="RPW44" s="12"/>
      <c r="RPX44" s="12"/>
      <c r="RPY44" s="12"/>
      <c r="RPZ44" s="12"/>
      <c r="RQA44" s="12"/>
      <c r="RQB44" s="12"/>
      <c r="RQC44" s="12"/>
      <c r="RQD44" s="12"/>
      <c r="RQE44" s="12"/>
      <c r="RQF44" s="12"/>
      <c r="RQG44" s="12"/>
      <c r="RQH44" s="12"/>
      <c r="RQI44" s="12"/>
      <c r="RQJ44" s="12"/>
      <c r="RQK44" s="12"/>
      <c r="RQL44" s="12"/>
      <c r="RQM44" s="12"/>
      <c r="RQN44" s="12"/>
      <c r="RQO44" s="12"/>
      <c r="RQP44" s="12"/>
      <c r="RQQ44" s="12"/>
      <c r="RQR44" s="12"/>
      <c r="RQS44" s="12"/>
      <c r="RQT44" s="12"/>
      <c r="RQU44" s="12"/>
      <c r="RQV44" s="12"/>
      <c r="RQW44" s="12"/>
      <c r="RQX44" s="12"/>
      <c r="RQY44" s="12"/>
      <c r="RQZ44" s="12"/>
      <c r="RRA44" s="12"/>
      <c r="RRB44" s="12"/>
      <c r="RRC44" s="12"/>
      <c r="RRD44" s="12"/>
      <c r="RRE44" s="12"/>
      <c r="RRF44" s="12"/>
      <c r="RRG44" s="12"/>
      <c r="RRH44" s="12"/>
      <c r="RRI44" s="12"/>
      <c r="RRJ44" s="12"/>
      <c r="RRK44" s="12"/>
      <c r="RRL44" s="12"/>
      <c r="RRM44" s="12"/>
      <c r="RRN44" s="12"/>
      <c r="RRO44" s="12"/>
      <c r="RRP44" s="12"/>
      <c r="RRQ44" s="12"/>
      <c r="RRR44" s="12"/>
      <c r="RRS44" s="12"/>
      <c r="RRT44" s="12"/>
      <c r="RRU44" s="12"/>
      <c r="RRV44" s="12"/>
      <c r="RRW44" s="12"/>
      <c r="RRX44" s="12"/>
      <c r="RRY44" s="12"/>
      <c r="RRZ44" s="12"/>
      <c r="RSA44" s="12"/>
      <c r="RSB44" s="12"/>
      <c r="RSC44" s="12"/>
      <c r="RSD44" s="12"/>
      <c r="RSE44" s="12"/>
      <c r="RSF44" s="12"/>
      <c r="RSG44" s="12"/>
      <c r="RSH44" s="12"/>
      <c r="RSI44" s="12"/>
      <c r="RSJ44" s="12"/>
      <c r="RSK44" s="12"/>
      <c r="RSL44" s="12"/>
      <c r="RSM44" s="12"/>
      <c r="RSN44" s="12"/>
      <c r="RSO44" s="12"/>
      <c r="RSP44" s="12"/>
      <c r="RSQ44" s="12"/>
      <c r="RSR44" s="12"/>
      <c r="RSS44" s="12"/>
      <c r="RST44" s="12"/>
      <c r="RSU44" s="12"/>
      <c r="RSV44" s="12"/>
      <c r="RSW44" s="12"/>
      <c r="RSX44" s="12"/>
      <c r="RSY44" s="12"/>
      <c r="RSZ44" s="12"/>
      <c r="RTA44" s="12"/>
      <c r="RTB44" s="12"/>
      <c r="RTC44" s="12"/>
      <c r="RTD44" s="12"/>
      <c r="RTE44" s="12"/>
      <c r="RTF44" s="12"/>
      <c r="RTG44" s="12"/>
      <c r="RTH44" s="12"/>
      <c r="RTI44" s="12"/>
      <c r="RTJ44" s="12"/>
      <c r="RTK44" s="12"/>
      <c r="RTL44" s="12"/>
      <c r="RTM44" s="12"/>
      <c r="RTN44" s="12"/>
      <c r="RTO44" s="12"/>
      <c r="RTP44" s="12"/>
      <c r="RTQ44" s="12"/>
      <c r="RTR44" s="12"/>
      <c r="RTS44" s="12"/>
      <c r="RTT44" s="12"/>
      <c r="RTU44" s="12"/>
      <c r="RTV44" s="12"/>
      <c r="RTW44" s="12"/>
      <c r="RTX44" s="12"/>
      <c r="RTY44" s="12"/>
      <c r="RTZ44" s="12"/>
      <c r="RUA44" s="12"/>
      <c r="RUB44" s="12"/>
      <c r="RUC44" s="12"/>
      <c r="RUD44" s="12"/>
      <c r="RUE44" s="12"/>
      <c r="RUF44" s="12"/>
      <c r="RUG44" s="12"/>
      <c r="RUH44" s="12"/>
      <c r="RUI44" s="12"/>
      <c r="RUJ44" s="12"/>
      <c r="RUK44" s="12"/>
      <c r="RUL44" s="12"/>
      <c r="RUM44" s="12"/>
      <c r="RUN44" s="12"/>
      <c r="RUO44" s="12"/>
      <c r="RUP44" s="12"/>
      <c r="RUQ44" s="12"/>
      <c r="RUR44" s="12"/>
      <c r="RUS44" s="12"/>
      <c r="RUT44" s="12"/>
      <c r="RUU44" s="12"/>
      <c r="RUV44" s="12"/>
      <c r="RUW44" s="12"/>
      <c r="RUX44" s="12"/>
      <c r="RUY44" s="12"/>
      <c r="RUZ44" s="12"/>
      <c r="RVA44" s="12"/>
      <c r="RVB44" s="12"/>
      <c r="RVC44" s="12"/>
      <c r="RVD44" s="12"/>
      <c r="RVE44" s="12"/>
      <c r="RVF44" s="12"/>
      <c r="RVG44" s="12"/>
      <c r="RVH44" s="12"/>
      <c r="RVI44" s="12"/>
      <c r="RVJ44" s="12"/>
      <c r="RVK44" s="12"/>
      <c r="RVL44" s="12"/>
      <c r="RVM44" s="12"/>
      <c r="RVN44" s="12"/>
      <c r="RVO44" s="12"/>
      <c r="RVP44" s="12"/>
      <c r="RVQ44" s="12"/>
      <c r="RVR44" s="12"/>
      <c r="RVS44" s="12"/>
      <c r="RVT44" s="12"/>
      <c r="RVU44" s="12"/>
      <c r="RVV44" s="12"/>
      <c r="RVW44" s="12"/>
      <c r="RVX44" s="12"/>
      <c r="RVY44" s="12"/>
      <c r="RVZ44" s="12"/>
      <c r="RWA44" s="12"/>
      <c r="RWB44" s="12"/>
      <c r="RWC44" s="12"/>
      <c r="RWD44" s="12"/>
      <c r="RWE44" s="12"/>
      <c r="RWF44" s="12"/>
      <c r="RWG44" s="12"/>
      <c r="RWH44" s="12"/>
      <c r="RWI44" s="12"/>
      <c r="RWJ44" s="12"/>
      <c r="RWK44" s="12"/>
      <c r="RWL44" s="12"/>
      <c r="RWM44" s="12"/>
      <c r="RWN44" s="12"/>
      <c r="RWO44" s="12"/>
      <c r="RWP44" s="12"/>
      <c r="RWQ44" s="12"/>
      <c r="RWR44" s="12"/>
      <c r="RWS44" s="12"/>
      <c r="RWT44" s="12"/>
      <c r="RWU44" s="12"/>
      <c r="RWV44" s="12"/>
      <c r="RWW44" s="12"/>
      <c r="RWX44" s="12"/>
      <c r="RWY44" s="12"/>
      <c r="RWZ44" s="12"/>
      <c r="RXA44" s="12"/>
      <c r="RXB44" s="12"/>
      <c r="RXC44" s="12"/>
      <c r="RXD44" s="12"/>
      <c r="RXE44" s="12"/>
      <c r="RXF44" s="12"/>
      <c r="RXG44" s="12"/>
      <c r="RXH44" s="12"/>
      <c r="RXI44" s="12"/>
      <c r="RXJ44" s="12"/>
      <c r="RXK44" s="12"/>
      <c r="RXL44" s="12"/>
      <c r="RXM44" s="12"/>
      <c r="RXN44" s="12"/>
      <c r="RXO44" s="12"/>
      <c r="RXP44" s="12"/>
      <c r="RXQ44" s="12"/>
      <c r="RXR44" s="12"/>
      <c r="RXS44" s="12"/>
      <c r="RXT44" s="12"/>
      <c r="RXU44" s="12"/>
      <c r="RXV44" s="12"/>
      <c r="RXW44" s="12"/>
      <c r="RXX44" s="12"/>
      <c r="RXY44" s="12"/>
      <c r="RXZ44" s="12"/>
      <c r="RYA44" s="12"/>
      <c r="RYB44" s="12"/>
      <c r="RYC44" s="12"/>
      <c r="RYD44" s="12"/>
      <c r="RYE44" s="12"/>
      <c r="RYF44" s="12"/>
      <c r="RYG44" s="12"/>
      <c r="RYH44" s="12"/>
      <c r="RYI44" s="12"/>
      <c r="RYJ44" s="12"/>
      <c r="RYK44" s="12"/>
      <c r="RYL44" s="12"/>
      <c r="RYM44" s="12"/>
      <c r="RYN44" s="12"/>
      <c r="RYO44" s="12"/>
      <c r="RYP44" s="12"/>
      <c r="RYQ44" s="12"/>
      <c r="RYR44" s="12"/>
      <c r="RYS44" s="12"/>
      <c r="RYT44" s="12"/>
      <c r="RYU44" s="12"/>
      <c r="RYV44" s="12"/>
      <c r="RYW44" s="12"/>
      <c r="RYX44" s="12"/>
      <c r="RYY44" s="12"/>
      <c r="RYZ44" s="12"/>
      <c r="RZA44" s="12"/>
      <c r="RZB44" s="12"/>
      <c r="RZC44" s="12"/>
      <c r="RZD44" s="12"/>
      <c r="RZE44" s="12"/>
      <c r="RZF44" s="12"/>
      <c r="RZG44" s="12"/>
      <c r="RZH44" s="12"/>
      <c r="RZI44" s="12"/>
      <c r="RZJ44" s="12"/>
      <c r="RZK44" s="12"/>
      <c r="RZL44" s="12"/>
      <c r="RZM44" s="12"/>
      <c r="RZN44" s="12"/>
      <c r="RZO44" s="12"/>
      <c r="RZP44" s="12"/>
      <c r="RZQ44" s="12"/>
      <c r="RZR44" s="12"/>
      <c r="RZS44" s="12"/>
      <c r="RZT44" s="12"/>
      <c r="RZU44" s="12"/>
      <c r="RZV44" s="12"/>
      <c r="RZW44" s="12"/>
      <c r="RZX44" s="12"/>
      <c r="RZY44" s="12"/>
      <c r="RZZ44" s="12"/>
      <c r="SAA44" s="12"/>
      <c r="SAB44" s="12"/>
      <c r="SAC44" s="12"/>
      <c r="SAD44" s="12"/>
      <c r="SAE44" s="12"/>
      <c r="SAF44" s="12"/>
      <c r="SAG44" s="12"/>
      <c r="SAH44" s="12"/>
      <c r="SAI44" s="12"/>
      <c r="SAJ44" s="12"/>
      <c r="SAK44" s="12"/>
      <c r="SAL44" s="12"/>
      <c r="SAM44" s="12"/>
      <c r="SAN44" s="12"/>
      <c r="SAO44" s="12"/>
      <c r="SAP44" s="12"/>
      <c r="SAQ44" s="12"/>
      <c r="SAR44" s="12"/>
      <c r="SAS44" s="12"/>
      <c r="SAT44" s="12"/>
      <c r="SAU44" s="12"/>
      <c r="SAV44" s="12"/>
      <c r="SAW44" s="12"/>
      <c r="SAX44" s="12"/>
      <c r="SAY44" s="12"/>
      <c r="SAZ44" s="12"/>
      <c r="SBA44" s="12"/>
      <c r="SBB44" s="12"/>
      <c r="SBC44" s="12"/>
      <c r="SBD44" s="12"/>
      <c r="SBE44" s="12"/>
      <c r="SBF44" s="12"/>
      <c r="SBG44" s="12"/>
      <c r="SBH44" s="12"/>
      <c r="SBI44" s="12"/>
      <c r="SBJ44" s="12"/>
      <c r="SBK44" s="12"/>
      <c r="SBL44" s="12"/>
      <c r="SBM44" s="12"/>
      <c r="SBN44" s="12"/>
      <c r="SBO44" s="12"/>
      <c r="SBP44" s="12"/>
      <c r="SBQ44" s="12"/>
      <c r="SBR44" s="12"/>
      <c r="SBS44" s="12"/>
      <c r="SBT44" s="12"/>
      <c r="SBU44" s="12"/>
      <c r="SBV44" s="12"/>
      <c r="SBW44" s="12"/>
      <c r="SBX44" s="12"/>
      <c r="SBY44" s="12"/>
      <c r="SBZ44" s="12"/>
      <c r="SCA44" s="12"/>
      <c r="SCB44" s="12"/>
      <c r="SCC44" s="12"/>
      <c r="SCD44" s="12"/>
      <c r="SCE44" s="12"/>
      <c r="SCF44" s="12"/>
      <c r="SCG44" s="12"/>
      <c r="SCH44" s="12"/>
      <c r="SCI44" s="12"/>
      <c r="SCJ44" s="12"/>
      <c r="SCK44" s="12"/>
      <c r="SCL44" s="12"/>
      <c r="SCM44" s="12"/>
      <c r="SCN44" s="12"/>
      <c r="SCO44" s="12"/>
      <c r="SCP44" s="12"/>
      <c r="SCQ44" s="12"/>
      <c r="SCR44" s="12"/>
      <c r="SCS44" s="12"/>
      <c r="SCT44" s="12"/>
      <c r="SCU44" s="12"/>
      <c r="SCV44" s="12"/>
      <c r="SCW44" s="12"/>
      <c r="SCX44" s="12"/>
      <c r="SCY44" s="12"/>
      <c r="SCZ44" s="12"/>
      <c r="SDA44" s="12"/>
      <c r="SDB44" s="12"/>
      <c r="SDC44" s="12"/>
      <c r="SDD44" s="12"/>
      <c r="SDE44" s="12"/>
      <c r="SDF44" s="12"/>
      <c r="SDG44" s="12"/>
      <c r="SDH44" s="12"/>
      <c r="SDI44" s="12"/>
      <c r="SDJ44" s="12"/>
      <c r="SDK44" s="12"/>
      <c r="SDL44" s="12"/>
      <c r="SDM44" s="12"/>
      <c r="SDN44" s="12"/>
      <c r="SDO44" s="12"/>
      <c r="SDP44" s="12"/>
      <c r="SDQ44" s="12"/>
      <c r="SDR44" s="12"/>
      <c r="SDS44" s="12"/>
      <c r="SDT44" s="12"/>
      <c r="SDU44" s="12"/>
      <c r="SDV44" s="12"/>
      <c r="SDW44" s="12"/>
      <c r="SDX44" s="12"/>
      <c r="SDY44" s="12"/>
      <c r="SDZ44" s="12"/>
      <c r="SEA44" s="12"/>
      <c r="SEB44" s="12"/>
      <c r="SEC44" s="12"/>
      <c r="SED44" s="12"/>
      <c r="SEE44" s="12"/>
      <c r="SEF44" s="12"/>
      <c r="SEG44" s="12"/>
      <c r="SEH44" s="12"/>
      <c r="SEI44" s="12"/>
      <c r="SEJ44" s="12"/>
      <c r="SEK44" s="12"/>
      <c r="SEL44" s="12"/>
      <c r="SEM44" s="12"/>
      <c r="SEN44" s="12"/>
      <c r="SEO44" s="12"/>
      <c r="SEP44" s="12"/>
      <c r="SEQ44" s="12"/>
      <c r="SER44" s="12"/>
      <c r="SES44" s="12"/>
      <c r="SET44" s="12"/>
      <c r="SEU44" s="12"/>
      <c r="SEV44" s="12"/>
      <c r="SEW44" s="12"/>
      <c r="SEX44" s="12"/>
      <c r="SEY44" s="12"/>
      <c r="SEZ44" s="12"/>
      <c r="SFA44" s="12"/>
      <c r="SFB44" s="12"/>
      <c r="SFC44" s="12"/>
      <c r="SFD44" s="12"/>
      <c r="SFE44" s="12"/>
      <c r="SFF44" s="12"/>
      <c r="SFG44" s="12"/>
      <c r="SFH44" s="12"/>
      <c r="SFI44" s="12"/>
      <c r="SFJ44" s="12"/>
      <c r="SFK44" s="12"/>
      <c r="SFL44" s="12"/>
      <c r="SFM44" s="12"/>
      <c r="SFN44" s="12"/>
      <c r="SFO44" s="12"/>
      <c r="SFP44" s="12"/>
      <c r="SFQ44" s="12"/>
      <c r="SFR44" s="12"/>
      <c r="SFS44" s="12"/>
      <c r="SFT44" s="12"/>
      <c r="SFU44" s="12"/>
      <c r="SFV44" s="12"/>
      <c r="SFW44" s="12"/>
      <c r="SFX44" s="12"/>
      <c r="SFY44" s="12"/>
      <c r="SFZ44" s="12"/>
      <c r="SGA44" s="12"/>
      <c r="SGB44" s="12"/>
      <c r="SGC44" s="12"/>
      <c r="SGD44" s="12"/>
      <c r="SGE44" s="12"/>
      <c r="SGF44" s="12"/>
      <c r="SGG44" s="12"/>
      <c r="SGH44" s="12"/>
      <c r="SGI44" s="12"/>
      <c r="SGJ44" s="12"/>
      <c r="SGK44" s="12"/>
      <c r="SGL44" s="12"/>
      <c r="SGM44" s="12"/>
      <c r="SGN44" s="12"/>
      <c r="SGO44" s="12"/>
      <c r="SGP44" s="12"/>
      <c r="SGQ44" s="12"/>
      <c r="SGR44" s="12"/>
      <c r="SGS44" s="12"/>
      <c r="SGT44" s="12"/>
      <c r="SGU44" s="12"/>
      <c r="SGV44" s="12"/>
      <c r="SGW44" s="12"/>
      <c r="SGX44" s="12"/>
      <c r="SGY44" s="12"/>
      <c r="SGZ44" s="12"/>
      <c r="SHA44" s="12"/>
      <c r="SHB44" s="12"/>
      <c r="SHC44" s="12"/>
      <c r="SHD44" s="12"/>
      <c r="SHE44" s="12"/>
      <c r="SHF44" s="12"/>
      <c r="SHG44" s="12"/>
      <c r="SHH44" s="12"/>
      <c r="SHI44" s="12"/>
      <c r="SHJ44" s="12"/>
      <c r="SHK44" s="12"/>
      <c r="SHL44" s="12"/>
      <c r="SHM44" s="12"/>
      <c r="SHN44" s="12"/>
      <c r="SHO44" s="12"/>
      <c r="SHP44" s="12"/>
      <c r="SHQ44" s="12"/>
      <c r="SHR44" s="12"/>
      <c r="SHS44" s="12"/>
      <c r="SHT44" s="12"/>
      <c r="SHU44" s="12"/>
      <c r="SHV44" s="12"/>
      <c r="SHW44" s="12"/>
      <c r="SHX44" s="12"/>
      <c r="SHY44" s="12"/>
      <c r="SHZ44" s="12"/>
      <c r="SIA44" s="12"/>
      <c r="SIB44" s="12"/>
      <c r="SIC44" s="12"/>
      <c r="SID44" s="12"/>
      <c r="SIE44" s="12"/>
      <c r="SIF44" s="12"/>
      <c r="SIG44" s="12"/>
      <c r="SIH44" s="12"/>
      <c r="SII44" s="12"/>
      <c r="SIJ44" s="12"/>
      <c r="SIK44" s="12"/>
      <c r="SIL44" s="12"/>
      <c r="SIM44" s="12"/>
      <c r="SIN44" s="12"/>
      <c r="SIO44" s="12"/>
      <c r="SIP44" s="12"/>
      <c r="SIQ44" s="12"/>
      <c r="SIR44" s="12"/>
      <c r="SIS44" s="12"/>
      <c r="SIT44" s="12"/>
      <c r="SIU44" s="12"/>
      <c r="SIV44" s="12"/>
      <c r="SIW44" s="12"/>
      <c r="SIX44" s="12"/>
      <c r="SIY44" s="12"/>
      <c r="SIZ44" s="12"/>
      <c r="SJA44" s="12"/>
      <c r="SJB44" s="12"/>
      <c r="SJC44" s="12"/>
      <c r="SJD44" s="12"/>
      <c r="SJE44" s="12"/>
      <c r="SJF44" s="12"/>
      <c r="SJG44" s="12"/>
      <c r="SJH44" s="12"/>
      <c r="SJI44" s="12"/>
      <c r="SJJ44" s="12"/>
      <c r="SJK44" s="12"/>
      <c r="SJL44" s="12"/>
      <c r="SJM44" s="12"/>
      <c r="SJN44" s="12"/>
      <c r="SJO44" s="12"/>
      <c r="SJP44" s="12"/>
      <c r="SJQ44" s="12"/>
      <c r="SJR44" s="12"/>
      <c r="SJS44" s="12"/>
      <c r="SJT44" s="12"/>
      <c r="SJU44" s="12"/>
      <c r="SJV44" s="12"/>
      <c r="SJW44" s="12"/>
      <c r="SJX44" s="12"/>
      <c r="SJY44" s="12"/>
      <c r="SJZ44" s="12"/>
      <c r="SKA44" s="12"/>
      <c r="SKB44" s="12"/>
      <c r="SKC44" s="12"/>
      <c r="SKD44" s="12"/>
      <c r="SKE44" s="12"/>
      <c r="SKF44" s="12"/>
      <c r="SKG44" s="12"/>
      <c r="SKH44" s="12"/>
      <c r="SKI44" s="12"/>
      <c r="SKJ44" s="12"/>
      <c r="SKK44" s="12"/>
      <c r="SKL44" s="12"/>
      <c r="SKM44" s="12"/>
      <c r="SKN44" s="12"/>
      <c r="SKO44" s="12"/>
      <c r="SKP44" s="12"/>
      <c r="SKQ44" s="12"/>
      <c r="SKR44" s="12"/>
      <c r="SKS44" s="12"/>
      <c r="SKT44" s="12"/>
      <c r="SKU44" s="12"/>
      <c r="SKV44" s="12"/>
      <c r="SKW44" s="12"/>
      <c r="SKX44" s="12"/>
      <c r="SKY44" s="12"/>
      <c r="SKZ44" s="12"/>
      <c r="SLA44" s="12"/>
      <c r="SLB44" s="12"/>
      <c r="SLC44" s="12"/>
      <c r="SLD44" s="12"/>
      <c r="SLE44" s="12"/>
      <c r="SLF44" s="12"/>
      <c r="SLG44" s="12"/>
      <c r="SLH44" s="12"/>
      <c r="SLI44" s="12"/>
      <c r="SLJ44" s="12"/>
      <c r="SLK44" s="12"/>
      <c r="SLL44" s="12"/>
      <c r="SLM44" s="12"/>
      <c r="SLN44" s="12"/>
      <c r="SLO44" s="12"/>
      <c r="SLP44" s="12"/>
      <c r="SLQ44" s="12"/>
      <c r="SLR44" s="12"/>
      <c r="SLS44" s="12"/>
      <c r="SLT44" s="12"/>
      <c r="SLU44" s="12"/>
      <c r="SLV44" s="12"/>
      <c r="SLW44" s="12"/>
      <c r="SLX44" s="12"/>
      <c r="SLY44" s="12"/>
      <c r="SLZ44" s="12"/>
      <c r="SMA44" s="12"/>
      <c r="SMB44" s="12"/>
      <c r="SMC44" s="12"/>
      <c r="SMD44" s="12"/>
      <c r="SME44" s="12"/>
      <c r="SMF44" s="12"/>
      <c r="SMG44" s="12"/>
      <c r="SMH44" s="12"/>
      <c r="SMI44" s="12"/>
      <c r="SMJ44" s="12"/>
      <c r="SMK44" s="12"/>
      <c r="SML44" s="12"/>
      <c r="SMM44" s="12"/>
      <c r="SMN44" s="12"/>
      <c r="SMO44" s="12"/>
      <c r="SMP44" s="12"/>
      <c r="SMQ44" s="12"/>
      <c r="SMR44" s="12"/>
      <c r="SMS44" s="12"/>
      <c r="SMT44" s="12"/>
      <c r="SMU44" s="12"/>
      <c r="SMV44" s="12"/>
      <c r="SMW44" s="12"/>
      <c r="SMX44" s="12"/>
      <c r="SMY44" s="12"/>
      <c r="SMZ44" s="12"/>
      <c r="SNA44" s="12"/>
      <c r="SNB44" s="12"/>
      <c r="SNC44" s="12"/>
      <c r="SND44" s="12"/>
      <c r="SNE44" s="12"/>
      <c r="SNF44" s="12"/>
      <c r="SNG44" s="12"/>
      <c r="SNH44" s="12"/>
      <c r="SNI44" s="12"/>
      <c r="SNJ44" s="12"/>
      <c r="SNK44" s="12"/>
      <c r="SNL44" s="12"/>
      <c r="SNM44" s="12"/>
      <c r="SNN44" s="12"/>
      <c r="SNO44" s="12"/>
      <c r="SNP44" s="12"/>
      <c r="SNQ44" s="12"/>
      <c r="SNR44" s="12"/>
      <c r="SNS44" s="12"/>
      <c r="SNT44" s="12"/>
      <c r="SNU44" s="12"/>
      <c r="SNV44" s="12"/>
      <c r="SNW44" s="12"/>
      <c r="SNX44" s="12"/>
      <c r="SNY44" s="12"/>
      <c r="SNZ44" s="12"/>
      <c r="SOA44" s="12"/>
      <c r="SOB44" s="12"/>
      <c r="SOC44" s="12"/>
      <c r="SOD44" s="12"/>
      <c r="SOE44" s="12"/>
      <c r="SOF44" s="12"/>
      <c r="SOG44" s="12"/>
      <c r="SOH44" s="12"/>
      <c r="SOI44" s="12"/>
      <c r="SOJ44" s="12"/>
      <c r="SOK44" s="12"/>
      <c r="SOL44" s="12"/>
      <c r="SOM44" s="12"/>
      <c r="SON44" s="12"/>
      <c r="SOO44" s="12"/>
      <c r="SOP44" s="12"/>
      <c r="SOQ44" s="12"/>
      <c r="SOR44" s="12"/>
      <c r="SOS44" s="12"/>
      <c r="SOT44" s="12"/>
      <c r="SOU44" s="12"/>
      <c r="SOV44" s="12"/>
      <c r="SOW44" s="12"/>
      <c r="SOX44" s="12"/>
      <c r="SOY44" s="12"/>
      <c r="SOZ44" s="12"/>
      <c r="SPA44" s="12"/>
      <c r="SPB44" s="12"/>
      <c r="SPC44" s="12"/>
      <c r="SPD44" s="12"/>
      <c r="SPE44" s="12"/>
      <c r="SPF44" s="12"/>
      <c r="SPG44" s="12"/>
      <c r="SPH44" s="12"/>
      <c r="SPI44" s="12"/>
      <c r="SPJ44" s="12"/>
      <c r="SPK44" s="12"/>
      <c r="SPL44" s="12"/>
      <c r="SPM44" s="12"/>
      <c r="SPN44" s="12"/>
      <c r="SPO44" s="12"/>
      <c r="SPP44" s="12"/>
      <c r="SPQ44" s="12"/>
      <c r="SPR44" s="12"/>
      <c r="SPS44" s="12"/>
      <c r="SPT44" s="12"/>
      <c r="SPU44" s="12"/>
      <c r="SPV44" s="12"/>
      <c r="SPW44" s="12"/>
      <c r="SPX44" s="12"/>
      <c r="SPY44" s="12"/>
      <c r="SPZ44" s="12"/>
      <c r="SQA44" s="12"/>
      <c r="SQB44" s="12"/>
      <c r="SQC44" s="12"/>
      <c r="SQD44" s="12"/>
      <c r="SQE44" s="12"/>
      <c r="SQF44" s="12"/>
      <c r="SQG44" s="12"/>
      <c r="SQH44" s="12"/>
      <c r="SQI44" s="12"/>
      <c r="SQJ44" s="12"/>
      <c r="SQK44" s="12"/>
      <c r="SQL44" s="12"/>
      <c r="SQM44" s="12"/>
      <c r="SQN44" s="12"/>
      <c r="SQO44" s="12"/>
      <c r="SQP44" s="12"/>
      <c r="SQQ44" s="12"/>
      <c r="SQR44" s="12"/>
      <c r="SQS44" s="12"/>
      <c r="SQT44" s="12"/>
      <c r="SQU44" s="12"/>
      <c r="SQV44" s="12"/>
      <c r="SQW44" s="12"/>
      <c r="SQX44" s="12"/>
      <c r="SQY44" s="12"/>
      <c r="SQZ44" s="12"/>
      <c r="SRA44" s="12"/>
      <c r="SRB44" s="12"/>
      <c r="SRC44" s="12"/>
      <c r="SRD44" s="12"/>
      <c r="SRE44" s="12"/>
      <c r="SRF44" s="12"/>
      <c r="SRG44" s="12"/>
      <c r="SRH44" s="12"/>
      <c r="SRI44" s="12"/>
      <c r="SRJ44" s="12"/>
      <c r="SRK44" s="12"/>
      <c r="SRL44" s="12"/>
      <c r="SRM44" s="12"/>
      <c r="SRN44" s="12"/>
      <c r="SRO44" s="12"/>
      <c r="SRP44" s="12"/>
      <c r="SRQ44" s="12"/>
      <c r="SRR44" s="12"/>
      <c r="SRS44" s="12"/>
      <c r="SRT44" s="12"/>
      <c r="SRU44" s="12"/>
      <c r="SRV44" s="12"/>
      <c r="SRW44" s="12"/>
      <c r="SRX44" s="12"/>
      <c r="SRY44" s="12"/>
      <c r="SRZ44" s="12"/>
      <c r="SSA44" s="12"/>
      <c r="SSB44" s="12"/>
      <c r="SSC44" s="12"/>
      <c r="SSD44" s="12"/>
      <c r="SSE44" s="12"/>
      <c r="SSF44" s="12"/>
      <c r="SSG44" s="12"/>
      <c r="SSH44" s="12"/>
      <c r="SSI44" s="12"/>
      <c r="SSJ44" s="12"/>
      <c r="SSK44" s="12"/>
      <c r="SSL44" s="12"/>
      <c r="SSM44" s="12"/>
      <c r="SSN44" s="12"/>
      <c r="SSO44" s="12"/>
      <c r="SSP44" s="12"/>
      <c r="SSQ44" s="12"/>
      <c r="SSR44" s="12"/>
      <c r="SSS44" s="12"/>
      <c r="SST44" s="12"/>
      <c r="SSU44" s="12"/>
      <c r="SSV44" s="12"/>
      <c r="SSW44" s="12"/>
      <c r="SSX44" s="12"/>
      <c r="SSY44" s="12"/>
      <c r="SSZ44" s="12"/>
      <c r="STA44" s="12"/>
      <c r="STB44" s="12"/>
      <c r="STC44" s="12"/>
      <c r="STD44" s="12"/>
      <c r="STE44" s="12"/>
      <c r="STF44" s="12"/>
      <c r="STG44" s="12"/>
      <c r="STH44" s="12"/>
      <c r="STI44" s="12"/>
      <c r="STJ44" s="12"/>
      <c r="STK44" s="12"/>
      <c r="STL44" s="12"/>
      <c r="STM44" s="12"/>
      <c r="STN44" s="12"/>
      <c r="STO44" s="12"/>
      <c r="STP44" s="12"/>
      <c r="STQ44" s="12"/>
      <c r="STR44" s="12"/>
      <c r="STS44" s="12"/>
      <c r="STT44" s="12"/>
      <c r="STU44" s="12"/>
      <c r="STV44" s="12"/>
      <c r="STW44" s="12"/>
      <c r="STX44" s="12"/>
      <c r="STY44" s="12"/>
      <c r="STZ44" s="12"/>
      <c r="SUA44" s="12"/>
      <c r="SUB44" s="12"/>
      <c r="SUC44" s="12"/>
      <c r="SUD44" s="12"/>
      <c r="SUE44" s="12"/>
      <c r="SUF44" s="12"/>
      <c r="SUG44" s="12"/>
      <c r="SUH44" s="12"/>
      <c r="SUI44" s="12"/>
      <c r="SUJ44" s="12"/>
      <c r="SUK44" s="12"/>
      <c r="SUL44" s="12"/>
      <c r="SUM44" s="12"/>
      <c r="SUN44" s="12"/>
      <c r="SUO44" s="12"/>
      <c r="SUP44" s="12"/>
      <c r="SUQ44" s="12"/>
      <c r="SUR44" s="12"/>
      <c r="SUS44" s="12"/>
      <c r="SUT44" s="12"/>
      <c r="SUU44" s="12"/>
      <c r="SUV44" s="12"/>
      <c r="SUW44" s="12"/>
      <c r="SUX44" s="12"/>
      <c r="SUY44" s="12"/>
      <c r="SUZ44" s="12"/>
      <c r="SVA44" s="12"/>
      <c r="SVB44" s="12"/>
      <c r="SVC44" s="12"/>
      <c r="SVD44" s="12"/>
      <c r="SVE44" s="12"/>
      <c r="SVF44" s="12"/>
      <c r="SVG44" s="12"/>
      <c r="SVH44" s="12"/>
      <c r="SVI44" s="12"/>
      <c r="SVJ44" s="12"/>
      <c r="SVK44" s="12"/>
      <c r="SVL44" s="12"/>
      <c r="SVM44" s="12"/>
      <c r="SVN44" s="12"/>
      <c r="SVO44" s="12"/>
      <c r="SVP44" s="12"/>
      <c r="SVQ44" s="12"/>
      <c r="SVR44" s="12"/>
      <c r="SVS44" s="12"/>
      <c r="SVT44" s="12"/>
      <c r="SVU44" s="12"/>
      <c r="SVV44" s="12"/>
      <c r="SVW44" s="12"/>
      <c r="SVX44" s="12"/>
      <c r="SVY44" s="12"/>
      <c r="SVZ44" s="12"/>
      <c r="SWA44" s="12"/>
      <c r="SWB44" s="12"/>
      <c r="SWC44" s="12"/>
      <c r="SWD44" s="12"/>
      <c r="SWE44" s="12"/>
      <c r="SWF44" s="12"/>
      <c r="SWG44" s="12"/>
      <c r="SWH44" s="12"/>
      <c r="SWI44" s="12"/>
      <c r="SWJ44" s="12"/>
      <c r="SWK44" s="12"/>
      <c r="SWL44" s="12"/>
      <c r="SWM44" s="12"/>
      <c r="SWN44" s="12"/>
      <c r="SWO44" s="12"/>
      <c r="SWP44" s="12"/>
      <c r="SWQ44" s="12"/>
      <c r="SWR44" s="12"/>
      <c r="SWS44" s="12"/>
      <c r="SWT44" s="12"/>
      <c r="SWU44" s="12"/>
      <c r="SWV44" s="12"/>
      <c r="SWW44" s="12"/>
      <c r="SWX44" s="12"/>
      <c r="SWY44" s="12"/>
      <c r="SWZ44" s="12"/>
      <c r="SXA44" s="12"/>
      <c r="SXB44" s="12"/>
      <c r="SXC44" s="12"/>
      <c r="SXD44" s="12"/>
      <c r="SXE44" s="12"/>
      <c r="SXF44" s="12"/>
      <c r="SXG44" s="12"/>
      <c r="SXH44" s="12"/>
      <c r="SXI44" s="12"/>
      <c r="SXJ44" s="12"/>
      <c r="SXK44" s="12"/>
      <c r="SXL44" s="12"/>
      <c r="SXM44" s="12"/>
      <c r="SXN44" s="12"/>
      <c r="SXO44" s="12"/>
      <c r="SXP44" s="12"/>
      <c r="SXQ44" s="12"/>
      <c r="SXR44" s="12"/>
      <c r="SXS44" s="12"/>
      <c r="SXT44" s="12"/>
      <c r="SXU44" s="12"/>
      <c r="SXV44" s="12"/>
      <c r="SXW44" s="12"/>
      <c r="SXX44" s="12"/>
      <c r="SXY44" s="12"/>
      <c r="SXZ44" s="12"/>
      <c r="SYA44" s="12"/>
      <c r="SYB44" s="12"/>
      <c r="SYC44" s="12"/>
      <c r="SYD44" s="12"/>
      <c r="SYE44" s="12"/>
      <c r="SYF44" s="12"/>
      <c r="SYG44" s="12"/>
      <c r="SYH44" s="12"/>
      <c r="SYI44" s="12"/>
      <c r="SYJ44" s="12"/>
      <c r="SYK44" s="12"/>
      <c r="SYL44" s="12"/>
      <c r="SYM44" s="12"/>
      <c r="SYN44" s="12"/>
      <c r="SYO44" s="12"/>
      <c r="SYP44" s="12"/>
      <c r="SYQ44" s="12"/>
      <c r="SYR44" s="12"/>
      <c r="SYS44" s="12"/>
      <c r="SYT44" s="12"/>
      <c r="SYU44" s="12"/>
      <c r="SYV44" s="12"/>
      <c r="SYW44" s="12"/>
      <c r="SYX44" s="12"/>
      <c r="SYY44" s="12"/>
      <c r="SYZ44" s="12"/>
      <c r="SZA44" s="12"/>
      <c r="SZB44" s="12"/>
      <c r="SZC44" s="12"/>
      <c r="SZD44" s="12"/>
      <c r="SZE44" s="12"/>
      <c r="SZF44" s="12"/>
      <c r="SZG44" s="12"/>
      <c r="SZH44" s="12"/>
      <c r="SZI44" s="12"/>
      <c r="SZJ44" s="12"/>
      <c r="SZK44" s="12"/>
      <c r="SZL44" s="12"/>
      <c r="SZM44" s="12"/>
      <c r="SZN44" s="12"/>
      <c r="SZO44" s="12"/>
      <c r="SZP44" s="12"/>
      <c r="SZQ44" s="12"/>
      <c r="SZR44" s="12"/>
      <c r="SZS44" s="12"/>
      <c r="SZT44" s="12"/>
      <c r="SZU44" s="12"/>
      <c r="SZV44" s="12"/>
      <c r="SZW44" s="12"/>
      <c r="SZX44" s="12"/>
      <c r="SZY44" s="12"/>
      <c r="SZZ44" s="12"/>
      <c r="TAA44" s="12"/>
      <c r="TAB44" s="12"/>
      <c r="TAC44" s="12"/>
      <c r="TAD44" s="12"/>
      <c r="TAE44" s="12"/>
      <c r="TAF44" s="12"/>
      <c r="TAG44" s="12"/>
      <c r="TAH44" s="12"/>
      <c r="TAI44" s="12"/>
      <c r="TAJ44" s="12"/>
      <c r="TAK44" s="12"/>
      <c r="TAL44" s="12"/>
      <c r="TAM44" s="12"/>
      <c r="TAN44" s="12"/>
      <c r="TAO44" s="12"/>
      <c r="TAP44" s="12"/>
      <c r="TAQ44" s="12"/>
      <c r="TAR44" s="12"/>
      <c r="TAS44" s="12"/>
      <c r="TAT44" s="12"/>
      <c r="TAU44" s="12"/>
      <c r="TAV44" s="12"/>
      <c r="TAW44" s="12"/>
      <c r="TAX44" s="12"/>
      <c r="TAY44" s="12"/>
      <c r="TAZ44" s="12"/>
      <c r="TBA44" s="12"/>
      <c r="TBB44" s="12"/>
      <c r="TBC44" s="12"/>
      <c r="TBD44" s="12"/>
      <c r="TBE44" s="12"/>
      <c r="TBF44" s="12"/>
      <c r="TBG44" s="12"/>
      <c r="TBH44" s="12"/>
      <c r="TBI44" s="12"/>
      <c r="TBJ44" s="12"/>
      <c r="TBK44" s="12"/>
      <c r="TBL44" s="12"/>
      <c r="TBM44" s="12"/>
      <c r="TBN44" s="12"/>
      <c r="TBO44" s="12"/>
      <c r="TBP44" s="12"/>
      <c r="TBQ44" s="12"/>
      <c r="TBR44" s="12"/>
      <c r="TBS44" s="12"/>
      <c r="TBT44" s="12"/>
      <c r="TBU44" s="12"/>
      <c r="TBV44" s="12"/>
      <c r="TBW44" s="12"/>
      <c r="TBX44" s="12"/>
      <c r="TBY44" s="12"/>
      <c r="TBZ44" s="12"/>
      <c r="TCA44" s="12"/>
      <c r="TCB44" s="12"/>
      <c r="TCC44" s="12"/>
      <c r="TCD44" s="12"/>
      <c r="TCE44" s="12"/>
      <c r="TCF44" s="12"/>
      <c r="TCG44" s="12"/>
      <c r="TCH44" s="12"/>
      <c r="TCI44" s="12"/>
      <c r="TCJ44" s="12"/>
      <c r="TCK44" s="12"/>
      <c r="TCL44" s="12"/>
      <c r="TCM44" s="12"/>
      <c r="TCN44" s="12"/>
      <c r="TCO44" s="12"/>
      <c r="TCP44" s="12"/>
      <c r="TCQ44" s="12"/>
      <c r="TCR44" s="12"/>
      <c r="TCS44" s="12"/>
      <c r="TCT44" s="12"/>
      <c r="TCU44" s="12"/>
      <c r="TCV44" s="12"/>
      <c r="TCW44" s="12"/>
      <c r="TCX44" s="12"/>
      <c r="TCY44" s="12"/>
      <c r="TCZ44" s="12"/>
      <c r="TDA44" s="12"/>
      <c r="TDB44" s="12"/>
      <c r="TDC44" s="12"/>
      <c r="TDD44" s="12"/>
      <c r="TDE44" s="12"/>
      <c r="TDF44" s="12"/>
      <c r="TDG44" s="12"/>
      <c r="TDH44" s="12"/>
      <c r="TDI44" s="12"/>
      <c r="TDJ44" s="12"/>
      <c r="TDK44" s="12"/>
      <c r="TDL44" s="12"/>
      <c r="TDM44" s="12"/>
      <c r="TDN44" s="12"/>
      <c r="TDO44" s="12"/>
      <c r="TDP44" s="12"/>
      <c r="TDQ44" s="12"/>
      <c r="TDR44" s="12"/>
      <c r="TDS44" s="12"/>
      <c r="TDT44" s="12"/>
      <c r="TDU44" s="12"/>
      <c r="TDV44" s="12"/>
      <c r="TDW44" s="12"/>
      <c r="TDX44" s="12"/>
      <c r="TDY44" s="12"/>
      <c r="TDZ44" s="12"/>
      <c r="TEA44" s="12"/>
      <c r="TEB44" s="12"/>
      <c r="TEC44" s="12"/>
      <c r="TED44" s="12"/>
      <c r="TEE44" s="12"/>
      <c r="TEF44" s="12"/>
      <c r="TEG44" s="12"/>
      <c r="TEH44" s="12"/>
      <c r="TEI44" s="12"/>
      <c r="TEJ44" s="12"/>
      <c r="TEK44" s="12"/>
      <c r="TEL44" s="12"/>
      <c r="TEM44" s="12"/>
      <c r="TEN44" s="12"/>
      <c r="TEO44" s="12"/>
      <c r="TEP44" s="12"/>
      <c r="TEQ44" s="12"/>
      <c r="TER44" s="12"/>
      <c r="TES44" s="12"/>
      <c r="TET44" s="12"/>
      <c r="TEU44" s="12"/>
      <c r="TEV44" s="12"/>
      <c r="TEW44" s="12"/>
      <c r="TEX44" s="12"/>
      <c r="TEY44" s="12"/>
      <c r="TEZ44" s="12"/>
      <c r="TFA44" s="12"/>
      <c r="TFB44" s="12"/>
      <c r="TFC44" s="12"/>
      <c r="TFD44" s="12"/>
      <c r="TFE44" s="12"/>
      <c r="TFF44" s="12"/>
      <c r="TFG44" s="12"/>
      <c r="TFH44" s="12"/>
      <c r="TFI44" s="12"/>
      <c r="TFJ44" s="12"/>
      <c r="TFK44" s="12"/>
      <c r="TFL44" s="12"/>
      <c r="TFM44" s="12"/>
      <c r="TFN44" s="12"/>
      <c r="TFO44" s="12"/>
      <c r="TFP44" s="12"/>
      <c r="TFQ44" s="12"/>
      <c r="TFR44" s="12"/>
      <c r="TFS44" s="12"/>
      <c r="TFT44" s="12"/>
      <c r="TFU44" s="12"/>
      <c r="TFV44" s="12"/>
      <c r="TFW44" s="12"/>
      <c r="TFX44" s="12"/>
      <c r="TFY44" s="12"/>
      <c r="TFZ44" s="12"/>
      <c r="TGA44" s="12"/>
      <c r="TGB44" s="12"/>
      <c r="TGC44" s="12"/>
      <c r="TGD44" s="12"/>
      <c r="TGE44" s="12"/>
      <c r="TGF44" s="12"/>
      <c r="TGG44" s="12"/>
      <c r="TGH44" s="12"/>
      <c r="TGI44" s="12"/>
      <c r="TGJ44" s="12"/>
      <c r="TGK44" s="12"/>
      <c r="TGL44" s="12"/>
      <c r="TGM44" s="12"/>
      <c r="TGN44" s="12"/>
      <c r="TGO44" s="12"/>
      <c r="TGP44" s="12"/>
      <c r="TGQ44" s="12"/>
      <c r="TGR44" s="12"/>
      <c r="TGS44" s="12"/>
      <c r="TGT44" s="12"/>
      <c r="TGU44" s="12"/>
      <c r="TGV44" s="12"/>
      <c r="TGW44" s="12"/>
      <c r="TGX44" s="12"/>
      <c r="TGY44" s="12"/>
      <c r="TGZ44" s="12"/>
      <c r="THA44" s="12"/>
      <c r="THB44" s="12"/>
      <c r="THC44" s="12"/>
      <c r="THD44" s="12"/>
      <c r="THE44" s="12"/>
      <c r="THF44" s="12"/>
      <c r="THG44" s="12"/>
      <c r="THH44" s="12"/>
      <c r="THI44" s="12"/>
      <c r="THJ44" s="12"/>
      <c r="THK44" s="12"/>
      <c r="THL44" s="12"/>
      <c r="THM44" s="12"/>
      <c r="THN44" s="12"/>
      <c r="THO44" s="12"/>
      <c r="THP44" s="12"/>
      <c r="THQ44" s="12"/>
      <c r="THR44" s="12"/>
      <c r="THS44" s="12"/>
      <c r="THT44" s="12"/>
      <c r="THU44" s="12"/>
      <c r="THV44" s="12"/>
      <c r="THW44" s="12"/>
      <c r="THX44" s="12"/>
      <c r="THY44" s="12"/>
      <c r="THZ44" s="12"/>
      <c r="TIA44" s="12"/>
      <c r="TIB44" s="12"/>
      <c r="TIC44" s="12"/>
      <c r="TID44" s="12"/>
      <c r="TIE44" s="12"/>
      <c r="TIF44" s="12"/>
      <c r="TIG44" s="12"/>
      <c r="TIH44" s="12"/>
      <c r="TII44" s="12"/>
      <c r="TIJ44" s="12"/>
      <c r="TIK44" s="12"/>
      <c r="TIL44" s="12"/>
      <c r="TIM44" s="12"/>
      <c r="TIN44" s="12"/>
      <c r="TIO44" s="12"/>
      <c r="TIP44" s="12"/>
      <c r="TIQ44" s="12"/>
      <c r="TIR44" s="12"/>
      <c r="TIS44" s="12"/>
      <c r="TIT44" s="12"/>
      <c r="TIU44" s="12"/>
      <c r="TIV44" s="12"/>
      <c r="TIW44" s="12"/>
      <c r="TIX44" s="12"/>
      <c r="TIY44" s="12"/>
      <c r="TIZ44" s="12"/>
      <c r="TJA44" s="12"/>
      <c r="TJB44" s="12"/>
      <c r="TJC44" s="12"/>
      <c r="TJD44" s="12"/>
      <c r="TJE44" s="12"/>
      <c r="TJF44" s="12"/>
      <c r="TJG44" s="12"/>
      <c r="TJH44" s="12"/>
      <c r="TJI44" s="12"/>
      <c r="TJJ44" s="12"/>
      <c r="TJK44" s="12"/>
      <c r="TJL44" s="12"/>
      <c r="TJM44" s="12"/>
      <c r="TJN44" s="12"/>
      <c r="TJO44" s="12"/>
      <c r="TJP44" s="12"/>
      <c r="TJQ44" s="12"/>
      <c r="TJR44" s="12"/>
      <c r="TJS44" s="12"/>
      <c r="TJT44" s="12"/>
      <c r="TJU44" s="12"/>
      <c r="TJV44" s="12"/>
      <c r="TJW44" s="12"/>
      <c r="TJX44" s="12"/>
      <c r="TJY44" s="12"/>
      <c r="TJZ44" s="12"/>
      <c r="TKA44" s="12"/>
      <c r="TKB44" s="12"/>
      <c r="TKC44" s="12"/>
      <c r="TKD44" s="12"/>
      <c r="TKE44" s="12"/>
      <c r="TKF44" s="12"/>
      <c r="TKG44" s="12"/>
      <c r="TKH44" s="12"/>
      <c r="TKI44" s="12"/>
      <c r="TKJ44" s="12"/>
      <c r="TKK44" s="12"/>
      <c r="TKL44" s="12"/>
      <c r="TKM44" s="12"/>
      <c r="TKN44" s="12"/>
      <c r="TKO44" s="12"/>
      <c r="TKP44" s="12"/>
      <c r="TKQ44" s="12"/>
      <c r="TKR44" s="12"/>
      <c r="TKS44" s="12"/>
      <c r="TKT44" s="12"/>
      <c r="TKU44" s="12"/>
      <c r="TKV44" s="12"/>
      <c r="TKW44" s="12"/>
      <c r="TKX44" s="12"/>
      <c r="TKY44" s="12"/>
      <c r="TKZ44" s="12"/>
      <c r="TLA44" s="12"/>
      <c r="TLB44" s="12"/>
      <c r="TLC44" s="12"/>
      <c r="TLD44" s="12"/>
      <c r="TLE44" s="12"/>
      <c r="TLF44" s="12"/>
      <c r="TLG44" s="12"/>
      <c r="TLH44" s="12"/>
      <c r="TLI44" s="12"/>
      <c r="TLJ44" s="12"/>
      <c r="TLK44" s="12"/>
      <c r="TLL44" s="12"/>
      <c r="TLM44" s="12"/>
      <c r="TLN44" s="12"/>
      <c r="TLO44" s="12"/>
      <c r="TLP44" s="12"/>
      <c r="TLQ44" s="12"/>
      <c r="TLR44" s="12"/>
      <c r="TLS44" s="12"/>
      <c r="TLT44" s="12"/>
      <c r="TLU44" s="12"/>
      <c r="TLV44" s="12"/>
      <c r="TLW44" s="12"/>
      <c r="TLX44" s="12"/>
      <c r="TLY44" s="12"/>
      <c r="TLZ44" s="12"/>
      <c r="TMA44" s="12"/>
      <c r="TMB44" s="12"/>
      <c r="TMC44" s="12"/>
      <c r="TMD44" s="12"/>
      <c r="TME44" s="12"/>
      <c r="TMF44" s="12"/>
      <c r="TMG44" s="12"/>
      <c r="TMH44" s="12"/>
      <c r="TMI44" s="12"/>
      <c r="TMJ44" s="12"/>
      <c r="TMK44" s="12"/>
      <c r="TML44" s="12"/>
      <c r="TMM44" s="12"/>
      <c r="TMN44" s="12"/>
      <c r="TMO44" s="12"/>
      <c r="TMP44" s="12"/>
      <c r="TMQ44" s="12"/>
      <c r="TMR44" s="12"/>
      <c r="TMS44" s="12"/>
      <c r="TMT44" s="12"/>
      <c r="TMU44" s="12"/>
      <c r="TMV44" s="12"/>
      <c r="TMW44" s="12"/>
      <c r="TMX44" s="12"/>
      <c r="TMY44" s="12"/>
      <c r="TMZ44" s="12"/>
      <c r="TNA44" s="12"/>
      <c r="TNB44" s="12"/>
      <c r="TNC44" s="12"/>
      <c r="TND44" s="12"/>
      <c r="TNE44" s="12"/>
      <c r="TNF44" s="12"/>
      <c r="TNG44" s="12"/>
      <c r="TNH44" s="12"/>
      <c r="TNI44" s="12"/>
      <c r="TNJ44" s="12"/>
      <c r="TNK44" s="12"/>
      <c r="TNL44" s="12"/>
      <c r="TNM44" s="12"/>
      <c r="TNN44" s="12"/>
      <c r="TNO44" s="12"/>
      <c r="TNP44" s="12"/>
      <c r="TNQ44" s="12"/>
      <c r="TNR44" s="12"/>
      <c r="TNS44" s="12"/>
      <c r="TNT44" s="12"/>
      <c r="TNU44" s="12"/>
      <c r="TNV44" s="12"/>
      <c r="TNW44" s="12"/>
      <c r="TNX44" s="12"/>
      <c r="TNY44" s="12"/>
      <c r="TNZ44" s="12"/>
      <c r="TOA44" s="12"/>
      <c r="TOB44" s="12"/>
      <c r="TOC44" s="12"/>
      <c r="TOD44" s="12"/>
      <c r="TOE44" s="12"/>
      <c r="TOF44" s="12"/>
      <c r="TOG44" s="12"/>
      <c r="TOH44" s="12"/>
      <c r="TOI44" s="12"/>
      <c r="TOJ44" s="12"/>
      <c r="TOK44" s="12"/>
      <c r="TOL44" s="12"/>
      <c r="TOM44" s="12"/>
      <c r="TON44" s="12"/>
      <c r="TOO44" s="12"/>
      <c r="TOP44" s="12"/>
      <c r="TOQ44" s="12"/>
      <c r="TOR44" s="12"/>
      <c r="TOS44" s="12"/>
      <c r="TOT44" s="12"/>
      <c r="TOU44" s="12"/>
      <c r="TOV44" s="12"/>
      <c r="TOW44" s="12"/>
      <c r="TOX44" s="12"/>
      <c r="TOY44" s="12"/>
      <c r="TOZ44" s="12"/>
      <c r="TPA44" s="12"/>
      <c r="TPB44" s="12"/>
      <c r="TPC44" s="12"/>
      <c r="TPD44" s="12"/>
      <c r="TPE44" s="12"/>
      <c r="TPF44" s="12"/>
      <c r="TPG44" s="12"/>
      <c r="TPH44" s="12"/>
      <c r="TPI44" s="12"/>
      <c r="TPJ44" s="12"/>
      <c r="TPK44" s="12"/>
      <c r="TPL44" s="12"/>
      <c r="TPM44" s="12"/>
      <c r="TPN44" s="12"/>
      <c r="TPO44" s="12"/>
      <c r="TPP44" s="12"/>
      <c r="TPQ44" s="12"/>
      <c r="TPR44" s="12"/>
      <c r="TPS44" s="12"/>
      <c r="TPT44" s="12"/>
      <c r="TPU44" s="12"/>
      <c r="TPV44" s="12"/>
      <c r="TPW44" s="12"/>
      <c r="TPX44" s="12"/>
      <c r="TPY44" s="12"/>
      <c r="TPZ44" s="12"/>
      <c r="TQA44" s="12"/>
      <c r="TQB44" s="12"/>
      <c r="TQC44" s="12"/>
      <c r="TQD44" s="12"/>
      <c r="TQE44" s="12"/>
      <c r="TQF44" s="12"/>
      <c r="TQG44" s="12"/>
      <c r="TQH44" s="12"/>
      <c r="TQI44" s="12"/>
      <c r="TQJ44" s="12"/>
      <c r="TQK44" s="12"/>
      <c r="TQL44" s="12"/>
      <c r="TQM44" s="12"/>
      <c r="TQN44" s="12"/>
      <c r="TQO44" s="12"/>
      <c r="TQP44" s="12"/>
      <c r="TQQ44" s="12"/>
      <c r="TQR44" s="12"/>
      <c r="TQS44" s="12"/>
      <c r="TQT44" s="12"/>
      <c r="TQU44" s="12"/>
      <c r="TQV44" s="12"/>
      <c r="TQW44" s="12"/>
      <c r="TQX44" s="12"/>
      <c r="TQY44" s="12"/>
      <c r="TQZ44" s="12"/>
      <c r="TRA44" s="12"/>
      <c r="TRB44" s="12"/>
      <c r="TRC44" s="12"/>
      <c r="TRD44" s="12"/>
      <c r="TRE44" s="12"/>
      <c r="TRF44" s="12"/>
      <c r="TRG44" s="12"/>
      <c r="TRH44" s="12"/>
      <c r="TRI44" s="12"/>
      <c r="TRJ44" s="12"/>
      <c r="TRK44" s="12"/>
      <c r="TRL44" s="12"/>
      <c r="TRM44" s="12"/>
      <c r="TRN44" s="12"/>
      <c r="TRO44" s="12"/>
      <c r="TRP44" s="12"/>
      <c r="TRQ44" s="12"/>
      <c r="TRR44" s="12"/>
      <c r="TRS44" s="12"/>
      <c r="TRT44" s="12"/>
      <c r="TRU44" s="12"/>
      <c r="TRV44" s="12"/>
      <c r="TRW44" s="12"/>
      <c r="TRX44" s="12"/>
      <c r="TRY44" s="12"/>
      <c r="TRZ44" s="12"/>
      <c r="TSA44" s="12"/>
      <c r="TSB44" s="12"/>
      <c r="TSC44" s="12"/>
      <c r="TSD44" s="12"/>
      <c r="TSE44" s="12"/>
      <c r="TSF44" s="12"/>
      <c r="TSG44" s="12"/>
      <c r="TSH44" s="12"/>
      <c r="TSI44" s="12"/>
      <c r="TSJ44" s="12"/>
      <c r="TSK44" s="12"/>
      <c r="TSL44" s="12"/>
      <c r="TSM44" s="12"/>
      <c r="TSN44" s="12"/>
      <c r="TSO44" s="12"/>
      <c r="TSP44" s="12"/>
      <c r="TSQ44" s="12"/>
      <c r="TSR44" s="12"/>
      <c r="TSS44" s="12"/>
      <c r="TST44" s="12"/>
      <c r="TSU44" s="12"/>
      <c r="TSV44" s="12"/>
      <c r="TSW44" s="12"/>
      <c r="TSX44" s="12"/>
      <c r="TSY44" s="12"/>
      <c r="TSZ44" s="12"/>
      <c r="TTA44" s="12"/>
      <c r="TTB44" s="12"/>
      <c r="TTC44" s="12"/>
      <c r="TTD44" s="12"/>
      <c r="TTE44" s="12"/>
      <c r="TTF44" s="12"/>
      <c r="TTG44" s="12"/>
      <c r="TTH44" s="12"/>
      <c r="TTI44" s="12"/>
      <c r="TTJ44" s="12"/>
      <c r="TTK44" s="12"/>
      <c r="TTL44" s="12"/>
      <c r="TTM44" s="12"/>
      <c r="TTN44" s="12"/>
      <c r="TTO44" s="12"/>
      <c r="TTP44" s="12"/>
      <c r="TTQ44" s="12"/>
      <c r="TTR44" s="12"/>
      <c r="TTS44" s="12"/>
      <c r="TTT44" s="12"/>
      <c r="TTU44" s="12"/>
      <c r="TTV44" s="12"/>
      <c r="TTW44" s="12"/>
      <c r="TTX44" s="12"/>
      <c r="TTY44" s="12"/>
      <c r="TTZ44" s="12"/>
      <c r="TUA44" s="12"/>
      <c r="TUB44" s="12"/>
      <c r="TUC44" s="12"/>
      <c r="TUD44" s="12"/>
      <c r="TUE44" s="12"/>
      <c r="TUF44" s="12"/>
      <c r="TUG44" s="12"/>
      <c r="TUH44" s="12"/>
      <c r="TUI44" s="12"/>
      <c r="TUJ44" s="12"/>
      <c r="TUK44" s="12"/>
      <c r="TUL44" s="12"/>
      <c r="TUM44" s="12"/>
      <c r="TUN44" s="12"/>
      <c r="TUO44" s="12"/>
      <c r="TUP44" s="12"/>
      <c r="TUQ44" s="12"/>
      <c r="TUR44" s="12"/>
      <c r="TUS44" s="12"/>
      <c r="TUT44" s="12"/>
      <c r="TUU44" s="12"/>
      <c r="TUV44" s="12"/>
      <c r="TUW44" s="12"/>
      <c r="TUX44" s="12"/>
      <c r="TUY44" s="12"/>
      <c r="TUZ44" s="12"/>
      <c r="TVA44" s="12"/>
      <c r="TVB44" s="12"/>
      <c r="TVC44" s="12"/>
      <c r="TVD44" s="12"/>
      <c r="TVE44" s="12"/>
      <c r="TVF44" s="12"/>
      <c r="TVG44" s="12"/>
      <c r="TVH44" s="12"/>
      <c r="TVI44" s="12"/>
      <c r="TVJ44" s="12"/>
      <c r="TVK44" s="12"/>
      <c r="TVL44" s="12"/>
      <c r="TVM44" s="12"/>
      <c r="TVN44" s="12"/>
      <c r="TVO44" s="12"/>
      <c r="TVP44" s="12"/>
      <c r="TVQ44" s="12"/>
      <c r="TVR44" s="12"/>
      <c r="TVS44" s="12"/>
      <c r="TVT44" s="12"/>
      <c r="TVU44" s="12"/>
      <c r="TVV44" s="12"/>
      <c r="TVW44" s="12"/>
      <c r="TVX44" s="12"/>
      <c r="TVY44" s="12"/>
      <c r="TVZ44" s="12"/>
      <c r="TWA44" s="12"/>
      <c r="TWB44" s="12"/>
      <c r="TWC44" s="12"/>
      <c r="TWD44" s="12"/>
      <c r="TWE44" s="12"/>
      <c r="TWF44" s="12"/>
      <c r="TWG44" s="12"/>
      <c r="TWH44" s="12"/>
      <c r="TWI44" s="12"/>
      <c r="TWJ44" s="12"/>
      <c r="TWK44" s="12"/>
      <c r="TWL44" s="12"/>
      <c r="TWM44" s="12"/>
      <c r="TWN44" s="12"/>
      <c r="TWO44" s="12"/>
      <c r="TWP44" s="12"/>
      <c r="TWQ44" s="12"/>
      <c r="TWR44" s="12"/>
      <c r="TWS44" s="12"/>
      <c r="TWT44" s="12"/>
      <c r="TWU44" s="12"/>
      <c r="TWV44" s="12"/>
      <c r="TWW44" s="12"/>
      <c r="TWX44" s="12"/>
      <c r="TWY44" s="12"/>
      <c r="TWZ44" s="12"/>
      <c r="TXA44" s="12"/>
      <c r="TXB44" s="12"/>
      <c r="TXC44" s="12"/>
      <c r="TXD44" s="12"/>
      <c r="TXE44" s="12"/>
      <c r="TXF44" s="12"/>
      <c r="TXG44" s="12"/>
      <c r="TXH44" s="12"/>
      <c r="TXI44" s="12"/>
      <c r="TXJ44" s="12"/>
      <c r="TXK44" s="12"/>
      <c r="TXL44" s="12"/>
      <c r="TXM44" s="12"/>
      <c r="TXN44" s="12"/>
      <c r="TXO44" s="12"/>
      <c r="TXP44" s="12"/>
      <c r="TXQ44" s="12"/>
      <c r="TXR44" s="12"/>
      <c r="TXS44" s="12"/>
      <c r="TXT44" s="12"/>
      <c r="TXU44" s="12"/>
      <c r="TXV44" s="12"/>
      <c r="TXW44" s="12"/>
      <c r="TXX44" s="12"/>
      <c r="TXY44" s="12"/>
      <c r="TXZ44" s="12"/>
      <c r="TYA44" s="12"/>
      <c r="TYB44" s="12"/>
      <c r="TYC44" s="12"/>
      <c r="TYD44" s="12"/>
      <c r="TYE44" s="12"/>
      <c r="TYF44" s="12"/>
      <c r="TYG44" s="12"/>
      <c r="TYH44" s="12"/>
      <c r="TYI44" s="12"/>
      <c r="TYJ44" s="12"/>
      <c r="TYK44" s="12"/>
      <c r="TYL44" s="12"/>
      <c r="TYM44" s="12"/>
      <c r="TYN44" s="12"/>
      <c r="TYO44" s="12"/>
      <c r="TYP44" s="12"/>
      <c r="TYQ44" s="12"/>
      <c r="TYR44" s="12"/>
      <c r="TYS44" s="12"/>
      <c r="TYT44" s="12"/>
      <c r="TYU44" s="12"/>
      <c r="TYV44" s="12"/>
      <c r="TYW44" s="12"/>
      <c r="TYX44" s="12"/>
      <c r="TYY44" s="12"/>
      <c r="TYZ44" s="12"/>
      <c r="TZA44" s="12"/>
      <c r="TZB44" s="12"/>
      <c r="TZC44" s="12"/>
      <c r="TZD44" s="12"/>
      <c r="TZE44" s="12"/>
      <c r="TZF44" s="12"/>
      <c r="TZG44" s="12"/>
      <c r="TZH44" s="12"/>
      <c r="TZI44" s="12"/>
      <c r="TZJ44" s="12"/>
      <c r="TZK44" s="12"/>
      <c r="TZL44" s="12"/>
      <c r="TZM44" s="12"/>
      <c r="TZN44" s="12"/>
      <c r="TZO44" s="12"/>
      <c r="TZP44" s="12"/>
      <c r="TZQ44" s="12"/>
      <c r="TZR44" s="12"/>
      <c r="TZS44" s="12"/>
      <c r="TZT44" s="12"/>
      <c r="TZU44" s="12"/>
      <c r="TZV44" s="12"/>
      <c r="TZW44" s="12"/>
      <c r="TZX44" s="12"/>
      <c r="TZY44" s="12"/>
      <c r="TZZ44" s="12"/>
      <c r="UAA44" s="12"/>
      <c r="UAB44" s="12"/>
      <c r="UAC44" s="12"/>
      <c r="UAD44" s="12"/>
      <c r="UAE44" s="12"/>
      <c r="UAF44" s="12"/>
      <c r="UAG44" s="12"/>
      <c r="UAH44" s="12"/>
      <c r="UAI44" s="12"/>
      <c r="UAJ44" s="12"/>
      <c r="UAK44" s="12"/>
      <c r="UAL44" s="12"/>
      <c r="UAM44" s="12"/>
      <c r="UAN44" s="12"/>
      <c r="UAO44" s="12"/>
      <c r="UAP44" s="12"/>
      <c r="UAQ44" s="12"/>
      <c r="UAR44" s="12"/>
      <c r="UAS44" s="12"/>
      <c r="UAT44" s="12"/>
      <c r="UAU44" s="12"/>
      <c r="UAV44" s="12"/>
      <c r="UAW44" s="12"/>
      <c r="UAX44" s="12"/>
      <c r="UAY44" s="12"/>
      <c r="UAZ44" s="12"/>
      <c r="UBA44" s="12"/>
      <c r="UBB44" s="12"/>
      <c r="UBC44" s="12"/>
      <c r="UBD44" s="12"/>
      <c r="UBE44" s="12"/>
      <c r="UBF44" s="12"/>
      <c r="UBG44" s="12"/>
      <c r="UBH44" s="12"/>
      <c r="UBI44" s="12"/>
      <c r="UBJ44" s="12"/>
      <c r="UBK44" s="12"/>
      <c r="UBL44" s="12"/>
      <c r="UBM44" s="12"/>
      <c r="UBN44" s="12"/>
      <c r="UBO44" s="12"/>
      <c r="UBP44" s="12"/>
      <c r="UBQ44" s="12"/>
      <c r="UBR44" s="12"/>
      <c r="UBS44" s="12"/>
      <c r="UBT44" s="12"/>
      <c r="UBU44" s="12"/>
      <c r="UBV44" s="12"/>
      <c r="UBW44" s="12"/>
      <c r="UBX44" s="12"/>
      <c r="UBY44" s="12"/>
      <c r="UBZ44" s="12"/>
      <c r="UCA44" s="12"/>
      <c r="UCB44" s="12"/>
      <c r="UCC44" s="12"/>
      <c r="UCD44" s="12"/>
      <c r="UCE44" s="12"/>
      <c r="UCF44" s="12"/>
      <c r="UCG44" s="12"/>
      <c r="UCH44" s="12"/>
      <c r="UCI44" s="12"/>
      <c r="UCJ44" s="12"/>
      <c r="UCK44" s="12"/>
      <c r="UCL44" s="12"/>
      <c r="UCM44" s="12"/>
      <c r="UCN44" s="12"/>
      <c r="UCO44" s="12"/>
      <c r="UCP44" s="12"/>
      <c r="UCQ44" s="12"/>
      <c r="UCR44" s="12"/>
      <c r="UCS44" s="12"/>
      <c r="UCT44" s="12"/>
      <c r="UCU44" s="12"/>
      <c r="UCV44" s="12"/>
      <c r="UCW44" s="12"/>
      <c r="UCX44" s="12"/>
      <c r="UCY44" s="12"/>
      <c r="UCZ44" s="12"/>
      <c r="UDA44" s="12"/>
      <c r="UDB44" s="12"/>
      <c r="UDC44" s="12"/>
      <c r="UDD44" s="12"/>
      <c r="UDE44" s="12"/>
      <c r="UDF44" s="12"/>
      <c r="UDG44" s="12"/>
      <c r="UDH44" s="12"/>
      <c r="UDI44" s="12"/>
      <c r="UDJ44" s="12"/>
      <c r="UDK44" s="12"/>
      <c r="UDL44" s="12"/>
      <c r="UDM44" s="12"/>
      <c r="UDN44" s="12"/>
      <c r="UDO44" s="12"/>
      <c r="UDP44" s="12"/>
      <c r="UDQ44" s="12"/>
      <c r="UDR44" s="12"/>
      <c r="UDS44" s="12"/>
      <c r="UDT44" s="12"/>
      <c r="UDU44" s="12"/>
      <c r="UDV44" s="12"/>
      <c r="UDW44" s="12"/>
      <c r="UDX44" s="12"/>
      <c r="UDY44" s="12"/>
      <c r="UDZ44" s="12"/>
      <c r="UEA44" s="12"/>
      <c r="UEB44" s="12"/>
      <c r="UEC44" s="12"/>
      <c r="UED44" s="12"/>
      <c r="UEE44" s="12"/>
      <c r="UEF44" s="12"/>
      <c r="UEG44" s="12"/>
      <c r="UEH44" s="12"/>
      <c r="UEI44" s="12"/>
      <c r="UEJ44" s="12"/>
      <c r="UEK44" s="12"/>
      <c r="UEL44" s="12"/>
      <c r="UEM44" s="12"/>
      <c r="UEN44" s="12"/>
      <c r="UEO44" s="12"/>
      <c r="UEP44" s="12"/>
      <c r="UEQ44" s="12"/>
      <c r="UER44" s="12"/>
      <c r="UES44" s="12"/>
      <c r="UET44" s="12"/>
      <c r="UEU44" s="12"/>
      <c r="UEV44" s="12"/>
      <c r="UEW44" s="12"/>
      <c r="UEX44" s="12"/>
      <c r="UEY44" s="12"/>
      <c r="UEZ44" s="12"/>
      <c r="UFA44" s="12"/>
      <c r="UFB44" s="12"/>
      <c r="UFC44" s="12"/>
      <c r="UFD44" s="12"/>
      <c r="UFE44" s="12"/>
      <c r="UFF44" s="12"/>
      <c r="UFG44" s="12"/>
      <c r="UFH44" s="12"/>
      <c r="UFI44" s="12"/>
      <c r="UFJ44" s="12"/>
      <c r="UFK44" s="12"/>
      <c r="UFL44" s="12"/>
      <c r="UFM44" s="12"/>
      <c r="UFN44" s="12"/>
      <c r="UFO44" s="12"/>
      <c r="UFP44" s="12"/>
      <c r="UFQ44" s="12"/>
      <c r="UFR44" s="12"/>
      <c r="UFS44" s="12"/>
      <c r="UFT44" s="12"/>
      <c r="UFU44" s="12"/>
      <c r="UFV44" s="12"/>
      <c r="UFW44" s="12"/>
      <c r="UFX44" s="12"/>
      <c r="UFY44" s="12"/>
      <c r="UFZ44" s="12"/>
      <c r="UGA44" s="12"/>
      <c r="UGB44" s="12"/>
      <c r="UGC44" s="12"/>
      <c r="UGD44" s="12"/>
      <c r="UGE44" s="12"/>
      <c r="UGF44" s="12"/>
      <c r="UGG44" s="12"/>
      <c r="UGH44" s="12"/>
      <c r="UGI44" s="12"/>
      <c r="UGJ44" s="12"/>
      <c r="UGK44" s="12"/>
      <c r="UGL44" s="12"/>
      <c r="UGM44" s="12"/>
      <c r="UGN44" s="12"/>
      <c r="UGO44" s="12"/>
      <c r="UGP44" s="12"/>
      <c r="UGQ44" s="12"/>
      <c r="UGR44" s="12"/>
      <c r="UGS44" s="12"/>
      <c r="UGT44" s="12"/>
      <c r="UGU44" s="12"/>
      <c r="UGV44" s="12"/>
      <c r="UGW44" s="12"/>
      <c r="UGX44" s="12"/>
      <c r="UGY44" s="12"/>
      <c r="UGZ44" s="12"/>
      <c r="UHA44" s="12"/>
      <c r="UHB44" s="12"/>
      <c r="UHC44" s="12"/>
      <c r="UHD44" s="12"/>
      <c r="UHE44" s="12"/>
      <c r="UHF44" s="12"/>
      <c r="UHG44" s="12"/>
      <c r="UHH44" s="12"/>
      <c r="UHI44" s="12"/>
      <c r="UHJ44" s="12"/>
      <c r="UHK44" s="12"/>
      <c r="UHL44" s="12"/>
      <c r="UHM44" s="12"/>
      <c r="UHN44" s="12"/>
      <c r="UHO44" s="12"/>
      <c r="UHP44" s="12"/>
      <c r="UHQ44" s="12"/>
      <c r="UHR44" s="12"/>
      <c r="UHS44" s="12"/>
      <c r="UHT44" s="12"/>
      <c r="UHU44" s="12"/>
      <c r="UHV44" s="12"/>
      <c r="UHW44" s="12"/>
      <c r="UHX44" s="12"/>
      <c r="UHY44" s="12"/>
      <c r="UHZ44" s="12"/>
      <c r="UIA44" s="12"/>
      <c r="UIB44" s="12"/>
      <c r="UIC44" s="12"/>
      <c r="UID44" s="12"/>
      <c r="UIE44" s="12"/>
      <c r="UIF44" s="12"/>
      <c r="UIG44" s="12"/>
      <c r="UIH44" s="12"/>
      <c r="UII44" s="12"/>
      <c r="UIJ44" s="12"/>
      <c r="UIK44" s="12"/>
      <c r="UIL44" s="12"/>
      <c r="UIM44" s="12"/>
      <c r="UIN44" s="12"/>
      <c r="UIO44" s="12"/>
      <c r="UIP44" s="12"/>
      <c r="UIQ44" s="12"/>
      <c r="UIR44" s="12"/>
      <c r="UIS44" s="12"/>
      <c r="UIT44" s="12"/>
      <c r="UIU44" s="12"/>
      <c r="UIV44" s="12"/>
      <c r="UIW44" s="12"/>
      <c r="UIX44" s="12"/>
      <c r="UIY44" s="12"/>
      <c r="UIZ44" s="12"/>
      <c r="UJA44" s="12"/>
      <c r="UJB44" s="12"/>
      <c r="UJC44" s="12"/>
      <c r="UJD44" s="12"/>
      <c r="UJE44" s="12"/>
      <c r="UJF44" s="12"/>
      <c r="UJG44" s="12"/>
      <c r="UJH44" s="12"/>
      <c r="UJI44" s="12"/>
      <c r="UJJ44" s="12"/>
      <c r="UJK44" s="12"/>
      <c r="UJL44" s="12"/>
      <c r="UJM44" s="12"/>
      <c r="UJN44" s="12"/>
      <c r="UJO44" s="12"/>
      <c r="UJP44" s="12"/>
      <c r="UJQ44" s="12"/>
      <c r="UJR44" s="12"/>
      <c r="UJS44" s="12"/>
      <c r="UJT44" s="12"/>
      <c r="UJU44" s="12"/>
      <c r="UJV44" s="12"/>
      <c r="UJW44" s="12"/>
      <c r="UJX44" s="12"/>
      <c r="UJY44" s="12"/>
      <c r="UJZ44" s="12"/>
      <c r="UKA44" s="12"/>
      <c r="UKB44" s="12"/>
      <c r="UKC44" s="12"/>
      <c r="UKD44" s="12"/>
      <c r="UKE44" s="12"/>
      <c r="UKF44" s="12"/>
      <c r="UKG44" s="12"/>
      <c r="UKH44" s="12"/>
      <c r="UKI44" s="12"/>
      <c r="UKJ44" s="12"/>
      <c r="UKK44" s="12"/>
      <c r="UKL44" s="12"/>
      <c r="UKM44" s="12"/>
      <c r="UKN44" s="12"/>
      <c r="UKO44" s="12"/>
      <c r="UKP44" s="12"/>
      <c r="UKQ44" s="12"/>
      <c r="UKR44" s="12"/>
      <c r="UKS44" s="12"/>
      <c r="UKT44" s="12"/>
      <c r="UKU44" s="12"/>
      <c r="UKV44" s="12"/>
      <c r="UKW44" s="12"/>
      <c r="UKX44" s="12"/>
      <c r="UKY44" s="12"/>
      <c r="UKZ44" s="12"/>
      <c r="ULA44" s="12"/>
      <c r="ULB44" s="12"/>
      <c r="ULC44" s="12"/>
      <c r="ULD44" s="12"/>
      <c r="ULE44" s="12"/>
      <c r="ULF44" s="12"/>
      <c r="ULG44" s="12"/>
      <c r="ULH44" s="12"/>
      <c r="ULI44" s="12"/>
      <c r="ULJ44" s="12"/>
      <c r="ULK44" s="12"/>
      <c r="ULL44" s="12"/>
      <c r="ULM44" s="12"/>
      <c r="ULN44" s="12"/>
      <c r="ULO44" s="12"/>
      <c r="ULP44" s="12"/>
      <c r="ULQ44" s="12"/>
      <c r="ULR44" s="12"/>
      <c r="ULS44" s="12"/>
      <c r="ULT44" s="12"/>
      <c r="ULU44" s="12"/>
      <c r="ULV44" s="12"/>
      <c r="ULW44" s="12"/>
      <c r="ULX44" s="12"/>
      <c r="ULY44" s="12"/>
      <c r="ULZ44" s="12"/>
      <c r="UMA44" s="12"/>
      <c r="UMB44" s="12"/>
      <c r="UMC44" s="12"/>
      <c r="UMD44" s="12"/>
      <c r="UME44" s="12"/>
      <c r="UMF44" s="12"/>
      <c r="UMG44" s="12"/>
      <c r="UMH44" s="12"/>
      <c r="UMI44" s="12"/>
      <c r="UMJ44" s="12"/>
      <c r="UMK44" s="12"/>
      <c r="UML44" s="12"/>
      <c r="UMM44" s="12"/>
      <c r="UMN44" s="12"/>
      <c r="UMO44" s="12"/>
      <c r="UMP44" s="12"/>
      <c r="UMQ44" s="12"/>
      <c r="UMR44" s="12"/>
      <c r="UMS44" s="12"/>
      <c r="UMT44" s="12"/>
      <c r="UMU44" s="12"/>
      <c r="UMV44" s="12"/>
      <c r="UMW44" s="12"/>
      <c r="UMX44" s="12"/>
      <c r="UMY44" s="12"/>
      <c r="UMZ44" s="12"/>
      <c r="UNA44" s="12"/>
      <c r="UNB44" s="12"/>
      <c r="UNC44" s="12"/>
      <c r="UND44" s="12"/>
      <c r="UNE44" s="12"/>
      <c r="UNF44" s="12"/>
      <c r="UNG44" s="12"/>
      <c r="UNH44" s="12"/>
      <c r="UNI44" s="12"/>
      <c r="UNJ44" s="12"/>
      <c r="UNK44" s="12"/>
      <c r="UNL44" s="12"/>
      <c r="UNM44" s="12"/>
      <c r="UNN44" s="12"/>
      <c r="UNO44" s="12"/>
      <c r="UNP44" s="12"/>
      <c r="UNQ44" s="12"/>
      <c r="UNR44" s="12"/>
      <c r="UNS44" s="12"/>
      <c r="UNT44" s="12"/>
      <c r="UNU44" s="12"/>
      <c r="UNV44" s="12"/>
      <c r="UNW44" s="12"/>
      <c r="UNX44" s="12"/>
      <c r="UNY44" s="12"/>
      <c r="UNZ44" s="12"/>
      <c r="UOA44" s="12"/>
      <c r="UOB44" s="12"/>
      <c r="UOC44" s="12"/>
      <c r="UOD44" s="12"/>
      <c r="UOE44" s="12"/>
      <c r="UOF44" s="12"/>
      <c r="UOG44" s="12"/>
      <c r="UOH44" s="12"/>
      <c r="UOI44" s="12"/>
      <c r="UOJ44" s="12"/>
      <c r="UOK44" s="12"/>
      <c r="UOL44" s="12"/>
      <c r="UOM44" s="12"/>
      <c r="UON44" s="12"/>
      <c r="UOO44" s="12"/>
      <c r="UOP44" s="12"/>
      <c r="UOQ44" s="12"/>
      <c r="UOR44" s="12"/>
      <c r="UOS44" s="12"/>
      <c r="UOT44" s="12"/>
      <c r="UOU44" s="12"/>
      <c r="UOV44" s="12"/>
      <c r="UOW44" s="12"/>
      <c r="UOX44" s="12"/>
      <c r="UOY44" s="12"/>
      <c r="UOZ44" s="12"/>
      <c r="UPA44" s="12"/>
      <c r="UPB44" s="12"/>
      <c r="UPC44" s="12"/>
      <c r="UPD44" s="12"/>
      <c r="UPE44" s="12"/>
      <c r="UPF44" s="12"/>
      <c r="UPG44" s="12"/>
      <c r="UPH44" s="12"/>
      <c r="UPI44" s="12"/>
      <c r="UPJ44" s="12"/>
      <c r="UPK44" s="12"/>
      <c r="UPL44" s="12"/>
      <c r="UPM44" s="12"/>
      <c r="UPN44" s="12"/>
      <c r="UPO44" s="12"/>
      <c r="UPP44" s="12"/>
      <c r="UPQ44" s="12"/>
      <c r="UPR44" s="12"/>
      <c r="UPS44" s="12"/>
      <c r="UPT44" s="12"/>
      <c r="UPU44" s="12"/>
      <c r="UPV44" s="12"/>
      <c r="UPW44" s="12"/>
      <c r="UPX44" s="12"/>
      <c r="UPY44" s="12"/>
      <c r="UPZ44" s="12"/>
      <c r="UQA44" s="12"/>
      <c r="UQB44" s="12"/>
      <c r="UQC44" s="12"/>
      <c r="UQD44" s="12"/>
      <c r="UQE44" s="12"/>
      <c r="UQF44" s="12"/>
      <c r="UQG44" s="12"/>
      <c r="UQH44" s="12"/>
      <c r="UQI44" s="12"/>
      <c r="UQJ44" s="12"/>
      <c r="UQK44" s="12"/>
      <c r="UQL44" s="12"/>
      <c r="UQM44" s="12"/>
      <c r="UQN44" s="12"/>
      <c r="UQO44" s="12"/>
      <c r="UQP44" s="12"/>
      <c r="UQQ44" s="12"/>
      <c r="UQR44" s="12"/>
      <c r="UQS44" s="12"/>
      <c r="UQT44" s="12"/>
      <c r="UQU44" s="12"/>
      <c r="UQV44" s="12"/>
      <c r="UQW44" s="12"/>
      <c r="UQX44" s="12"/>
      <c r="UQY44" s="12"/>
      <c r="UQZ44" s="12"/>
      <c r="URA44" s="12"/>
      <c r="URB44" s="12"/>
      <c r="URC44" s="12"/>
      <c r="URD44" s="12"/>
      <c r="URE44" s="12"/>
      <c r="URF44" s="12"/>
      <c r="URG44" s="12"/>
      <c r="URH44" s="12"/>
      <c r="URI44" s="12"/>
      <c r="URJ44" s="12"/>
      <c r="URK44" s="12"/>
      <c r="URL44" s="12"/>
      <c r="URM44" s="12"/>
      <c r="URN44" s="12"/>
      <c r="URO44" s="12"/>
      <c r="URP44" s="12"/>
      <c r="URQ44" s="12"/>
      <c r="URR44" s="12"/>
      <c r="URS44" s="12"/>
      <c r="URT44" s="12"/>
      <c r="URU44" s="12"/>
      <c r="URV44" s="12"/>
      <c r="URW44" s="12"/>
      <c r="URX44" s="12"/>
      <c r="URY44" s="12"/>
      <c r="URZ44" s="12"/>
      <c r="USA44" s="12"/>
      <c r="USB44" s="12"/>
      <c r="USC44" s="12"/>
      <c r="USD44" s="12"/>
      <c r="USE44" s="12"/>
      <c r="USF44" s="12"/>
      <c r="USG44" s="12"/>
      <c r="USH44" s="12"/>
      <c r="USI44" s="12"/>
      <c r="USJ44" s="12"/>
      <c r="USK44" s="12"/>
      <c r="USL44" s="12"/>
      <c r="USM44" s="12"/>
      <c r="USN44" s="12"/>
      <c r="USO44" s="12"/>
      <c r="USP44" s="12"/>
      <c r="USQ44" s="12"/>
      <c r="USR44" s="12"/>
      <c r="USS44" s="12"/>
      <c r="UST44" s="12"/>
      <c r="USU44" s="12"/>
      <c r="USV44" s="12"/>
      <c r="USW44" s="12"/>
      <c r="USX44" s="12"/>
      <c r="USY44" s="12"/>
      <c r="USZ44" s="12"/>
      <c r="UTA44" s="12"/>
      <c r="UTB44" s="12"/>
      <c r="UTC44" s="12"/>
      <c r="UTD44" s="12"/>
      <c r="UTE44" s="12"/>
      <c r="UTF44" s="12"/>
      <c r="UTG44" s="12"/>
      <c r="UTH44" s="12"/>
      <c r="UTI44" s="12"/>
      <c r="UTJ44" s="12"/>
      <c r="UTK44" s="12"/>
      <c r="UTL44" s="12"/>
      <c r="UTM44" s="12"/>
      <c r="UTN44" s="12"/>
      <c r="UTO44" s="12"/>
      <c r="UTP44" s="12"/>
      <c r="UTQ44" s="12"/>
      <c r="UTR44" s="12"/>
      <c r="UTS44" s="12"/>
      <c r="UTT44" s="12"/>
      <c r="UTU44" s="12"/>
      <c r="UTV44" s="12"/>
      <c r="UTW44" s="12"/>
      <c r="UTX44" s="12"/>
      <c r="UTY44" s="12"/>
      <c r="UTZ44" s="12"/>
      <c r="UUA44" s="12"/>
      <c r="UUB44" s="12"/>
      <c r="UUC44" s="12"/>
      <c r="UUD44" s="12"/>
      <c r="UUE44" s="12"/>
      <c r="UUF44" s="12"/>
      <c r="UUG44" s="12"/>
      <c r="UUH44" s="12"/>
      <c r="UUI44" s="12"/>
      <c r="UUJ44" s="12"/>
      <c r="UUK44" s="12"/>
      <c r="UUL44" s="12"/>
      <c r="UUM44" s="12"/>
      <c r="UUN44" s="12"/>
      <c r="UUO44" s="12"/>
      <c r="UUP44" s="12"/>
      <c r="UUQ44" s="12"/>
      <c r="UUR44" s="12"/>
      <c r="UUS44" s="12"/>
      <c r="UUT44" s="12"/>
      <c r="UUU44" s="12"/>
      <c r="UUV44" s="12"/>
      <c r="UUW44" s="12"/>
      <c r="UUX44" s="12"/>
      <c r="UUY44" s="12"/>
      <c r="UUZ44" s="12"/>
      <c r="UVA44" s="12"/>
      <c r="UVB44" s="12"/>
      <c r="UVC44" s="12"/>
      <c r="UVD44" s="12"/>
      <c r="UVE44" s="12"/>
      <c r="UVF44" s="12"/>
      <c r="UVG44" s="12"/>
      <c r="UVH44" s="12"/>
      <c r="UVI44" s="12"/>
      <c r="UVJ44" s="12"/>
      <c r="UVK44" s="12"/>
      <c r="UVL44" s="12"/>
      <c r="UVM44" s="12"/>
      <c r="UVN44" s="12"/>
      <c r="UVO44" s="12"/>
      <c r="UVP44" s="12"/>
      <c r="UVQ44" s="12"/>
      <c r="UVR44" s="12"/>
      <c r="UVS44" s="12"/>
      <c r="UVT44" s="12"/>
      <c r="UVU44" s="12"/>
      <c r="UVV44" s="12"/>
      <c r="UVW44" s="12"/>
      <c r="UVX44" s="12"/>
      <c r="UVY44" s="12"/>
      <c r="UVZ44" s="12"/>
      <c r="UWA44" s="12"/>
      <c r="UWB44" s="12"/>
      <c r="UWC44" s="12"/>
      <c r="UWD44" s="12"/>
      <c r="UWE44" s="12"/>
      <c r="UWF44" s="12"/>
      <c r="UWG44" s="12"/>
      <c r="UWH44" s="12"/>
      <c r="UWI44" s="12"/>
      <c r="UWJ44" s="12"/>
      <c r="UWK44" s="12"/>
      <c r="UWL44" s="12"/>
      <c r="UWM44" s="12"/>
      <c r="UWN44" s="12"/>
      <c r="UWO44" s="12"/>
      <c r="UWP44" s="12"/>
      <c r="UWQ44" s="12"/>
      <c r="UWR44" s="12"/>
      <c r="UWS44" s="12"/>
      <c r="UWT44" s="12"/>
      <c r="UWU44" s="12"/>
      <c r="UWV44" s="12"/>
      <c r="UWW44" s="12"/>
      <c r="UWX44" s="12"/>
      <c r="UWY44" s="12"/>
      <c r="UWZ44" s="12"/>
      <c r="UXA44" s="12"/>
      <c r="UXB44" s="12"/>
      <c r="UXC44" s="12"/>
      <c r="UXD44" s="12"/>
      <c r="UXE44" s="12"/>
      <c r="UXF44" s="12"/>
      <c r="UXG44" s="12"/>
      <c r="UXH44" s="12"/>
      <c r="UXI44" s="12"/>
      <c r="UXJ44" s="12"/>
      <c r="UXK44" s="12"/>
      <c r="UXL44" s="12"/>
      <c r="UXM44" s="12"/>
      <c r="UXN44" s="12"/>
      <c r="UXO44" s="12"/>
      <c r="UXP44" s="12"/>
      <c r="UXQ44" s="12"/>
      <c r="UXR44" s="12"/>
      <c r="UXS44" s="12"/>
      <c r="UXT44" s="12"/>
      <c r="UXU44" s="12"/>
      <c r="UXV44" s="12"/>
      <c r="UXW44" s="12"/>
      <c r="UXX44" s="12"/>
      <c r="UXY44" s="12"/>
      <c r="UXZ44" s="12"/>
      <c r="UYA44" s="12"/>
      <c r="UYB44" s="12"/>
      <c r="UYC44" s="12"/>
      <c r="UYD44" s="12"/>
      <c r="UYE44" s="12"/>
      <c r="UYF44" s="12"/>
      <c r="UYG44" s="12"/>
      <c r="UYH44" s="12"/>
      <c r="UYI44" s="12"/>
      <c r="UYJ44" s="12"/>
      <c r="UYK44" s="12"/>
      <c r="UYL44" s="12"/>
      <c r="UYM44" s="12"/>
      <c r="UYN44" s="12"/>
      <c r="UYO44" s="12"/>
      <c r="UYP44" s="12"/>
      <c r="UYQ44" s="12"/>
      <c r="UYR44" s="12"/>
      <c r="UYS44" s="12"/>
      <c r="UYT44" s="12"/>
      <c r="UYU44" s="12"/>
      <c r="UYV44" s="12"/>
      <c r="UYW44" s="12"/>
      <c r="UYX44" s="12"/>
      <c r="UYY44" s="12"/>
      <c r="UYZ44" s="12"/>
      <c r="UZA44" s="12"/>
      <c r="UZB44" s="12"/>
      <c r="UZC44" s="12"/>
      <c r="UZD44" s="12"/>
      <c r="UZE44" s="12"/>
      <c r="UZF44" s="12"/>
      <c r="UZG44" s="12"/>
      <c r="UZH44" s="12"/>
      <c r="UZI44" s="12"/>
      <c r="UZJ44" s="12"/>
      <c r="UZK44" s="12"/>
      <c r="UZL44" s="12"/>
      <c r="UZM44" s="12"/>
      <c r="UZN44" s="12"/>
      <c r="UZO44" s="12"/>
      <c r="UZP44" s="12"/>
      <c r="UZQ44" s="12"/>
      <c r="UZR44" s="12"/>
      <c r="UZS44" s="12"/>
      <c r="UZT44" s="12"/>
      <c r="UZU44" s="12"/>
      <c r="UZV44" s="12"/>
      <c r="UZW44" s="12"/>
      <c r="UZX44" s="12"/>
      <c r="UZY44" s="12"/>
      <c r="UZZ44" s="12"/>
      <c r="VAA44" s="12"/>
      <c r="VAB44" s="12"/>
      <c r="VAC44" s="12"/>
      <c r="VAD44" s="12"/>
      <c r="VAE44" s="12"/>
      <c r="VAF44" s="12"/>
      <c r="VAG44" s="12"/>
      <c r="VAH44" s="12"/>
      <c r="VAI44" s="12"/>
      <c r="VAJ44" s="12"/>
      <c r="VAK44" s="12"/>
      <c r="VAL44" s="12"/>
      <c r="VAM44" s="12"/>
      <c r="VAN44" s="12"/>
      <c r="VAO44" s="12"/>
      <c r="VAP44" s="12"/>
      <c r="VAQ44" s="12"/>
      <c r="VAR44" s="12"/>
      <c r="VAS44" s="12"/>
      <c r="VAT44" s="12"/>
      <c r="VAU44" s="12"/>
      <c r="VAV44" s="12"/>
      <c r="VAW44" s="12"/>
      <c r="VAX44" s="12"/>
      <c r="VAY44" s="12"/>
      <c r="VAZ44" s="12"/>
      <c r="VBA44" s="12"/>
      <c r="VBB44" s="12"/>
      <c r="VBC44" s="12"/>
      <c r="VBD44" s="12"/>
      <c r="VBE44" s="12"/>
      <c r="VBF44" s="12"/>
      <c r="VBG44" s="12"/>
      <c r="VBH44" s="12"/>
      <c r="VBI44" s="12"/>
      <c r="VBJ44" s="12"/>
      <c r="VBK44" s="12"/>
      <c r="VBL44" s="12"/>
      <c r="VBM44" s="12"/>
      <c r="VBN44" s="12"/>
      <c r="VBO44" s="12"/>
      <c r="VBP44" s="12"/>
      <c r="VBQ44" s="12"/>
      <c r="VBR44" s="12"/>
      <c r="VBS44" s="12"/>
      <c r="VBT44" s="12"/>
      <c r="VBU44" s="12"/>
      <c r="VBV44" s="12"/>
      <c r="VBW44" s="12"/>
      <c r="VBX44" s="12"/>
      <c r="VBY44" s="12"/>
      <c r="VBZ44" s="12"/>
      <c r="VCA44" s="12"/>
      <c r="VCB44" s="12"/>
      <c r="VCC44" s="12"/>
      <c r="VCD44" s="12"/>
      <c r="VCE44" s="12"/>
      <c r="VCF44" s="12"/>
      <c r="VCG44" s="12"/>
      <c r="VCH44" s="12"/>
      <c r="VCI44" s="12"/>
      <c r="VCJ44" s="12"/>
      <c r="VCK44" s="12"/>
      <c r="VCL44" s="12"/>
      <c r="VCM44" s="12"/>
      <c r="VCN44" s="12"/>
      <c r="VCO44" s="12"/>
      <c r="VCP44" s="12"/>
      <c r="VCQ44" s="12"/>
      <c r="VCR44" s="12"/>
      <c r="VCS44" s="12"/>
      <c r="VCT44" s="12"/>
      <c r="VCU44" s="12"/>
      <c r="VCV44" s="12"/>
      <c r="VCW44" s="12"/>
      <c r="VCX44" s="12"/>
      <c r="VCY44" s="12"/>
      <c r="VCZ44" s="12"/>
      <c r="VDA44" s="12"/>
      <c r="VDB44" s="12"/>
      <c r="VDC44" s="12"/>
      <c r="VDD44" s="12"/>
      <c r="VDE44" s="12"/>
      <c r="VDF44" s="12"/>
      <c r="VDG44" s="12"/>
      <c r="VDH44" s="12"/>
      <c r="VDI44" s="12"/>
      <c r="VDJ44" s="12"/>
      <c r="VDK44" s="12"/>
      <c r="VDL44" s="12"/>
      <c r="VDM44" s="12"/>
      <c r="VDN44" s="12"/>
      <c r="VDO44" s="12"/>
      <c r="VDP44" s="12"/>
      <c r="VDQ44" s="12"/>
      <c r="VDR44" s="12"/>
      <c r="VDS44" s="12"/>
      <c r="VDT44" s="12"/>
      <c r="VDU44" s="12"/>
      <c r="VDV44" s="12"/>
      <c r="VDW44" s="12"/>
      <c r="VDX44" s="12"/>
      <c r="VDY44" s="12"/>
      <c r="VDZ44" s="12"/>
      <c r="VEA44" s="12"/>
      <c r="VEB44" s="12"/>
      <c r="VEC44" s="12"/>
      <c r="VED44" s="12"/>
      <c r="VEE44" s="12"/>
      <c r="VEF44" s="12"/>
      <c r="VEG44" s="12"/>
      <c r="VEH44" s="12"/>
      <c r="VEI44" s="12"/>
      <c r="VEJ44" s="12"/>
      <c r="VEK44" s="12"/>
      <c r="VEL44" s="12"/>
      <c r="VEM44" s="12"/>
      <c r="VEN44" s="12"/>
      <c r="VEO44" s="12"/>
      <c r="VEP44" s="12"/>
      <c r="VEQ44" s="12"/>
      <c r="VER44" s="12"/>
      <c r="VES44" s="12"/>
      <c r="VET44" s="12"/>
      <c r="VEU44" s="12"/>
      <c r="VEV44" s="12"/>
      <c r="VEW44" s="12"/>
      <c r="VEX44" s="12"/>
      <c r="VEY44" s="12"/>
      <c r="VEZ44" s="12"/>
      <c r="VFA44" s="12"/>
      <c r="VFB44" s="12"/>
      <c r="VFC44" s="12"/>
      <c r="VFD44" s="12"/>
      <c r="VFE44" s="12"/>
      <c r="VFF44" s="12"/>
      <c r="VFG44" s="12"/>
      <c r="VFH44" s="12"/>
      <c r="VFI44" s="12"/>
      <c r="VFJ44" s="12"/>
      <c r="VFK44" s="12"/>
      <c r="VFL44" s="12"/>
      <c r="VFM44" s="12"/>
      <c r="VFN44" s="12"/>
      <c r="VFO44" s="12"/>
      <c r="VFP44" s="12"/>
      <c r="VFQ44" s="12"/>
      <c r="VFR44" s="12"/>
      <c r="VFS44" s="12"/>
      <c r="VFT44" s="12"/>
      <c r="VFU44" s="12"/>
      <c r="VFV44" s="12"/>
      <c r="VFW44" s="12"/>
      <c r="VFX44" s="12"/>
      <c r="VFY44" s="12"/>
      <c r="VFZ44" s="12"/>
      <c r="VGA44" s="12"/>
      <c r="VGB44" s="12"/>
      <c r="VGC44" s="12"/>
      <c r="VGD44" s="12"/>
      <c r="VGE44" s="12"/>
      <c r="VGF44" s="12"/>
      <c r="VGG44" s="12"/>
      <c r="VGH44" s="12"/>
      <c r="VGI44" s="12"/>
      <c r="VGJ44" s="12"/>
      <c r="VGK44" s="12"/>
      <c r="VGL44" s="12"/>
      <c r="VGM44" s="12"/>
      <c r="VGN44" s="12"/>
      <c r="VGO44" s="12"/>
      <c r="VGP44" s="12"/>
      <c r="VGQ44" s="12"/>
      <c r="VGR44" s="12"/>
      <c r="VGS44" s="12"/>
      <c r="VGT44" s="12"/>
      <c r="VGU44" s="12"/>
      <c r="VGV44" s="12"/>
      <c r="VGW44" s="12"/>
      <c r="VGX44" s="12"/>
      <c r="VGY44" s="12"/>
      <c r="VGZ44" s="12"/>
      <c r="VHA44" s="12"/>
      <c r="VHB44" s="12"/>
      <c r="VHC44" s="12"/>
      <c r="VHD44" s="12"/>
      <c r="VHE44" s="12"/>
      <c r="VHF44" s="12"/>
      <c r="VHG44" s="12"/>
      <c r="VHH44" s="12"/>
      <c r="VHI44" s="12"/>
      <c r="VHJ44" s="12"/>
      <c r="VHK44" s="12"/>
      <c r="VHL44" s="12"/>
      <c r="VHM44" s="12"/>
      <c r="VHN44" s="12"/>
      <c r="VHO44" s="12"/>
      <c r="VHP44" s="12"/>
      <c r="VHQ44" s="12"/>
      <c r="VHR44" s="12"/>
      <c r="VHS44" s="12"/>
      <c r="VHT44" s="12"/>
      <c r="VHU44" s="12"/>
      <c r="VHV44" s="12"/>
      <c r="VHW44" s="12"/>
      <c r="VHX44" s="12"/>
      <c r="VHY44" s="12"/>
      <c r="VHZ44" s="12"/>
      <c r="VIA44" s="12"/>
      <c r="VIB44" s="12"/>
      <c r="VIC44" s="12"/>
      <c r="VID44" s="12"/>
      <c r="VIE44" s="12"/>
      <c r="VIF44" s="12"/>
      <c r="VIG44" s="12"/>
      <c r="VIH44" s="12"/>
      <c r="VII44" s="12"/>
      <c r="VIJ44" s="12"/>
      <c r="VIK44" s="12"/>
      <c r="VIL44" s="12"/>
      <c r="VIM44" s="12"/>
      <c r="VIN44" s="12"/>
      <c r="VIO44" s="12"/>
      <c r="VIP44" s="12"/>
      <c r="VIQ44" s="12"/>
      <c r="VIR44" s="12"/>
      <c r="VIS44" s="12"/>
      <c r="VIT44" s="12"/>
      <c r="VIU44" s="12"/>
      <c r="VIV44" s="12"/>
      <c r="VIW44" s="12"/>
      <c r="VIX44" s="12"/>
      <c r="VIY44" s="12"/>
      <c r="VIZ44" s="12"/>
      <c r="VJA44" s="12"/>
      <c r="VJB44" s="12"/>
      <c r="VJC44" s="12"/>
      <c r="VJD44" s="12"/>
      <c r="VJE44" s="12"/>
      <c r="VJF44" s="12"/>
      <c r="VJG44" s="12"/>
      <c r="VJH44" s="12"/>
      <c r="VJI44" s="12"/>
      <c r="VJJ44" s="12"/>
      <c r="VJK44" s="12"/>
      <c r="VJL44" s="12"/>
      <c r="VJM44" s="12"/>
      <c r="VJN44" s="12"/>
      <c r="VJO44" s="12"/>
      <c r="VJP44" s="12"/>
      <c r="VJQ44" s="12"/>
      <c r="VJR44" s="12"/>
      <c r="VJS44" s="12"/>
      <c r="VJT44" s="12"/>
      <c r="VJU44" s="12"/>
      <c r="VJV44" s="12"/>
      <c r="VJW44" s="12"/>
      <c r="VJX44" s="12"/>
      <c r="VJY44" s="12"/>
      <c r="VJZ44" s="12"/>
      <c r="VKA44" s="12"/>
      <c r="VKB44" s="12"/>
      <c r="VKC44" s="12"/>
      <c r="VKD44" s="12"/>
      <c r="VKE44" s="12"/>
      <c r="VKF44" s="12"/>
      <c r="VKG44" s="12"/>
      <c r="VKH44" s="12"/>
      <c r="VKI44" s="12"/>
      <c r="VKJ44" s="12"/>
      <c r="VKK44" s="12"/>
      <c r="VKL44" s="12"/>
      <c r="VKM44" s="12"/>
      <c r="VKN44" s="12"/>
      <c r="VKO44" s="12"/>
      <c r="VKP44" s="12"/>
      <c r="VKQ44" s="12"/>
      <c r="VKR44" s="12"/>
      <c r="VKS44" s="12"/>
      <c r="VKT44" s="12"/>
      <c r="VKU44" s="12"/>
      <c r="VKV44" s="12"/>
      <c r="VKW44" s="12"/>
      <c r="VKX44" s="12"/>
      <c r="VKY44" s="12"/>
      <c r="VKZ44" s="12"/>
      <c r="VLA44" s="12"/>
      <c r="VLB44" s="12"/>
      <c r="VLC44" s="12"/>
      <c r="VLD44" s="12"/>
      <c r="VLE44" s="12"/>
      <c r="VLF44" s="12"/>
      <c r="VLG44" s="12"/>
      <c r="VLH44" s="12"/>
      <c r="VLI44" s="12"/>
      <c r="VLJ44" s="12"/>
      <c r="VLK44" s="12"/>
      <c r="VLL44" s="12"/>
      <c r="VLM44" s="12"/>
      <c r="VLN44" s="12"/>
      <c r="VLO44" s="12"/>
      <c r="VLP44" s="12"/>
      <c r="VLQ44" s="12"/>
      <c r="VLR44" s="12"/>
      <c r="VLS44" s="12"/>
      <c r="VLT44" s="12"/>
      <c r="VLU44" s="12"/>
      <c r="VLV44" s="12"/>
      <c r="VLW44" s="12"/>
      <c r="VLX44" s="12"/>
      <c r="VLY44" s="12"/>
      <c r="VLZ44" s="12"/>
      <c r="VMA44" s="12"/>
      <c r="VMB44" s="12"/>
      <c r="VMC44" s="12"/>
      <c r="VMD44" s="12"/>
      <c r="VME44" s="12"/>
      <c r="VMF44" s="12"/>
      <c r="VMG44" s="12"/>
      <c r="VMH44" s="12"/>
      <c r="VMI44" s="12"/>
      <c r="VMJ44" s="12"/>
      <c r="VMK44" s="12"/>
      <c r="VML44" s="12"/>
      <c r="VMM44" s="12"/>
      <c r="VMN44" s="12"/>
      <c r="VMO44" s="12"/>
      <c r="VMP44" s="12"/>
      <c r="VMQ44" s="12"/>
      <c r="VMR44" s="12"/>
      <c r="VMS44" s="12"/>
      <c r="VMT44" s="12"/>
      <c r="VMU44" s="12"/>
      <c r="VMV44" s="12"/>
      <c r="VMW44" s="12"/>
      <c r="VMX44" s="12"/>
      <c r="VMY44" s="12"/>
      <c r="VMZ44" s="12"/>
      <c r="VNA44" s="12"/>
      <c r="VNB44" s="12"/>
      <c r="VNC44" s="12"/>
      <c r="VND44" s="12"/>
      <c r="VNE44" s="12"/>
      <c r="VNF44" s="12"/>
      <c r="VNG44" s="12"/>
      <c r="VNH44" s="12"/>
      <c r="VNI44" s="12"/>
      <c r="VNJ44" s="12"/>
      <c r="VNK44" s="12"/>
      <c r="VNL44" s="12"/>
      <c r="VNM44" s="12"/>
      <c r="VNN44" s="12"/>
      <c r="VNO44" s="12"/>
      <c r="VNP44" s="12"/>
      <c r="VNQ44" s="12"/>
      <c r="VNR44" s="12"/>
      <c r="VNS44" s="12"/>
      <c r="VNT44" s="12"/>
      <c r="VNU44" s="12"/>
      <c r="VNV44" s="12"/>
      <c r="VNW44" s="12"/>
      <c r="VNX44" s="12"/>
      <c r="VNY44" s="12"/>
      <c r="VNZ44" s="12"/>
      <c r="VOA44" s="12"/>
      <c r="VOB44" s="12"/>
      <c r="VOC44" s="12"/>
      <c r="VOD44" s="12"/>
      <c r="VOE44" s="12"/>
      <c r="VOF44" s="12"/>
      <c r="VOG44" s="12"/>
      <c r="VOH44" s="12"/>
      <c r="VOI44" s="12"/>
      <c r="VOJ44" s="12"/>
      <c r="VOK44" s="12"/>
      <c r="VOL44" s="12"/>
      <c r="VOM44" s="12"/>
      <c r="VON44" s="12"/>
      <c r="VOO44" s="12"/>
      <c r="VOP44" s="12"/>
      <c r="VOQ44" s="12"/>
      <c r="VOR44" s="12"/>
      <c r="VOS44" s="12"/>
      <c r="VOT44" s="12"/>
      <c r="VOU44" s="12"/>
      <c r="VOV44" s="12"/>
      <c r="VOW44" s="12"/>
      <c r="VOX44" s="12"/>
      <c r="VOY44" s="12"/>
      <c r="VOZ44" s="12"/>
      <c r="VPA44" s="12"/>
      <c r="VPB44" s="12"/>
      <c r="VPC44" s="12"/>
      <c r="VPD44" s="12"/>
      <c r="VPE44" s="12"/>
      <c r="VPF44" s="12"/>
      <c r="VPG44" s="12"/>
      <c r="VPH44" s="12"/>
      <c r="VPI44" s="12"/>
      <c r="VPJ44" s="12"/>
      <c r="VPK44" s="12"/>
      <c r="VPL44" s="12"/>
      <c r="VPM44" s="12"/>
      <c r="VPN44" s="12"/>
      <c r="VPO44" s="12"/>
      <c r="VPP44" s="12"/>
      <c r="VPQ44" s="12"/>
      <c r="VPR44" s="12"/>
      <c r="VPS44" s="12"/>
      <c r="VPT44" s="12"/>
      <c r="VPU44" s="12"/>
      <c r="VPV44" s="12"/>
      <c r="VPW44" s="12"/>
      <c r="VPX44" s="12"/>
      <c r="VPY44" s="12"/>
      <c r="VPZ44" s="12"/>
      <c r="VQA44" s="12"/>
      <c r="VQB44" s="12"/>
      <c r="VQC44" s="12"/>
      <c r="VQD44" s="12"/>
      <c r="VQE44" s="12"/>
      <c r="VQF44" s="12"/>
      <c r="VQG44" s="12"/>
      <c r="VQH44" s="12"/>
      <c r="VQI44" s="12"/>
      <c r="VQJ44" s="12"/>
      <c r="VQK44" s="12"/>
      <c r="VQL44" s="12"/>
      <c r="VQM44" s="12"/>
      <c r="VQN44" s="12"/>
      <c r="VQO44" s="12"/>
      <c r="VQP44" s="12"/>
      <c r="VQQ44" s="12"/>
      <c r="VQR44" s="12"/>
      <c r="VQS44" s="12"/>
      <c r="VQT44" s="12"/>
      <c r="VQU44" s="12"/>
      <c r="VQV44" s="12"/>
      <c r="VQW44" s="12"/>
      <c r="VQX44" s="12"/>
      <c r="VQY44" s="12"/>
      <c r="VQZ44" s="12"/>
      <c r="VRA44" s="12"/>
      <c r="VRB44" s="12"/>
      <c r="VRC44" s="12"/>
      <c r="VRD44" s="12"/>
      <c r="VRE44" s="12"/>
      <c r="VRF44" s="12"/>
      <c r="VRG44" s="12"/>
      <c r="VRH44" s="12"/>
      <c r="VRI44" s="12"/>
      <c r="VRJ44" s="12"/>
      <c r="VRK44" s="12"/>
      <c r="VRL44" s="12"/>
      <c r="VRM44" s="12"/>
      <c r="VRN44" s="12"/>
      <c r="VRO44" s="12"/>
      <c r="VRP44" s="12"/>
      <c r="VRQ44" s="12"/>
      <c r="VRR44" s="12"/>
      <c r="VRS44" s="12"/>
      <c r="VRT44" s="12"/>
      <c r="VRU44" s="12"/>
      <c r="VRV44" s="12"/>
      <c r="VRW44" s="12"/>
      <c r="VRX44" s="12"/>
      <c r="VRY44" s="12"/>
      <c r="VRZ44" s="12"/>
      <c r="VSA44" s="12"/>
      <c r="VSB44" s="12"/>
      <c r="VSC44" s="12"/>
      <c r="VSD44" s="12"/>
      <c r="VSE44" s="12"/>
      <c r="VSF44" s="12"/>
      <c r="VSG44" s="12"/>
      <c r="VSH44" s="12"/>
      <c r="VSI44" s="12"/>
      <c r="VSJ44" s="12"/>
      <c r="VSK44" s="12"/>
      <c r="VSL44" s="12"/>
      <c r="VSM44" s="12"/>
      <c r="VSN44" s="12"/>
      <c r="VSO44" s="12"/>
      <c r="VSP44" s="12"/>
      <c r="VSQ44" s="12"/>
      <c r="VSR44" s="12"/>
      <c r="VSS44" s="12"/>
      <c r="VST44" s="12"/>
      <c r="VSU44" s="12"/>
      <c r="VSV44" s="12"/>
      <c r="VSW44" s="12"/>
      <c r="VSX44" s="12"/>
      <c r="VSY44" s="12"/>
      <c r="VSZ44" s="12"/>
      <c r="VTA44" s="12"/>
      <c r="VTB44" s="12"/>
      <c r="VTC44" s="12"/>
      <c r="VTD44" s="12"/>
      <c r="VTE44" s="12"/>
      <c r="VTF44" s="12"/>
      <c r="VTG44" s="12"/>
      <c r="VTH44" s="12"/>
      <c r="VTI44" s="12"/>
      <c r="VTJ44" s="12"/>
      <c r="VTK44" s="12"/>
      <c r="VTL44" s="12"/>
      <c r="VTM44" s="12"/>
      <c r="VTN44" s="12"/>
      <c r="VTO44" s="12"/>
      <c r="VTP44" s="12"/>
      <c r="VTQ44" s="12"/>
      <c r="VTR44" s="12"/>
      <c r="VTS44" s="12"/>
      <c r="VTT44" s="12"/>
      <c r="VTU44" s="12"/>
      <c r="VTV44" s="12"/>
      <c r="VTW44" s="12"/>
      <c r="VTX44" s="12"/>
      <c r="VTY44" s="12"/>
      <c r="VTZ44" s="12"/>
      <c r="VUA44" s="12"/>
      <c r="VUB44" s="12"/>
      <c r="VUC44" s="12"/>
      <c r="VUD44" s="12"/>
      <c r="VUE44" s="12"/>
      <c r="VUF44" s="12"/>
      <c r="VUG44" s="12"/>
      <c r="VUH44" s="12"/>
      <c r="VUI44" s="12"/>
      <c r="VUJ44" s="12"/>
      <c r="VUK44" s="12"/>
      <c r="VUL44" s="12"/>
      <c r="VUM44" s="12"/>
      <c r="VUN44" s="12"/>
      <c r="VUO44" s="12"/>
      <c r="VUP44" s="12"/>
      <c r="VUQ44" s="12"/>
      <c r="VUR44" s="12"/>
      <c r="VUS44" s="12"/>
      <c r="VUT44" s="12"/>
      <c r="VUU44" s="12"/>
      <c r="VUV44" s="12"/>
      <c r="VUW44" s="12"/>
      <c r="VUX44" s="12"/>
      <c r="VUY44" s="12"/>
      <c r="VUZ44" s="12"/>
      <c r="VVA44" s="12"/>
      <c r="VVB44" s="12"/>
      <c r="VVC44" s="12"/>
      <c r="VVD44" s="12"/>
      <c r="VVE44" s="12"/>
      <c r="VVF44" s="12"/>
      <c r="VVG44" s="12"/>
      <c r="VVH44" s="12"/>
      <c r="VVI44" s="12"/>
      <c r="VVJ44" s="12"/>
      <c r="VVK44" s="12"/>
      <c r="VVL44" s="12"/>
      <c r="VVM44" s="12"/>
      <c r="VVN44" s="12"/>
      <c r="VVO44" s="12"/>
      <c r="VVP44" s="12"/>
      <c r="VVQ44" s="12"/>
      <c r="VVR44" s="12"/>
      <c r="VVS44" s="12"/>
      <c r="VVT44" s="12"/>
      <c r="VVU44" s="12"/>
      <c r="VVV44" s="12"/>
      <c r="VVW44" s="12"/>
      <c r="VVX44" s="12"/>
      <c r="VVY44" s="12"/>
      <c r="VVZ44" s="12"/>
      <c r="VWA44" s="12"/>
      <c r="VWB44" s="12"/>
      <c r="VWC44" s="12"/>
      <c r="VWD44" s="12"/>
      <c r="VWE44" s="12"/>
      <c r="VWF44" s="12"/>
      <c r="VWG44" s="12"/>
      <c r="VWH44" s="12"/>
      <c r="VWI44" s="12"/>
      <c r="VWJ44" s="12"/>
      <c r="VWK44" s="12"/>
      <c r="VWL44" s="12"/>
      <c r="VWM44" s="12"/>
      <c r="VWN44" s="12"/>
      <c r="VWO44" s="12"/>
      <c r="VWP44" s="12"/>
      <c r="VWQ44" s="12"/>
      <c r="VWR44" s="12"/>
      <c r="VWS44" s="12"/>
      <c r="VWT44" s="12"/>
      <c r="VWU44" s="12"/>
      <c r="VWV44" s="12"/>
      <c r="VWW44" s="12"/>
      <c r="VWX44" s="12"/>
      <c r="VWY44" s="12"/>
      <c r="VWZ44" s="12"/>
      <c r="VXA44" s="12"/>
      <c r="VXB44" s="12"/>
      <c r="VXC44" s="12"/>
      <c r="VXD44" s="12"/>
      <c r="VXE44" s="12"/>
      <c r="VXF44" s="12"/>
      <c r="VXG44" s="12"/>
      <c r="VXH44" s="12"/>
      <c r="VXI44" s="12"/>
      <c r="VXJ44" s="12"/>
      <c r="VXK44" s="12"/>
      <c r="VXL44" s="12"/>
      <c r="VXM44" s="12"/>
      <c r="VXN44" s="12"/>
      <c r="VXO44" s="12"/>
      <c r="VXP44" s="12"/>
      <c r="VXQ44" s="12"/>
      <c r="VXR44" s="12"/>
      <c r="VXS44" s="12"/>
      <c r="VXT44" s="12"/>
      <c r="VXU44" s="12"/>
      <c r="VXV44" s="12"/>
      <c r="VXW44" s="12"/>
      <c r="VXX44" s="12"/>
      <c r="VXY44" s="12"/>
      <c r="VXZ44" s="12"/>
      <c r="VYA44" s="12"/>
      <c r="VYB44" s="12"/>
      <c r="VYC44" s="12"/>
      <c r="VYD44" s="12"/>
      <c r="VYE44" s="12"/>
      <c r="VYF44" s="12"/>
      <c r="VYG44" s="12"/>
      <c r="VYH44" s="12"/>
      <c r="VYI44" s="12"/>
      <c r="VYJ44" s="12"/>
      <c r="VYK44" s="12"/>
      <c r="VYL44" s="12"/>
      <c r="VYM44" s="12"/>
      <c r="VYN44" s="12"/>
      <c r="VYO44" s="12"/>
      <c r="VYP44" s="12"/>
      <c r="VYQ44" s="12"/>
      <c r="VYR44" s="12"/>
      <c r="VYS44" s="12"/>
      <c r="VYT44" s="12"/>
      <c r="VYU44" s="12"/>
      <c r="VYV44" s="12"/>
      <c r="VYW44" s="12"/>
      <c r="VYX44" s="12"/>
      <c r="VYY44" s="12"/>
      <c r="VYZ44" s="12"/>
      <c r="VZA44" s="12"/>
      <c r="VZB44" s="12"/>
      <c r="VZC44" s="12"/>
      <c r="VZD44" s="12"/>
      <c r="VZE44" s="12"/>
      <c r="VZF44" s="12"/>
      <c r="VZG44" s="12"/>
      <c r="VZH44" s="12"/>
      <c r="VZI44" s="12"/>
      <c r="VZJ44" s="12"/>
      <c r="VZK44" s="12"/>
      <c r="VZL44" s="12"/>
      <c r="VZM44" s="12"/>
      <c r="VZN44" s="12"/>
      <c r="VZO44" s="12"/>
      <c r="VZP44" s="12"/>
      <c r="VZQ44" s="12"/>
      <c r="VZR44" s="12"/>
      <c r="VZS44" s="12"/>
      <c r="VZT44" s="12"/>
      <c r="VZU44" s="12"/>
      <c r="VZV44" s="12"/>
      <c r="VZW44" s="12"/>
      <c r="VZX44" s="12"/>
      <c r="VZY44" s="12"/>
      <c r="VZZ44" s="12"/>
      <c r="WAA44" s="12"/>
      <c r="WAB44" s="12"/>
      <c r="WAC44" s="12"/>
      <c r="WAD44" s="12"/>
      <c r="WAE44" s="12"/>
      <c r="WAF44" s="12"/>
      <c r="WAG44" s="12"/>
      <c r="WAH44" s="12"/>
      <c r="WAI44" s="12"/>
      <c r="WAJ44" s="12"/>
      <c r="WAK44" s="12"/>
      <c r="WAL44" s="12"/>
      <c r="WAM44" s="12"/>
      <c r="WAN44" s="12"/>
      <c r="WAO44" s="12"/>
      <c r="WAP44" s="12"/>
      <c r="WAQ44" s="12"/>
      <c r="WAR44" s="12"/>
      <c r="WAS44" s="12"/>
      <c r="WAT44" s="12"/>
      <c r="WAU44" s="12"/>
      <c r="WAV44" s="12"/>
      <c r="WAW44" s="12"/>
      <c r="WAX44" s="12"/>
      <c r="WAY44" s="12"/>
      <c r="WAZ44" s="12"/>
      <c r="WBA44" s="12"/>
      <c r="WBB44" s="12"/>
      <c r="WBC44" s="12"/>
      <c r="WBD44" s="12"/>
      <c r="WBE44" s="12"/>
      <c r="WBF44" s="12"/>
      <c r="WBG44" s="12"/>
      <c r="WBH44" s="12"/>
      <c r="WBI44" s="12"/>
      <c r="WBJ44" s="12"/>
      <c r="WBK44" s="12"/>
      <c r="WBL44" s="12"/>
      <c r="WBM44" s="12"/>
      <c r="WBN44" s="12"/>
      <c r="WBO44" s="12"/>
      <c r="WBP44" s="12"/>
      <c r="WBQ44" s="12"/>
      <c r="WBR44" s="12"/>
      <c r="WBS44" s="12"/>
      <c r="WBT44" s="12"/>
      <c r="WBU44" s="12"/>
      <c r="WBV44" s="12"/>
      <c r="WBW44" s="12"/>
      <c r="WBX44" s="12"/>
      <c r="WBY44" s="12"/>
      <c r="WBZ44" s="12"/>
      <c r="WCA44" s="12"/>
      <c r="WCB44" s="12"/>
      <c r="WCC44" s="12"/>
      <c r="WCD44" s="12"/>
      <c r="WCE44" s="12"/>
      <c r="WCF44" s="12"/>
      <c r="WCG44" s="12"/>
      <c r="WCH44" s="12"/>
      <c r="WCI44" s="12"/>
      <c r="WCJ44" s="12"/>
      <c r="WCK44" s="12"/>
      <c r="WCL44" s="12"/>
      <c r="WCM44" s="12"/>
      <c r="WCN44" s="12"/>
      <c r="WCO44" s="12"/>
      <c r="WCP44" s="12"/>
      <c r="WCQ44" s="12"/>
      <c r="WCR44" s="12"/>
      <c r="WCS44" s="12"/>
      <c r="WCT44" s="12"/>
      <c r="WCU44" s="12"/>
      <c r="WCV44" s="12"/>
      <c r="WCW44" s="12"/>
      <c r="WCX44" s="12"/>
      <c r="WCY44" s="12"/>
      <c r="WCZ44" s="12"/>
      <c r="WDA44" s="12"/>
      <c r="WDB44" s="12"/>
      <c r="WDC44" s="12"/>
      <c r="WDD44" s="12"/>
      <c r="WDE44" s="12"/>
      <c r="WDF44" s="12"/>
      <c r="WDG44" s="12"/>
      <c r="WDH44" s="12"/>
      <c r="WDI44" s="12"/>
      <c r="WDJ44" s="12"/>
      <c r="WDK44" s="12"/>
      <c r="WDL44" s="12"/>
      <c r="WDM44" s="12"/>
      <c r="WDN44" s="12"/>
      <c r="WDO44" s="12"/>
      <c r="WDP44" s="12"/>
      <c r="WDQ44" s="12"/>
      <c r="WDR44" s="12"/>
      <c r="WDS44" s="12"/>
      <c r="WDT44" s="12"/>
      <c r="WDU44" s="12"/>
      <c r="WDV44" s="12"/>
      <c r="WDW44" s="12"/>
      <c r="WDX44" s="12"/>
      <c r="WDY44" s="12"/>
      <c r="WDZ44" s="12"/>
      <c r="WEA44" s="12"/>
      <c r="WEB44" s="12"/>
      <c r="WEC44" s="12"/>
      <c r="WED44" s="12"/>
      <c r="WEE44" s="12"/>
      <c r="WEF44" s="12"/>
      <c r="WEG44" s="12"/>
      <c r="WEH44" s="12"/>
      <c r="WEI44" s="12"/>
      <c r="WEJ44" s="12"/>
      <c r="WEK44" s="12"/>
      <c r="WEL44" s="12"/>
      <c r="WEM44" s="12"/>
      <c r="WEN44" s="12"/>
      <c r="WEO44" s="12"/>
      <c r="WEP44" s="12"/>
      <c r="WEQ44" s="12"/>
      <c r="WER44" s="12"/>
      <c r="WES44" s="12"/>
      <c r="WET44" s="12"/>
      <c r="WEU44" s="12"/>
      <c r="WEV44" s="12"/>
      <c r="WEW44" s="12"/>
      <c r="WEX44" s="12"/>
      <c r="WEY44" s="12"/>
      <c r="WEZ44" s="12"/>
      <c r="WFA44" s="12"/>
      <c r="WFB44" s="12"/>
      <c r="WFC44" s="12"/>
      <c r="WFD44" s="12"/>
      <c r="WFE44" s="12"/>
      <c r="WFF44" s="12"/>
      <c r="WFG44" s="12"/>
      <c r="WFH44" s="12"/>
      <c r="WFI44" s="12"/>
      <c r="WFJ44" s="12"/>
      <c r="WFK44" s="12"/>
      <c r="WFL44" s="12"/>
      <c r="WFM44" s="12"/>
      <c r="WFN44" s="12"/>
      <c r="WFO44" s="12"/>
      <c r="WFP44" s="12"/>
      <c r="WFQ44" s="12"/>
      <c r="WFR44" s="12"/>
      <c r="WFS44" s="12"/>
      <c r="WFT44" s="12"/>
      <c r="WFU44" s="12"/>
      <c r="WFV44" s="12"/>
      <c r="WFW44" s="12"/>
      <c r="WFX44" s="12"/>
      <c r="WFY44" s="12"/>
      <c r="WFZ44" s="12"/>
      <c r="WGA44" s="12"/>
      <c r="WGB44" s="12"/>
      <c r="WGC44" s="12"/>
      <c r="WGD44" s="12"/>
      <c r="WGE44" s="12"/>
      <c r="WGF44" s="12"/>
      <c r="WGG44" s="12"/>
      <c r="WGH44" s="12"/>
      <c r="WGI44" s="12"/>
      <c r="WGJ44" s="12"/>
      <c r="WGK44" s="12"/>
      <c r="WGL44" s="12"/>
      <c r="WGM44" s="12"/>
      <c r="WGN44" s="12"/>
      <c r="WGO44" s="12"/>
      <c r="WGP44" s="12"/>
      <c r="WGQ44" s="12"/>
      <c r="WGR44" s="12"/>
      <c r="WGS44" s="12"/>
      <c r="WGT44" s="12"/>
      <c r="WGU44" s="12"/>
      <c r="WGV44" s="12"/>
      <c r="WGW44" s="12"/>
      <c r="WGX44" s="12"/>
      <c r="WGY44" s="12"/>
      <c r="WGZ44" s="12"/>
      <c r="WHA44" s="12"/>
      <c r="WHB44" s="12"/>
      <c r="WHC44" s="12"/>
      <c r="WHD44" s="12"/>
      <c r="WHE44" s="12"/>
      <c r="WHF44" s="12"/>
      <c r="WHG44" s="12"/>
      <c r="WHH44" s="12"/>
      <c r="WHI44" s="12"/>
      <c r="WHJ44" s="12"/>
      <c r="WHK44" s="12"/>
      <c r="WHL44" s="12"/>
      <c r="WHM44" s="12"/>
      <c r="WHN44" s="12"/>
      <c r="WHO44" s="12"/>
      <c r="WHP44" s="12"/>
      <c r="WHQ44" s="12"/>
      <c r="WHR44" s="12"/>
      <c r="WHS44" s="12"/>
      <c r="WHT44" s="12"/>
      <c r="WHU44" s="12"/>
      <c r="WHV44" s="12"/>
      <c r="WHW44" s="12"/>
      <c r="WHX44" s="12"/>
      <c r="WHY44" s="12"/>
      <c r="WHZ44" s="12"/>
      <c r="WIA44" s="12"/>
      <c r="WIB44" s="12"/>
      <c r="WIC44" s="12"/>
      <c r="WID44" s="12"/>
      <c r="WIE44" s="12"/>
      <c r="WIF44" s="12"/>
      <c r="WIG44" s="12"/>
      <c r="WIH44" s="12"/>
      <c r="WII44" s="12"/>
      <c r="WIJ44" s="12"/>
      <c r="WIK44" s="12"/>
      <c r="WIL44" s="12"/>
      <c r="WIM44" s="12"/>
      <c r="WIN44" s="12"/>
      <c r="WIO44" s="12"/>
      <c r="WIP44" s="12"/>
      <c r="WIQ44" s="12"/>
      <c r="WIR44" s="12"/>
      <c r="WIS44" s="12"/>
      <c r="WIT44" s="12"/>
      <c r="WIU44" s="12"/>
      <c r="WIV44" s="12"/>
      <c r="WIW44" s="12"/>
      <c r="WIX44" s="12"/>
      <c r="WIY44" s="12"/>
      <c r="WIZ44" s="12"/>
      <c r="WJA44" s="12"/>
      <c r="WJB44" s="12"/>
      <c r="WJC44" s="12"/>
      <c r="WJD44" s="12"/>
      <c r="WJE44" s="12"/>
      <c r="WJF44" s="12"/>
      <c r="WJG44" s="12"/>
      <c r="WJH44" s="12"/>
      <c r="WJI44" s="12"/>
      <c r="WJJ44" s="12"/>
      <c r="WJK44" s="12"/>
      <c r="WJL44" s="12"/>
      <c r="WJM44" s="12"/>
      <c r="WJN44" s="12"/>
      <c r="WJO44" s="12"/>
      <c r="WJP44" s="12"/>
      <c r="WJQ44" s="12"/>
      <c r="WJR44" s="12"/>
      <c r="WJS44" s="12"/>
      <c r="WJT44" s="12"/>
      <c r="WJU44" s="12"/>
      <c r="WJV44" s="12"/>
      <c r="WJW44" s="12"/>
      <c r="WJX44" s="12"/>
      <c r="WJY44" s="12"/>
      <c r="WJZ44" s="12"/>
      <c r="WKA44" s="12"/>
      <c r="WKB44" s="12"/>
      <c r="WKC44" s="12"/>
      <c r="WKD44" s="12"/>
      <c r="WKE44" s="12"/>
      <c r="WKF44" s="12"/>
      <c r="WKG44" s="12"/>
      <c r="WKH44" s="12"/>
      <c r="WKI44" s="12"/>
      <c r="WKJ44" s="12"/>
      <c r="WKK44" s="12"/>
      <c r="WKL44" s="12"/>
      <c r="WKM44" s="12"/>
      <c r="WKN44" s="12"/>
      <c r="WKO44" s="12"/>
      <c r="WKP44" s="12"/>
      <c r="WKQ44" s="12"/>
      <c r="WKR44" s="12"/>
      <c r="WKS44" s="12"/>
      <c r="WKT44" s="12"/>
      <c r="WKU44" s="12"/>
      <c r="WKV44" s="12"/>
      <c r="WKW44" s="12"/>
      <c r="WKX44" s="12"/>
      <c r="WKY44" s="12"/>
      <c r="WKZ44" s="12"/>
      <c r="WLA44" s="12"/>
      <c r="WLB44" s="12"/>
      <c r="WLC44" s="12"/>
      <c r="WLD44" s="12"/>
      <c r="WLE44" s="12"/>
      <c r="WLF44" s="12"/>
      <c r="WLG44" s="12"/>
      <c r="WLH44" s="12"/>
      <c r="WLI44" s="12"/>
      <c r="WLJ44" s="12"/>
      <c r="WLK44" s="12"/>
      <c r="WLL44" s="12"/>
      <c r="WLM44" s="12"/>
      <c r="WLN44" s="12"/>
      <c r="WLO44" s="12"/>
      <c r="WLP44" s="12"/>
      <c r="WLQ44" s="12"/>
      <c r="WLR44" s="12"/>
      <c r="WLS44" s="12"/>
      <c r="WLT44" s="12"/>
      <c r="WLU44" s="12"/>
      <c r="WLV44" s="12"/>
      <c r="WLW44" s="12"/>
      <c r="WLX44" s="12"/>
      <c r="WLY44" s="12"/>
      <c r="WLZ44" s="12"/>
      <c r="WMA44" s="12"/>
      <c r="WMB44" s="12"/>
      <c r="WMC44" s="12"/>
      <c r="WMD44" s="12"/>
      <c r="WME44" s="12"/>
      <c r="WMF44" s="12"/>
      <c r="WMG44" s="12"/>
      <c r="WMH44" s="12"/>
      <c r="WMI44" s="12"/>
      <c r="WMJ44" s="12"/>
      <c r="WMK44" s="12"/>
      <c r="WML44" s="12"/>
      <c r="WMM44" s="12"/>
      <c r="WMN44" s="12"/>
      <c r="WMO44" s="12"/>
      <c r="WMP44" s="12"/>
      <c r="WMQ44" s="12"/>
      <c r="WMR44" s="12"/>
      <c r="WMS44" s="12"/>
      <c r="WMT44" s="12"/>
      <c r="WMU44" s="12"/>
      <c r="WMV44" s="12"/>
      <c r="WMW44" s="12"/>
      <c r="WMX44" s="12"/>
      <c r="WMY44" s="12"/>
      <c r="WMZ44" s="12"/>
      <c r="WNA44" s="12"/>
      <c r="WNB44" s="12"/>
      <c r="WNC44" s="12"/>
      <c r="WND44" s="12"/>
      <c r="WNE44" s="12"/>
      <c r="WNF44" s="12"/>
      <c r="WNG44" s="12"/>
      <c r="WNH44" s="12"/>
      <c r="WNI44" s="12"/>
      <c r="WNJ44" s="12"/>
      <c r="WNK44" s="12"/>
      <c r="WNL44" s="12"/>
      <c r="WNM44" s="12"/>
      <c r="WNN44" s="12"/>
      <c r="WNO44" s="12"/>
      <c r="WNP44" s="12"/>
      <c r="WNQ44" s="12"/>
      <c r="WNR44" s="12"/>
      <c r="WNS44" s="12"/>
      <c r="WNT44" s="12"/>
      <c r="WNU44" s="12"/>
      <c r="WNV44" s="12"/>
      <c r="WNW44" s="12"/>
      <c r="WNX44" s="12"/>
      <c r="WNY44" s="12"/>
      <c r="WNZ44" s="12"/>
      <c r="WOA44" s="12"/>
      <c r="WOB44" s="12"/>
      <c r="WOC44" s="12"/>
      <c r="WOD44" s="12"/>
      <c r="WOE44" s="12"/>
      <c r="WOF44" s="12"/>
      <c r="WOG44" s="12"/>
      <c r="WOH44" s="12"/>
      <c r="WOI44" s="12"/>
      <c r="WOJ44" s="12"/>
      <c r="WOK44" s="12"/>
      <c r="WOL44" s="12"/>
      <c r="WOM44" s="12"/>
      <c r="WON44" s="12"/>
      <c r="WOO44" s="12"/>
      <c r="WOP44" s="12"/>
      <c r="WOQ44" s="12"/>
      <c r="WOR44" s="12"/>
      <c r="WOS44" s="12"/>
      <c r="WOT44" s="12"/>
      <c r="WOU44" s="12"/>
      <c r="WOV44" s="12"/>
      <c r="WOW44" s="12"/>
      <c r="WOX44" s="12"/>
      <c r="WOY44" s="12"/>
      <c r="WOZ44" s="12"/>
      <c r="WPA44" s="12"/>
      <c r="WPB44" s="12"/>
      <c r="WPC44" s="12"/>
      <c r="WPD44" s="12"/>
      <c r="WPE44" s="12"/>
      <c r="WPF44" s="12"/>
      <c r="WPG44" s="12"/>
      <c r="WPH44" s="12"/>
      <c r="WPI44" s="12"/>
      <c r="WPJ44" s="12"/>
      <c r="WPK44" s="12"/>
      <c r="WPL44" s="12"/>
      <c r="WPM44" s="12"/>
      <c r="WPN44" s="12"/>
      <c r="WPO44" s="12"/>
      <c r="WPP44" s="12"/>
      <c r="WPQ44" s="12"/>
      <c r="WPR44" s="12"/>
      <c r="WPS44" s="12"/>
      <c r="WPT44" s="12"/>
      <c r="WPU44" s="12"/>
      <c r="WPV44" s="12"/>
      <c r="WPW44" s="12"/>
      <c r="WPX44" s="12"/>
      <c r="WPY44" s="12"/>
      <c r="WPZ44" s="12"/>
      <c r="WQA44" s="12"/>
      <c r="WQB44" s="12"/>
      <c r="WQC44" s="12"/>
      <c r="WQD44" s="12"/>
      <c r="WQE44" s="12"/>
      <c r="WQF44" s="12"/>
      <c r="WQG44" s="12"/>
      <c r="WQH44" s="12"/>
      <c r="WQI44" s="12"/>
      <c r="WQJ44" s="12"/>
      <c r="WQK44" s="12"/>
      <c r="WQL44" s="12"/>
      <c r="WQM44" s="12"/>
      <c r="WQN44" s="12"/>
      <c r="WQO44" s="12"/>
      <c r="WQP44" s="12"/>
      <c r="WQQ44" s="12"/>
      <c r="WQR44" s="12"/>
      <c r="WQS44" s="12"/>
      <c r="WQT44" s="12"/>
      <c r="WQU44" s="12"/>
      <c r="WQV44" s="12"/>
      <c r="WQW44" s="12"/>
      <c r="WQX44" s="12"/>
      <c r="WQY44" s="12"/>
      <c r="WQZ44" s="12"/>
      <c r="WRA44" s="12"/>
      <c r="WRB44" s="12"/>
      <c r="WRC44" s="12"/>
      <c r="WRD44" s="12"/>
      <c r="WRE44" s="12"/>
      <c r="WRF44" s="12"/>
      <c r="WRG44" s="12"/>
      <c r="WRH44" s="12"/>
      <c r="WRI44" s="12"/>
      <c r="WRJ44" s="12"/>
      <c r="WRK44" s="12"/>
      <c r="WRL44" s="12"/>
      <c r="WRM44" s="12"/>
      <c r="WRN44" s="12"/>
      <c r="WRO44" s="12"/>
      <c r="WRP44" s="12"/>
      <c r="WRQ44" s="12"/>
      <c r="WRR44" s="12"/>
      <c r="WRS44" s="12"/>
      <c r="WRT44" s="12"/>
      <c r="WRU44" s="12"/>
      <c r="WRV44" s="12"/>
      <c r="WRW44" s="12"/>
      <c r="WRX44" s="12"/>
      <c r="WRY44" s="12"/>
      <c r="WRZ44" s="12"/>
      <c r="WSA44" s="12"/>
      <c r="WSB44" s="12"/>
      <c r="WSC44" s="12"/>
      <c r="WSD44" s="12"/>
      <c r="WSE44" s="12"/>
      <c r="WSF44" s="12"/>
      <c r="WSG44" s="12"/>
      <c r="WSH44" s="12"/>
      <c r="WSI44" s="12"/>
      <c r="WSJ44" s="12"/>
      <c r="WSK44" s="12"/>
      <c r="WSL44" s="12"/>
      <c r="WSM44" s="12"/>
      <c r="WSN44" s="12"/>
      <c r="WSO44" s="12"/>
      <c r="WSP44" s="12"/>
      <c r="WSQ44" s="12"/>
      <c r="WSR44" s="12"/>
      <c r="WSS44" s="12"/>
      <c r="WST44" s="12"/>
      <c r="WSU44" s="12"/>
      <c r="WSV44" s="12"/>
      <c r="WSW44" s="12"/>
      <c r="WSX44" s="12"/>
      <c r="WSY44" s="12"/>
      <c r="WSZ44" s="12"/>
      <c r="WTA44" s="12"/>
      <c r="WTB44" s="12"/>
      <c r="WTC44" s="12"/>
      <c r="WTD44" s="12"/>
      <c r="WTE44" s="12"/>
      <c r="WTF44" s="12"/>
      <c r="WTG44" s="12"/>
      <c r="WTH44" s="12"/>
      <c r="WTI44" s="12"/>
      <c r="WTJ44" s="12"/>
      <c r="WTK44" s="12"/>
      <c r="WTL44" s="12"/>
      <c r="WTM44" s="12"/>
      <c r="WTN44" s="12"/>
      <c r="WTO44" s="12"/>
      <c r="WTP44" s="12"/>
      <c r="WTQ44" s="12"/>
      <c r="WTR44" s="12"/>
      <c r="WTS44" s="12"/>
      <c r="WTT44" s="12"/>
      <c r="WTU44" s="12"/>
      <c r="WTV44" s="12"/>
      <c r="WTW44" s="12"/>
      <c r="WTX44" s="12"/>
      <c r="WTY44" s="12"/>
      <c r="WTZ44" s="12"/>
      <c r="WUA44" s="12"/>
      <c r="WUB44" s="12"/>
      <c r="WUC44" s="12"/>
      <c r="WUD44" s="12"/>
      <c r="WUE44" s="12"/>
      <c r="WUF44" s="12"/>
      <c r="WUG44" s="12"/>
      <c r="WUH44" s="12"/>
      <c r="WUI44" s="12"/>
      <c r="WUJ44" s="12"/>
      <c r="WUK44" s="12"/>
      <c r="WUL44" s="12"/>
      <c r="WUM44" s="12"/>
      <c r="WUN44" s="12"/>
      <c r="WUO44" s="12"/>
      <c r="WUP44" s="12"/>
      <c r="WUQ44" s="12"/>
      <c r="WUR44" s="12"/>
      <c r="WUS44" s="12"/>
      <c r="WUT44" s="12"/>
      <c r="WUU44" s="12"/>
      <c r="WUV44" s="12"/>
      <c r="WUW44" s="12"/>
      <c r="WUX44" s="12"/>
      <c r="WUY44" s="12"/>
      <c r="WUZ44" s="12"/>
      <c r="WVA44" s="12"/>
      <c r="WVB44" s="12"/>
      <c r="WVC44" s="12"/>
      <c r="WVD44" s="12"/>
      <c r="WVE44" s="12"/>
      <c r="WVF44" s="12"/>
      <c r="WVG44" s="12"/>
      <c r="WVH44" s="12"/>
      <c r="WVI44" s="12"/>
      <c r="WVJ44" s="12"/>
      <c r="WVK44" s="12"/>
      <c r="WVL44" s="12"/>
      <c r="WVM44" s="12"/>
      <c r="WVN44" s="12"/>
      <c r="WVO44" s="12"/>
      <c r="WVP44" s="12"/>
      <c r="WVQ44" s="12"/>
      <c r="WVR44" s="12"/>
      <c r="WVS44" s="12"/>
      <c r="WVT44" s="12"/>
      <c r="WVU44" s="12"/>
      <c r="WVV44" s="12"/>
      <c r="WVW44" s="12"/>
      <c r="WVX44" s="12"/>
      <c r="WVY44" s="12"/>
      <c r="WVZ44" s="12"/>
      <c r="WWA44" s="12"/>
      <c r="WWB44" s="12"/>
      <c r="WWC44" s="12"/>
      <c r="WWD44" s="12"/>
      <c r="WWE44" s="12"/>
      <c r="WWF44" s="12"/>
      <c r="WWG44" s="12"/>
      <c r="WWH44" s="12"/>
      <c r="WWI44" s="12"/>
      <c r="WWJ44" s="12"/>
      <c r="WWK44" s="12"/>
      <c r="WWL44" s="12"/>
      <c r="WWM44" s="12"/>
      <c r="WWN44" s="12"/>
      <c r="WWO44" s="12"/>
      <c r="WWP44" s="12"/>
      <c r="WWQ44" s="12"/>
      <c r="WWR44" s="12"/>
      <c r="WWS44" s="12"/>
      <c r="WWT44" s="12"/>
      <c r="WWU44" s="12"/>
      <c r="WWV44" s="12"/>
      <c r="WWW44" s="12"/>
      <c r="WWX44" s="12"/>
      <c r="WWY44" s="12"/>
      <c r="WWZ44" s="12"/>
      <c r="WXA44" s="12"/>
      <c r="WXB44" s="12"/>
      <c r="WXC44" s="12"/>
      <c r="WXD44" s="12"/>
      <c r="WXE44" s="12"/>
      <c r="WXF44" s="12"/>
      <c r="WXG44" s="12"/>
      <c r="WXH44" s="12"/>
      <c r="WXI44" s="12"/>
      <c r="WXJ44" s="12"/>
      <c r="WXK44" s="12"/>
      <c r="WXL44" s="12"/>
      <c r="WXM44" s="12"/>
      <c r="WXN44" s="12"/>
      <c r="WXO44" s="12"/>
      <c r="WXP44" s="12"/>
      <c r="WXQ44" s="12"/>
      <c r="WXR44" s="12"/>
      <c r="WXS44" s="12"/>
      <c r="WXT44" s="12"/>
      <c r="WXU44" s="12"/>
      <c r="WXV44" s="12"/>
      <c r="WXW44" s="12"/>
      <c r="WXX44" s="12"/>
      <c r="WXY44" s="12"/>
      <c r="WXZ44" s="12"/>
      <c r="WYA44" s="12"/>
      <c r="WYB44" s="12"/>
      <c r="WYC44" s="12"/>
      <c r="WYD44" s="12"/>
      <c r="WYE44" s="12"/>
      <c r="WYF44" s="12"/>
      <c r="WYG44" s="12"/>
      <c r="WYH44" s="12"/>
      <c r="WYI44" s="12"/>
      <c r="WYJ44" s="12"/>
      <c r="WYK44" s="12"/>
      <c r="WYL44" s="12"/>
      <c r="WYM44" s="12"/>
      <c r="WYN44" s="12"/>
      <c r="WYO44" s="12"/>
      <c r="WYP44" s="12"/>
      <c r="WYQ44" s="12"/>
      <c r="WYR44" s="12"/>
      <c r="WYS44" s="12"/>
      <c r="WYT44" s="12"/>
      <c r="WYU44" s="12"/>
      <c r="WYV44" s="12"/>
      <c r="WYW44" s="12"/>
      <c r="WYX44" s="12"/>
      <c r="WYY44" s="12"/>
      <c r="WYZ44" s="12"/>
      <c r="WZA44" s="12"/>
      <c r="WZB44" s="12"/>
      <c r="WZC44" s="12"/>
      <c r="WZD44" s="12"/>
      <c r="WZE44" s="12"/>
      <c r="WZF44" s="12"/>
      <c r="WZG44" s="12"/>
      <c r="WZH44" s="12"/>
      <c r="WZI44" s="12"/>
      <c r="WZJ44" s="12"/>
      <c r="WZK44" s="12"/>
      <c r="WZL44" s="12"/>
      <c r="WZM44" s="12"/>
      <c r="WZN44" s="12"/>
      <c r="WZO44" s="12"/>
      <c r="WZP44" s="12"/>
      <c r="WZQ44" s="12"/>
      <c r="WZR44" s="12"/>
      <c r="WZS44" s="12"/>
      <c r="WZT44" s="12"/>
      <c r="WZU44" s="12"/>
      <c r="WZV44" s="12"/>
      <c r="WZW44" s="12"/>
      <c r="WZX44" s="12"/>
      <c r="WZY44" s="12"/>
      <c r="WZZ44" s="12"/>
      <c r="XAA44" s="12"/>
      <c r="XAB44" s="12"/>
      <c r="XAC44" s="12"/>
      <c r="XAD44" s="12"/>
      <c r="XAE44" s="12"/>
      <c r="XAF44" s="12"/>
      <c r="XAG44" s="12"/>
      <c r="XAH44" s="12"/>
      <c r="XAI44" s="12"/>
      <c r="XAJ44" s="12"/>
      <c r="XAK44" s="12"/>
      <c r="XAL44" s="12"/>
      <c r="XAM44" s="12"/>
      <c r="XAN44" s="12"/>
      <c r="XAO44" s="12"/>
      <c r="XAP44" s="12"/>
      <c r="XAQ44" s="12"/>
      <c r="XAR44" s="12"/>
      <c r="XAS44" s="12"/>
      <c r="XAT44" s="12"/>
      <c r="XAU44" s="12"/>
      <c r="XAV44" s="12"/>
      <c r="XAW44" s="12"/>
      <c r="XAX44" s="12"/>
      <c r="XAY44" s="12"/>
      <c r="XAZ44" s="12"/>
      <c r="XBA44" s="12"/>
      <c r="XBB44" s="12"/>
      <c r="XBC44" s="12"/>
      <c r="XBD44" s="12"/>
      <c r="XBE44" s="12"/>
      <c r="XBF44" s="12"/>
      <c r="XBG44" s="12"/>
      <c r="XBH44" s="12"/>
      <c r="XBI44" s="12"/>
      <c r="XBJ44" s="12"/>
      <c r="XBK44" s="12"/>
      <c r="XBL44" s="12"/>
      <c r="XBM44" s="12"/>
      <c r="XBN44" s="12"/>
      <c r="XBO44" s="12"/>
      <c r="XBP44" s="12"/>
      <c r="XBQ44" s="12"/>
      <c r="XBR44" s="12"/>
      <c r="XBS44" s="12"/>
      <c r="XBT44" s="12"/>
      <c r="XBU44" s="12"/>
      <c r="XBV44" s="12"/>
      <c r="XBW44" s="12"/>
      <c r="XBX44" s="12"/>
      <c r="XBY44" s="12"/>
      <c r="XBZ44" s="12"/>
      <c r="XCA44" s="12"/>
      <c r="XCB44" s="12"/>
      <c r="XCC44" s="12"/>
      <c r="XCD44" s="12"/>
      <c r="XCE44" s="12"/>
      <c r="XCF44" s="12"/>
      <c r="XCG44" s="12"/>
      <c r="XCH44" s="12"/>
      <c r="XCI44" s="12"/>
      <c r="XCJ44" s="12"/>
      <c r="XCK44" s="12"/>
      <c r="XCL44" s="12"/>
      <c r="XCM44" s="12"/>
      <c r="XCN44" s="12"/>
      <c r="XCO44" s="12"/>
      <c r="XCP44" s="12"/>
      <c r="XCQ44" s="12"/>
      <c r="XCR44" s="12"/>
      <c r="XCS44" s="12"/>
      <c r="XCT44" s="12"/>
      <c r="XCU44" s="12"/>
      <c r="XCV44" s="12"/>
      <c r="XCW44" s="12"/>
      <c r="XCX44" s="12"/>
      <c r="XCY44" s="12"/>
      <c r="XCZ44" s="12"/>
      <c r="XDA44" s="12"/>
      <c r="XDB44" s="12"/>
      <c r="XDC44" s="12"/>
      <c r="XDD44" s="12"/>
      <c r="XDE44" s="12"/>
      <c r="XDF44" s="12"/>
      <c r="XDG44" s="12"/>
      <c r="XDH44" s="12"/>
      <c r="XDI44" s="12"/>
      <c r="XDJ44" s="12"/>
      <c r="XDK44" s="12"/>
      <c r="XDL44" s="12"/>
      <c r="XDM44" s="12"/>
      <c r="XDN44" s="12"/>
      <c r="XDO44" s="12"/>
      <c r="XDP44" s="12"/>
      <c r="XDQ44" s="12"/>
      <c r="XDR44" s="12"/>
      <c r="XDS44" s="12"/>
      <c r="XDT44" s="12"/>
      <c r="XDU44" s="12"/>
      <c r="XDV44" s="12"/>
      <c r="XDW44" s="12"/>
      <c r="XDX44" s="12"/>
      <c r="XDY44" s="12"/>
      <c r="XDZ44" s="12"/>
      <c r="XEA44" s="12"/>
      <c r="XEB44" s="12"/>
      <c r="XEC44" s="12"/>
      <c r="XED44" s="12"/>
      <c r="XEE44" s="12"/>
      <c r="XEF44" s="12"/>
      <c r="XEG44" s="12"/>
      <c r="XEH44" s="12"/>
      <c r="XEI44" s="12"/>
      <c r="XEJ44" s="12"/>
      <c r="XEK44" s="12"/>
      <c r="XEL44" s="12"/>
      <c r="XEM44" s="12"/>
      <c r="XEN44" s="12"/>
      <c r="XEO44" s="12"/>
      <c r="XEP44" s="12"/>
      <c r="XEQ44" s="12"/>
      <c r="XER44" s="12"/>
      <c r="XES44" s="12"/>
      <c r="XET44" s="12"/>
      <c r="XEU44" s="12"/>
      <c r="XEV44" s="12"/>
      <c r="XEW44" s="12"/>
      <c r="XEX44" s="12"/>
    </row>
    <row r="45" spans="2:16378">
      <c r="B45" s="50">
        <v>45048.708333333336</v>
      </c>
      <c r="C45" s="61" t="s">
        <v>15</v>
      </c>
      <c r="D45" s="61" t="s">
        <v>16</v>
      </c>
      <c r="E45" s="62" t="s">
        <v>17</v>
      </c>
      <c r="F45" s="55">
        <v>45048.708333333336</v>
      </c>
      <c r="G45" s="55">
        <v>45049</v>
      </c>
      <c r="H45" s="55">
        <v>45049.229166666664</v>
      </c>
      <c r="I45" s="63" t="s">
        <v>29</v>
      </c>
      <c r="J45" s="64" t="s">
        <v>30</v>
      </c>
      <c r="K45" s="63" t="s">
        <v>31</v>
      </c>
    </row>
    <row r="46" spans="2:16378">
      <c r="B46" s="50">
        <v>45048.708333333336</v>
      </c>
      <c r="C46" s="61" t="s">
        <v>15</v>
      </c>
      <c r="D46" s="61" t="s">
        <v>16</v>
      </c>
      <c r="E46" s="62" t="s">
        <v>17</v>
      </c>
      <c r="F46" s="55">
        <v>45049.291666666664</v>
      </c>
      <c r="G46" s="55">
        <v>45049.416666666664</v>
      </c>
      <c r="H46" s="55">
        <v>45049.604166666664</v>
      </c>
      <c r="I46" s="63" t="s">
        <v>29</v>
      </c>
      <c r="J46" s="64" t="s">
        <v>32</v>
      </c>
      <c r="K46" s="63" t="s">
        <v>33</v>
      </c>
    </row>
    <row r="47" spans="2:16378">
      <c r="B47" s="50">
        <v>45048.708333333336</v>
      </c>
      <c r="C47" s="61" t="s">
        <v>15</v>
      </c>
      <c r="D47" s="61" t="s">
        <v>16</v>
      </c>
      <c r="E47" s="62" t="s">
        <v>17</v>
      </c>
      <c r="F47" s="55">
        <v>45051.916666666664</v>
      </c>
      <c r="G47" s="55">
        <v>45052.4375</v>
      </c>
      <c r="H47" s="55">
        <v>45052.666666666664</v>
      </c>
      <c r="I47" s="63" t="s">
        <v>29</v>
      </c>
      <c r="J47" s="64" t="s">
        <v>30</v>
      </c>
      <c r="K47" s="63" t="s">
        <v>34</v>
      </c>
    </row>
    <row r="48" spans="2:16378">
      <c r="B48" s="50">
        <v>45048.708333333336</v>
      </c>
      <c r="C48" s="61" t="s">
        <v>15</v>
      </c>
      <c r="D48" s="61" t="s">
        <v>16</v>
      </c>
      <c r="E48" s="62" t="s">
        <v>17</v>
      </c>
      <c r="F48" s="55">
        <v>45052.708333333336</v>
      </c>
      <c r="G48" s="55">
        <v>45053.395833333336</v>
      </c>
      <c r="H48" s="55">
        <v>45053.645833333336</v>
      </c>
      <c r="I48" s="63" t="s">
        <v>29</v>
      </c>
      <c r="J48" s="64" t="s">
        <v>30</v>
      </c>
      <c r="K48" s="63" t="s">
        <v>35</v>
      </c>
    </row>
    <row r="49" spans="2:11">
      <c r="B49" s="50">
        <v>45048.708333333336</v>
      </c>
      <c r="C49" s="61" t="s">
        <v>20</v>
      </c>
      <c r="D49" s="61" t="s">
        <v>21</v>
      </c>
      <c r="E49" s="62" t="s">
        <v>17</v>
      </c>
      <c r="F49" s="55">
        <v>45058.708333333336</v>
      </c>
      <c r="G49" s="55">
        <v>45059.104166666664</v>
      </c>
      <c r="H49" s="55">
        <v>45059.666666666664</v>
      </c>
      <c r="I49" s="63" t="s">
        <v>29</v>
      </c>
      <c r="J49" s="64" t="s">
        <v>32</v>
      </c>
      <c r="K49" s="63" t="s">
        <v>36</v>
      </c>
    </row>
    <row r="50" spans="2:11">
      <c r="B50" s="50">
        <v>45048.708333333336</v>
      </c>
      <c r="C50" s="61" t="s">
        <v>15</v>
      </c>
      <c r="D50" s="61" t="s">
        <v>16</v>
      </c>
      <c r="E50" s="62" t="s">
        <v>17</v>
      </c>
      <c r="F50" s="55">
        <v>45058.916666666664</v>
      </c>
      <c r="G50" s="55">
        <v>45059.354166666664</v>
      </c>
      <c r="H50" s="55">
        <v>45059.625</v>
      </c>
      <c r="I50" s="63" t="s">
        <v>29</v>
      </c>
      <c r="J50" s="64" t="s">
        <v>30</v>
      </c>
      <c r="K50" s="63" t="s">
        <v>36</v>
      </c>
    </row>
    <row r="51" spans="2:11">
      <c r="B51" s="50">
        <v>45059.604166666664</v>
      </c>
      <c r="C51" s="61" t="s">
        <v>20</v>
      </c>
      <c r="D51" s="61" t="s">
        <v>21</v>
      </c>
      <c r="E51" s="62" t="s">
        <v>17</v>
      </c>
      <c r="F51" s="55">
        <v>45059.604166666664</v>
      </c>
      <c r="G51" s="55">
        <v>45060.354166666664</v>
      </c>
      <c r="H51" s="55">
        <v>45060.541666666664</v>
      </c>
      <c r="I51" s="63" t="s">
        <v>29</v>
      </c>
      <c r="J51" s="64" t="s">
        <v>30</v>
      </c>
      <c r="K51" s="63" t="s">
        <v>37</v>
      </c>
    </row>
    <row r="52" spans="2:11">
      <c r="B52" s="50">
        <v>45059.604166666664</v>
      </c>
      <c r="C52" s="61" t="s">
        <v>15</v>
      </c>
      <c r="D52" s="61" t="s">
        <v>16</v>
      </c>
      <c r="E52" s="62" t="s">
        <v>17</v>
      </c>
      <c r="F52" s="55">
        <v>45059.875</v>
      </c>
      <c r="G52" s="55">
        <v>45060.041666666664</v>
      </c>
      <c r="H52" s="55">
        <v>45060.625</v>
      </c>
      <c r="I52" s="63" t="s">
        <v>29</v>
      </c>
      <c r="J52" s="64" t="s">
        <v>30</v>
      </c>
      <c r="K52" s="63" t="s">
        <v>37</v>
      </c>
    </row>
    <row r="53" spans="2:11">
      <c r="B53" s="50">
        <v>45059.604166666664</v>
      </c>
      <c r="C53" s="61" t="s">
        <v>15</v>
      </c>
      <c r="D53" s="61" t="s">
        <v>16</v>
      </c>
      <c r="E53" s="62" t="s">
        <v>17</v>
      </c>
      <c r="F53" s="55">
        <v>45060.875</v>
      </c>
      <c r="G53" s="55">
        <v>45061.395833333336</v>
      </c>
      <c r="H53" s="55">
        <v>45061.625</v>
      </c>
      <c r="I53" s="63" t="s">
        <v>29</v>
      </c>
      <c r="J53" s="64" t="s">
        <v>30</v>
      </c>
      <c r="K53" s="63" t="s">
        <v>38</v>
      </c>
    </row>
    <row r="54" spans="2:11">
      <c r="B54" s="50">
        <v>45059.604166666664</v>
      </c>
      <c r="C54" s="61" t="s">
        <v>15</v>
      </c>
      <c r="D54" s="61" t="s">
        <v>16</v>
      </c>
      <c r="E54" s="62" t="s">
        <v>17</v>
      </c>
      <c r="F54" s="55">
        <v>45065.708333333336</v>
      </c>
      <c r="G54" s="55">
        <v>45066.4375</v>
      </c>
      <c r="H54" s="55">
        <v>45066.666666666664</v>
      </c>
      <c r="I54" s="63" t="s">
        <v>29</v>
      </c>
      <c r="J54" s="64" t="s">
        <v>30</v>
      </c>
      <c r="K54" s="63" t="s">
        <v>39</v>
      </c>
    </row>
    <row r="55" spans="2:11">
      <c r="B55" s="50">
        <v>45066.625</v>
      </c>
      <c r="C55" s="61" t="s">
        <v>15</v>
      </c>
      <c r="D55" s="61" t="s">
        <v>16</v>
      </c>
      <c r="E55" s="62" t="s">
        <v>17</v>
      </c>
      <c r="F55" s="55">
        <v>45066.625</v>
      </c>
      <c r="G55" s="55">
        <v>45067.020833333336</v>
      </c>
      <c r="H55" s="55">
        <v>45067.5625</v>
      </c>
      <c r="I55" s="63" t="s">
        <v>29</v>
      </c>
      <c r="J55" s="64" t="s">
        <v>30</v>
      </c>
      <c r="K55" s="63" t="s">
        <v>40</v>
      </c>
    </row>
    <row r="56" spans="2:11">
      <c r="B56" s="50">
        <v>45066.625</v>
      </c>
      <c r="C56" s="61" t="s">
        <v>20</v>
      </c>
      <c r="D56" s="61" t="s">
        <v>21</v>
      </c>
      <c r="E56" s="62" t="s">
        <v>17</v>
      </c>
      <c r="F56" s="55">
        <v>45069.666666666664</v>
      </c>
      <c r="G56" s="55">
        <v>45070.4375</v>
      </c>
      <c r="H56" s="55">
        <v>45071.604166666664</v>
      </c>
      <c r="I56" s="63" t="s">
        <v>29</v>
      </c>
      <c r="J56" s="64" t="s">
        <v>32</v>
      </c>
      <c r="K56" s="63" t="s">
        <v>41</v>
      </c>
    </row>
    <row r="57" spans="2:11">
      <c r="B57" s="50">
        <v>45066.625</v>
      </c>
      <c r="C57" s="61" t="s">
        <v>15</v>
      </c>
      <c r="D57" s="61" t="s">
        <v>16</v>
      </c>
      <c r="E57" s="62" t="s">
        <v>17</v>
      </c>
      <c r="F57" s="55">
        <v>45069.875</v>
      </c>
      <c r="G57" s="55">
        <v>45070.4375</v>
      </c>
      <c r="H57" s="55">
        <v>45070.427083333336</v>
      </c>
      <c r="I57" s="63" t="s">
        <v>29</v>
      </c>
      <c r="J57" s="64" t="s">
        <v>30</v>
      </c>
      <c r="K57" s="63" t="s">
        <v>41</v>
      </c>
    </row>
    <row r="58" spans="2:11">
      <c r="B58" s="50">
        <v>45066.625</v>
      </c>
      <c r="C58" s="61" t="s">
        <v>42</v>
      </c>
      <c r="D58" s="61" t="s">
        <v>43</v>
      </c>
      <c r="E58" s="62" t="s">
        <v>17</v>
      </c>
      <c r="F58" s="55">
        <v>45070.430555555555</v>
      </c>
      <c r="G58" s="55">
        <v>45070.451388888891</v>
      </c>
      <c r="H58" s="55">
        <v>45070.708333333336</v>
      </c>
      <c r="I58" s="63" t="s">
        <v>29</v>
      </c>
      <c r="J58" s="64" t="s">
        <v>30</v>
      </c>
      <c r="K58" s="63" t="s">
        <v>44</v>
      </c>
    </row>
    <row r="59" spans="2:11">
      <c r="B59" s="50">
        <v>45066.625</v>
      </c>
      <c r="C59" s="61" t="s">
        <v>15</v>
      </c>
      <c r="D59" s="61" t="s">
        <v>16</v>
      </c>
      <c r="E59" s="62" t="s">
        <v>17</v>
      </c>
      <c r="F59" s="55">
        <v>45070.6875</v>
      </c>
      <c r="G59" s="55">
        <v>45070.708333333336</v>
      </c>
      <c r="H59" s="55">
        <v>45071.604166666664</v>
      </c>
      <c r="I59" s="63" t="s">
        <v>29</v>
      </c>
      <c r="J59" s="64" t="s">
        <v>30</v>
      </c>
      <c r="K59" s="63" t="s">
        <v>41</v>
      </c>
    </row>
    <row r="60" spans="2:11">
      <c r="B60" s="50">
        <v>45066.625</v>
      </c>
      <c r="C60" s="61" t="s">
        <v>20</v>
      </c>
      <c r="D60" s="61" t="s">
        <v>21</v>
      </c>
      <c r="E60" s="62" t="s">
        <v>17</v>
      </c>
      <c r="F60" s="55">
        <v>45072.708333333336</v>
      </c>
      <c r="G60" s="55">
        <v>45073.125</v>
      </c>
      <c r="H60" s="55">
        <v>45072.75</v>
      </c>
      <c r="I60" s="63" t="s">
        <v>29</v>
      </c>
      <c r="J60" s="64" t="s">
        <v>32</v>
      </c>
      <c r="K60" s="63" t="s">
        <v>45</v>
      </c>
    </row>
    <row r="61" spans="2:11">
      <c r="B61" s="50">
        <v>45066.625</v>
      </c>
      <c r="C61" s="61" t="s">
        <v>15</v>
      </c>
      <c r="D61" s="61" t="s">
        <v>16</v>
      </c>
      <c r="E61" s="62" t="s">
        <v>17</v>
      </c>
      <c r="F61" s="55">
        <v>45072.708333333336</v>
      </c>
      <c r="G61" s="55">
        <v>45073.354166666664</v>
      </c>
      <c r="H61" s="55">
        <v>45073.694444444445</v>
      </c>
      <c r="I61" s="63" t="s">
        <v>29</v>
      </c>
      <c r="J61" s="64" t="s">
        <v>30</v>
      </c>
      <c r="K61" s="63" t="s">
        <v>45</v>
      </c>
    </row>
    <row r="62" spans="2:11">
      <c r="B62" s="50">
        <v>45066.625</v>
      </c>
      <c r="C62" s="61" t="s">
        <v>46</v>
      </c>
      <c r="D62" s="61" t="s">
        <v>47</v>
      </c>
      <c r="E62" s="62" t="s">
        <v>17</v>
      </c>
      <c r="F62" s="55">
        <v>45072.805555555555</v>
      </c>
      <c r="G62" s="55">
        <v>45073.375</v>
      </c>
      <c r="H62" s="55">
        <v>45073.666666666664</v>
      </c>
      <c r="I62" s="63" t="s">
        <v>29</v>
      </c>
      <c r="J62" s="64" t="s">
        <v>32</v>
      </c>
      <c r="K62" s="63" t="s">
        <v>45</v>
      </c>
    </row>
  </sheetData>
  <sheetProtection algorithmName="SHA-512" hashValue="2eaJdw8DUmMCb7jCjnRBybB2UHCEjmdzMCLRi0Vwv/bk+y7VS93rRLiQhUEOhA5VzB6ehjrft6x5Kj8W9kOwUg==" saltValue="Df+bO+75n60dr+/rS/Q5QQ==" spinCount="100000" sheet="1" objects="1" scenarios="1"/>
  <mergeCells count="5">
    <mergeCell ref="B36:K36"/>
    <mergeCell ref="B43:K43"/>
    <mergeCell ref="I37:J37"/>
    <mergeCell ref="I38:J38"/>
    <mergeCell ref="I39:J39"/>
  </mergeCells>
  <phoneticPr fontId="1" type="noConversion"/>
  <conditionalFormatting sqref="I45:I62 K45:K62">
    <cfRule type="containsText" dxfId="12" priority="2" operator="containsText" text="Reliability">
      <formula>NOT(ISERROR(SEARCH("Reliability",I45)))</formula>
    </cfRule>
  </conditionalFormatting>
  <pageMargins left="0.7" right="0.7" top="0.75" bottom="0.75" header="0.3" footer="0.3"/>
  <pageSetup paperSize="9" orientation="landscape" r:id="rId1"/>
  <ignoredErrors>
    <ignoredError sqref="C45:K62" calculatedColumn="1"/>
  </ignoredErrors>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4F7F8-4277-43DB-8A6F-454A7DB08264}">
  <sheetPr>
    <tabColor theme="5"/>
  </sheetPr>
  <dimension ref="B2:M35"/>
  <sheetViews>
    <sheetView showGridLines="0" tabSelected="1" zoomScale="90" zoomScaleNormal="90" workbookViewId="0">
      <selection activeCell="O26" sqref="O26"/>
    </sheetView>
  </sheetViews>
  <sheetFormatPr defaultRowHeight="14.25"/>
  <cols>
    <col min="1" max="1" width="4.25" customWidth="1"/>
    <col min="2" max="2" width="6.875" customWidth="1"/>
    <col min="3" max="3" width="7.75" customWidth="1"/>
    <col min="4" max="4" width="14.375" customWidth="1"/>
    <col min="5" max="5" width="22.625" customWidth="1"/>
    <col min="6" max="6" width="23" customWidth="1"/>
    <col min="7" max="7" width="15.625" customWidth="1"/>
    <col min="8" max="8" width="15" customWidth="1"/>
    <col min="9" max="9" width="15.125" customWidth="1"/>
    <col min="10" max="10" width="17.5" customWidth="1"/>
    <col min="11" max="11" width="14.375" customWidth="1"/>
    <col min="12" max="12" width="1.5" customWidth="1"/>
    <col min="13" max="13" width="14.125" customWidth="1"/>
    <col min="14" max="14" width="10.125" bestFit="1" customWidth="1"/>
  </cols>
  <sheetData>
    <row r="2" spans="2:13" ht="24" thickBot="1">
      <c r="B2" s="25" t="s">
        <v>48</v>
      </c>
      <c r="C2" s="22"/>
      <c r="D2" s="22"/>
      <c r="E2" s="23"/>
      <c r="F2" s="22"/>
      <c r="G2" s="22"/>
      <c r="H2" s="22"/>
      <c r="I2" s="22"/>
      <c r="J2" s="22"/>
      <c r="K2" s="22"/>
      <c r="L2" s="22"/>
      <c r="M2" s="22"/>
    </row>
    <row r="9" spans="2:13">
      <c r="D9" s="19"/>
      <c r="E9" s="19"/>
      <c r="F9" s="1"/>
      <c r="G9" s="2"/>
    </row>
    <row r="10" spans="2:13">
      <c r="D10" s="19"/>
      <c r="E10" s="19"/>
      <c r="F10" s="1"/>
      <c r="G10" s="2"/>
    </row>
    <row r="11" spans="2:13">
      <c r="D11" s="19"/>
      <c r="E11" s="19"/>
      <c r="F11" s="1"/>
      <c r="G11" s="2"/>
    </row>
    <row r="12" spans="2:13">
      <c r="D12" s="19"/>
      <c r="E12" s="19"/>
      <c r="F12" s="1"/>
      <c r="G12" s="2"/>
    </row>
    <row r="13" spans="2:13">
      <c r="D13" s="19"/>
      <c r="E13" s="19"/>
      <c r="F13" s="1"/>
      <c r="G13" s="2"/>
    </row>
    <row r="15" spans="2:13" ht="24.6" customHeight="1"/>
    <row r="20" spans="2:13">
      <c r="B20" s="24"/>
      <c r="C20" s="24"/>
      <c r="D20" s="24"/>
    </row>
    <row r="21" spans="2:13">
      <c r="B21" s="40" t="s">
        <v>49</v>
      </c>
    </row>
    <row r="22" spans="2:13">
      <c r="B22" s="33" t="s">
        <v>50</v>
      </c>
    </row>
    <row r="23" spans="2:13">
      <c r="B23" s="40" t="s">
        <v>51</v>
      </c>
    </row>
    <row r="24" spans="2:13">
      <c r="B24" s="40" t="s">
        <v>52</v>
      </c>
    </row>
    <row r="25" spans="2:13">
      <c r="B25" s="40" t="s">
        <v>53</v>
      </c>
    </row>
    <row r="27" spans="2:13">
      <c r="B27" s="47" t="s">
        <v>54</v>
      </c>
      <c r="G27" s="39"/>
      <c r="M27" s="39"/>
    </row>
    <row r="28" spans="2:13">
      <c r="B28" s="47"/>
    </row>
    <row r="29" spans="2:13" ht="38.25">
      <c r="B29" s="27" t="s">
        <v>55</v>
      </c>
      <c r="C29" s="27" t="s">
        <v>56</v>
      </c>
      <c r="D29" s="27" t="s">
        <v>6</v>
      </c>
      <c r="E29" s="27" t="s">
        <v>57</v>
      </c>
      <c r="F29" s="27" t="s">
        <v>58</v>
      </c>
      <c r="G29" s="27" t="s">
        <v>59</v>
      </c>
      <c r="H29" s="45" t="s">
        <v>60</v>
      </c>
      <c r="I29" s="45" t="s">
        <v>61</v>
      </c>
      <c r="J29" s="45" t="s">
        <v>62</v>
      </c>
      <c r="K29" s="45" t="s">
        <v>63</v>
      </c>
      <c r="M29" s="45" t="s">
        <v>64</v>
      </c>
    </row>
    <row r="30" spans="2:13">
      <c r="B30" s="28">
        <v>2023</v>
      </c>
      <c r="C30" s="28">
        <v>5</v>
      </c>
      <c r="D30" s="29">
        <v>45048.708333333336</v>
      </c>
      <c r="E30" s="30">
        <v>45048.708333333336</v>
      </c>
      <c r="F30" s="30">
        <v>45059.666666666664</v>
      </c>
      <c r="G30" s="31">
        <v>1330.2166319999999</v>
      </c>
      <c r="H30" s="32">
        <v>464827.45177031006</v>
      </c>
      <c r="I30" s="32">
        <v>81027.534122550016</v>
      </c>
      <c r="J30" s="32">
        <v>211941.97732053971</v>
      </c>
      <c r="K30" s="32">
        <v>2411.7647058823532</v>
      </c>
      <c r="M30" s="46">
        <v>598153.65967418218</v>
      </c>
    </row>
    <row r="31" spans="2:13">
      <c r="B31" s="28">
        <v>2023</v>
      </c>
      <c r="C31" s="28">
        <v>5</v>
      </c>
      <c r="D31" s="29">
        <v>45059.604166666664</v>
      </c>
      <c r="E31" s="30">
        <v>45059.604166666664</v>
      </c>
      <c r="F31" s="30">
        <v>45066.666666666664</v>
      </c>
      <c r="G31" s="31">
        <v>902.69653879999998</v>
      </c>
      <c r="H31" s="32">
        <v>314867.89733096003</v>
      </c>
      <c r="I31" s="32">
        <v>58157.073893910012</v>
      </c>
      <c r="J31" s="32">
        <v>199747.23329465307</v>
      </c>
      <c r="K31" s="32">
        <v>1808.8235294117649</v>
      </c>
      <c r="M31" s="46">
        <v>458266.88026111486</v>
      </c>
    </row>
    <row r="32" spans="2:13">
      <c r="B32" s="28">
        <v>2023</v>
      </c>
      <c r="C32" s="28">
        <v>5</v>
      </c>
      <c r="D32" s="29">
        <v>45066.625</v>
      </c>
      <c r="E32" s="30">
        <v>45066.625</v>
      </c>
      <c r="F32" s="30">
        <v>45073.694444444445</v>
      </c>
      <c r="G32" s="31">
        <v>3938.3134580000005</v>
      </c>
      <c r="H32" s="32">
        <v>1370543.9447812447</v>
      </c>
      <c r="I32" s="32">
        <v>94676.290284460003</v>
      </c>
      <c r="J32" s="32">
        <v>301972.74980563496</v>
      </c>
      <c r="K32" s="32">
        <v>1708.3333333333335</v>
      </c>
      <c r="M32" s="46">
        <v>1579548.7376357534</v>
      </c>
    </row>
    <row r="34" spans="7:13">
      <c r="G34" s="39"/>
      <c r="M34" s="39"/>
    </row>
    <row r="35" spans="7:13">
      <c r="G35" s="39"/>
    </row>
  </sheetData>
  <phoneticPr fontId="1" type="noConversion"/>
  <hyperlinks>
    <hyperlink ref="B22" r:id="rId1" display="https://aemo.com.au/en/energy-systems/electricity/national-electricity-market-nem/data-nem/settlements-data/direction-compensation-recovery" xr:uid="{7E808EF1-8994-45F2-9D48-A7DB790B7498}"/>
  </hyperlinks>
  <pageMargins left="0.70866141732283472" right="0.70866141732283472" top="0.74803149606299213" bottom="0.74803149606299213" header="0.31496062992125984" footer="0.31496062992125984"/>
  <pageSetup paperSize="9" orientation="landscape" r:id="rId2"/>
  <headerFooter>
    <oddFooter>&amp;L&amp;10Copyright: © 2023 Australian Energy Market Operator Limited.  
The material in this publication may be used in accordance with the copyright permissions on AEMO’s website. </odd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31FE4-288E-4286-B5A4-43E986F45F6A}">
  <sheetPr>
    <tabColor theme="5"/>
  </sheetPr>
  <dimension ref="B2:J49"/>
  <sheetViews>
    <sheetView showGridLines="0" view="pageLayout" zoomScale="90" zoomScaleNormal="90" zoomScalePageLayoutView="90" workbookViewId="0">
      <selection activeCell="D17" sqref="D17"/>
    </sheetView>
  </sheetViews>
  <sheetFormatPr defaultRowHeight="14.25"/>
  <cols>
    <col min="1" max="1" width="4.25" customWidth="1"/>
  </cols>
  <sheetData>
    <row r="2" spans="2:10" ht="23.25" thickBot="1">
      <c r="B2" s="66" t="s">
        <v>65</v>
      </c>
      <c r="C2" s="66"/>
      <c r="D2" s="66"/>
      <c r="E2" s="66"/>
      <c r="F2" s="66"/>
      <c r="G2" s="66"/>
      <c r="H2" s="66"/>
      <c r="I2" s="66"/>
      <c r="J2" s="66"/>
    </row>
    <row r="48" spans="2:5">
      <c r="B48" s="24"/>
      <c r="C48" s="24"/>
      <c r="D48" s="24"/>
      <c r="E48" s="24"/>
    </row>
    <row r="49" spans="2:10" ht="33.6" customHeight="1">
      <c r="B49" s="71" t="s">
        <v>66</v>
      </c>
      <c r="C49" s="71"/>
      <c r="D49" s="71"/>
      <c r="E49" s="71"/>
      <c r="F49" s="71"/>
      <c r="G49" s="71"/>
      <c r="H49" s="71"/>
      <c r="I49" s="71"/>
      <c r="J49" s="71"/>
    </row>
  </sheetData>
  <sheetProtection algorithmName="SHA-512" hashValue="qu619wfq9092ipuLVEHZ+tWWEeW0lSeamU+lBuPDiEOePQRTmWfI5Htnw6yQbtaioMDjWqEh6uQEDvYGO+fO5w==" saltValue="LsG4B7jMz27+guZ7G5ljHg==" spinCount="100000" sheet="1" objects="1" scenarios="1"/>
  <mergeCells count="2">
    <mergeCell ref="B2:J2"/>
    <mergeCell ref="B49:J49"/>
  </mergeCells>
  <hyperlinks>
    <hyperlink ref="B49" r:id="rId1" display="https://aemo.com.au/en/energy-systems/electricity/national-electricity-market-nem/data-nem/settlements-data/direction-compensation-recovery" xr:uid="{94C53763-733F-4DDC-9735-8585C7B0D614}"/>
    <hyperlink ref="B49:J49" r:id="rId2" display="1 AEMO. Power system operating procedure SO_OP 3707, “Procedures For Issue Of Directions And Clause 4.8.9 Instructions”, 06 September 2019, available at  https://aemo.com.au/-/media/files/electricity/nem/security_and_reliability/power_system_ops/procedures/so_op_3707-procedures-for-issue-of-directions-and-clause-4-8-9-instructions.pdf?la=en ." xr:uid="{44B38185-6F1D-4A73-A0EA-41E19B34745F}"/>
  </hyperlinks>
  <pageMargins left="0.25" right="0.25" top="0.75" bottom="0.75" header="0.3" footer="0.3"/>
  <pageSetup paperSize="9" orientation="portrait" r:id="rId3"/>
  <headerFooter>
    <oddFooter>&amp;L&amp;10Copyright: © 2023 Australian Energy Market Operator Limited.  
The material in this publication may be used in accordance with the copyright permissions on AEMO’s website. </oddFooter>
  </headerFooter>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72F1-9BFA-4E08-8140-1E55967C9981}">
  <sheetPr>
    <tabColor theme="5"/>
  </sheetPr>
  <dimension ref="B2:M7405"/>
  <sheetViews>
    <sheetView showGridLines="0" zoomScale="90" zoomScaleNormal="90" workbookViewId="0">
      <pane ySplit="5" topLeftCell="A6" activePane="bottomLeft" state="frozen"/>
      <selection pane="bottomLeft" activeCell="D17" sqref="D17"/>
      <selection activeCell="D17" sqref="D17"/>
    </sheetView>
  </sheetViews>
  <sheetFormatPr defaultRowHeight="14.25"/>
  <cols>
    <col min="1" max="1" width="4.25" customWidth="1"/>
    <col min="2" max="3" width="20.25" customWidth="1"/>
    <col min="4" max="4" width="17.75" customWidth="1"/>
    <col min="5" max="5" width="16.25" bestFit="1" customWidth="1"/>
    <col min="6" max="6" width="13.75" bestFit="1" customWidth="1"/>
    <col min="7" max="10" width="9.625" customWidth="1"/>
    <col min="12" max="12" width="15.5" bestFit="1" customWidth="1"/>
    <col min="13" max="13" width="32" bestFit="1" customWidth="1"/>
  </cols>
  <sheetData>
    <row r="2" spans="2:13" ht="23.25" thickBot="1">
      <c r="B2" s="66" t="s">
        <v>67</v>
      </c>
      <c r="C2" s="66"/>
      <c r="D2" s="66"/>
      <c r="E2" s="66"/>
      <c r="F2" s="66"/>
      <c r="G2" s="66"/>
      <c r="H2" s="66"/>
      <c r="I2" s="66"/>
      <c r="J2" s="66"/>
    </row>
    <row r="3" spans="2:13">
      <c r="F3" s="21"/>
    </row>
    <row r="4" spans="2:13" ht="15.75" thickBot="1">
      <c r="B4" s="37" t="s">
        <v>68</v>
      </c>
      <c r="C4" s="37" t="s">
        <v>69</v>
      </c>
      <c r="F4" s="72" t="s">
        <v>70</v>
      </c>
      <c r="G4" s="72"/>
      <c r="H4" s="72"/>
      <c r="I4" s="72"/>
      <c r="J4" s="72"/>
    </row>
    <row r="5" spans="2:13" ht="15" thickBot="1">
      <c r="B5" s="38">
        <f>DATE(YEAR(MIN('Directions cost &amp; directed MWh'!E:E)),MONTH(MIN('Directions cost &amp; directed MWh'!E:E)),DAY(MIN('Directions cost &amp; directed MWh'!E:E)))</f>
        <v>45048</v>
      </c>
      <c r="C5" s="38">
        <f>DATE(YEAR(MAX('Directions cost &amp; directed MWh'!F:F)),MONTH(MAX('Directions cost &amp; directed MWh'!F:F)),DAY(MAX('Directions cost &amp; directed MWh'!F:F)))</f>
        <v>45073</v>
      </c>
      <c r="E5" s="35" t="s">
        <v>71</v>
      </c>
      <c r="F5" s="36" t="s">
        <v>17</v>
      </c>
      <c r="G5" s="36" t="s">
        <v>72</v>
      </c>
      <c r="H5" s="36" t="s">
        <v>73</v>
      </c>
      <c r="I5" s="36" t="s">
        <v>74</v>
      </c>
      <c r="J5" s="36" t="s">
        <v>75</v>
      </c>
    </row>
    <row r="6" spans="2:13">
      <c r="E6" s="49">
        <v>45048.708333332674</v>
      </c>
      <c r="F6" s="56">
        <v>5.6723431790643728</v>
      </c>
      <c r="G6" s="48"/>
      <c r="H6" s="48"/>
      <c r="I6" s="48"/>
      <c r="J6" s="48"/>
      <c r="L6" s="65"/>
    </row>
    <row r="7" spans="2:13">
      <c r="E7" s="49">
        <v>45048.711805554893</v>
      </c>
      <c r="F7" s="56">
        <v>5.6723431790643728</v>
      </c>
      <c r="G7" s="48"/>
      <c r="H7" s="48"/>
      <c r="I7" s="48"/>
      <c r="J7" s="48"/>
      <c r="L7" s="65"/>
      <c r="M7" s="42"/>
    </row>
    <row r="8" spans="2:13">
      <c r="E8" s="49">
        <v>45048.715277777112</v>
      </c>
      <c r="F8" s="56">
        <v>5.6723431790643728</v>
      </c>
      <c r="G8" s="48"/>
      <c r="H8" s="48"/>
      <c r="I8" s="48"/>
      <c r="J8" s="48"/>
      <c r="L8" s="65"/>
      <c r="M8" s="42"/>
    </row>
    <row r="9" spans="2:13">
      <c r="E9" s="49">
        <v>45048.718749999331</v>
      </c>
      <c r="F9" s="56">
        <v>5.6723431790643728</v>
      </c>
      <c r="G9" s="48"/>
      <c r="H9" s="48"/>
      <c r="I9" s="48"/>
      <c r="J9" s="48"/>
      <c r="L9" s="65"/>
      <c r="M9" s="42"/>
    </row>
    <row r="10" spans="2:13">
      <c r="E10" s="49">
        <v>45048.72222222155</v>
      </c>
      <c r="F10" s="56">
        <v>5.6723431790643728</v>
      </c>
      <c r="G10" s="48"/>
      <c r="H10" s="48"/>
      <c r="I10" s="48"/>
      <c r="J10" s="48"/>
      <c r="L10" s="65"/>
      <c r="M10" s="42"/>
    </row>
    <row r="11" spans="2:13">
      <c r="E11" s="49">
        <v>45048.725694443769</v>
      </c>
      <c r="F11" s="56">
        <v>5.6723431790643728</v>
      </c>
      <c r="G11" s="48"/>
      <c r="H11" s="48"/>
      <c r="I11" s="48"/>
      <c r="J11" s="48"/>
      <c r="L11" s="65"/>
      <c r="M11" s="42"/>
    </row>
    <row r="12" spans="2:13">
      <c r="E12" s="49">
        <v>45048.729166665988</v>
      </c>
      <c r="F12" s="56">
        <v>5.6723431790643728</v>
      </c>
      <c r="G12" s="48"/>
      <c r="H12" s="48"/>
      <c r="I12" s="48"/>
      <c r="J12" s="48"/>
      <c r="L12" s="65"/>
      <c r="M12" s="42"/>
    </row>
    <row r="13" spans="2:13">
      <c r="E13" s="49">
        <v>45048.732638888207</v>
      </c>
      <c r="F13" s="56">
        <v>5.6723431790643728</v>
      </c>
      <c r="G13" s="48"/>
      <c r="H13" s="48"/>
      <c r="I13" s="48"/>
      <c r="J13" s="48"/>
      <c r="L13" s="65"/>
      <c r="M13" s="42"/>
    </row>
    <row r="14" spans="2:13">
      <c r="E14" s="49">
        <v>45048.736111110426</v>
      </c>
      <c r="F14" s="56">
        <v>5.6723431790643728</v>
      </c>
      <c r="G14" s="48"/>
      <c r="H14" s="48"/>
      <c r="I14" s="48"/>
      <c r="J14" s="48"/>
      <c r="L14" s="65"/>
      <c r="M14" s="42"/>
    </row>
    <row r="15" spans="2:13">
      <c r="E15" s="49">
        <v>45048.739583332645</v>
      </c>
      <c r="F15" s="56">
        <v>5.6723431790643728</v>
      </c>
      <c r="G15" s="48"/>
      <c r="H15" s="48"/>
      <c r="I15" s="48"/>
      <c r="J15" s="48"/>
      <c r="L15" s="65"/>
      <c r="M15" s="42"/>
    </row>
    <row r="16" spans="2:13">
      <c r="E16" s="49">
        <v>45048.743055554864</v>
      </c>
      <c r="F16" s="56">
        <v>5.6723431790643728</v>
      </c>
      <c r="G16" s="48"/>
      <c r="H16" s="48"/>
      <c r="I16" s="48"/>
      <c r="J16" s="48"/>
      <c r="L16" s="65"/>
      <c r="M16" s="42"/>
    </row>
    <row r="17" spans="5:13">
      <c r="E17" s="49">
        <v>45048.746527777083</v>
      </c>
      <c r="F17" s="56">
        <v>5.6723431790643728</v>
      </c>
      <c r="G17" s="48"/>
      <c r="H17" s="48"/>
      <c r="I17" s="48"/>
      <c r="J17" s="48"/>
      <c r="L17" s="65"/>
      <c r="M17" s="42"/>
    </row>
    <row r="18" spans="5:13">
      <c r="E18" s="49">
        <v>45048.749999999302</v>
      </c>
      <c r="F18" s="56">
        <v>5.6723431790643728</v>
      </c>
      <c r="G18" s="48"/>
      <c r="H18" s="48"/>
      <c r="I18" s="48"/>
      <c r="J18" s="48"/>
      <c r="L18" s="65"/>
      <c r="M18" s="42"/>
    </row>
    <row r="19" spans="5:13">
      <c r="E19" s="49">
        <v>45048.75347222152</v>
      </c>
      <c r="F19" s="56">
        <v>5.6723431790643728</v>
      </c>
      <c r="G19" s="48"/>
      <c r="H19" s="48"/>
      <c r="I19" s="48"/>
      <c r="J19" s="48"/>
      <c r="L19" s="65"/>
      <c r="M19" s="42"/>
    </row>
    <row r="20" spans="5:13">
      <c r="E20" s="49">
        <v>45048.756944443739</v>
      </c>
      <c r="F20" s="56">
        <v>5.6723431790643728</v>
      </c>
      <c r="G20" s="48"/>
      <c r="H20" s="48"/>
      <c r="I20" s="48"/>
      <c r="J20" s="48"/>
      <c r="L20" s="65"/>
      <c r="M20" s="42"/>
    </row>
    <row r="21" spans="5:13">
      <c r="E21" s="49">
        <v>45048.760416665958</v>
      </c>
      <c r="F21" s="56">
        <v>5.6723431790643728</v>
      </c>
      <c r="G21" s="48"/>
      <c r="H21" s="48"/>
      <c r="I21" s="48"/>
      <c r="J21" s="48"/>
      <c r="L21" s="65"/>
      <c r="M21" s="42"/>
    </row>
    <row r="22" spans="5:13">
      <c r="E22" s="49">
        <v>45048.763888888177</v>
      </c>
      <c r="F22" s="56">
        <v>5.6723431790643728</v>
      </c>
      <c r="G22" s="48"/>
      <c r="H22" s="48"/>
      <c r="I22" s="48"/>
      <c r="J22" s="48"/>
      <c r="L22" s="65"/>
      <c r="M22" s="42"/>
    </row>
    <row r="23" spans="5:13">
      <c r="E23" s="49">
        <v>45048.767361110396</v>
      </c>
      <c r="F23" s="56">
        <v>5.6723431790643728</v>
      </c>
      <c r="G23" s="48"/>
      <c r="H23" s="48"/>
      <c r="I23" s="48"/>
      <c r="J23" s="48"/>
      <c r="L23" s="65"/>
      <c r="M23" s="42"/>
    </row>
    <row r="24" spans="5:13">
      <c r="E24" s="49">
        <v>45048.770833332615</v>
      </c>
      <c r="F24" s="56">
        <v>5.6723431790643728</v>
      </c>
      <c r="G24" s="48"/>
      <c r="H24" s="48"/>
      <c r="I24" s="48"/>
      <c r="J24" s="48"/>
      <c r="L24" s="65"/>
      <c r="M24" s="42"/>
    </row>
    <row r="25" spans="5:13">
      <c r="E25" s="49">
        <v>45048.774305554834</v>
      </c>
      <c r="F25" s="56">
        <v>5.6723431790643728</v>
      </c>
      <c r="G25" s="48"/>
      <c r="H25" s="48"/>
      <c r="I25" s="48"/>
      <c r="J25" s="48"/>
      <c r="L25" s="65"/>
      <c r="M25" s="42"/>
    </row>
    <row r="26" spans="5:13">
      <c r="E26" s="49">
        <v>45048.777777777053</v>
      </c>
      <c r="F26" s="56">
        <v>5.6723431790643728</v>
      </c>
      <c r="G26" s="48"/>
      <c r="H26" s="48"/>
      <c r="I26" s="48"/>
      <c r="J26" s="48"/>
      <c r="L26" s="65"/>
      <c r="M26" s="42"/>
    </row>
    <row r="27" spans="5:13">
      <c r="E27" s="49">
        <v>45048.781249999272</v>
      </c>
      <c r="F27" s="56">
        <v>5.6723431790643728</v>
      </c>
      <c r="G27" s="48"/>
      <c r="H27" s="48"/>
      <c r="I27" s="48"/>
      <c r="J27" s="48"/>
      <c r="L27" s="65"/>
      <c r="M27" s="42"/>
    </row>
    <row r="28" spans="5:13">
      <c r="E28" s="49">
        <v>45048.784722221491</v>
      </c>
      <c r="F28" s="56">
        <v>5.6723431790643728</v>
      </c>
      <c r="G28" s="48"/>
      <c r="H28" s="48"/>
      <c r="I28" s="48"/>
      <c r="J28" s="48"/>
      <c r="L28" s="65"/>
      <c r="M28" s="42"/>
    </row>
    <row r="29" spans="5:13">
      <c r="E29" s="49">
        <v>45048.78819444371</v>
      </c>
      <c r="F29" s="56">
        <v>5.6723431790643728</v>
      </c>
      <c r="G29" s="48"/>
      <c r="H29" s="48"/>
      <c r="I29" s="48"/>
      <c r="J29" s="48"/>
      <c r="L29" s="65"/>
      <c r="M29" s="42"/>
    </row>
    <row r="30" spans="5:13">
      <c r="E30" s="49">
        <v>45048.791666665929</v>
      </c>
      <c r="F30" s="56">
        <v>5.6723431790643728</v>
      </c>
      <c r="G30" s="48"/>
      <c r="H30" s="48"/>
      <c r="I30" s="48"/>
      <c r="J30" s="48"/>
      <c r="L30" s="65"/>
      <c r="M30" s="42"/>
    </row>
    <row r="31" spans="5:13">
      <c r="E31" s="49">
        <v>45048.795138888148</v>
      </c>
      <c r="F31" s="56">
        <v>5.6723431790643728</v>
      </c>
      <c r="G31" s="48"/>
      <c r="H31" s="48"/>
      <c r="I31" s="48"/>
      <c r="J31" s="48"/>
      <c r="L31" s="65"/>
      <c r="M31" s="42"/>
    </row>
    <row r="32" spans="5:13">
      <c r="E32" s="49">
        <v>45048.798611110367</v>
      </c>
      <c r="F32" s="56">
        <v>5.6723431790643728</v>
      </c>
      <c r="G32" s="48"/>
      <c r="H32" s="48"/>
      <c r="I32" s="48"/>
      <c r="J32" s="48"/>
      <c r="L32" s="65"/>
      <c r="M32" s="42"/>
    </row>
    <row r="33" spans="5:13">
      <c r="E33" s="49">
        <v>45048.802083332586</v>
      </c>
      <c r="F33" s="56">
        <v>5.6723431790643728</v>
      </c>
      <c r="G33" s="48"/>
      <c r="H33" s="48"/>
      <c r="I33" s="48"/>
      <c r="J33" s="48"/>
      <c r="L33" s="65"/>
      <c r="M33" s="42"/>
    </row>
    <row r="34" spans="5:13">
      <c r="E34" s="49">
        <v>45048.805555554805</v>
      </c>
      <c r="F34" s="56">
        <v>5.6723431790643728</v>
      </c>
      <c r="G34" s="48"/>
      <c r="H34" s="48"/>
      <c r="I34" s="48"/>
      <c r="J34" s="48"/>
      <c r="L34" s="65"/>
      <c r="M34" s="42"/>
    </row>
    <row r="35" spans="5:13">
      <c r="E35" s="49">
        <v>45048.809027777024</v>
      </c>
      <c r="F35" s="56">
        <v>5.6723431790643728</v>
      </c>
      <c r="G35" s="48"/>
      <c r="H35" s="48"/>
      <c r="I35" s="48"/>
      <c r="J35" s="48"/>
      <c r="L35" s="65"/>
      <c r="M35" s="42"/>
    </row>
    <row r="36" spans="5:13">
      <c r="E36" s="49">
        <v>45048.812499999243</v>
      </c>
      <c r="F36" s="56">
        <v>5.6723431790643728</v>
      </c>
      <c r="G36" s="48"/>
      <c r="H36" s="48"/>
      <c r="I36" s="48"/>
      <c r="J36" s="48"/>
      <c r="L36" s="65"/>
      <c r="M36" s="42"/>
    </row>
    <row r="37" spans="5:13">
      <c r="E37" s="49">
        <v>45048.815972221462</v>
      </c>
      <c r="F37" s="56">
        <v>5.6723431790643728</v>
      </c>
      <c r="G37" s="48"/>
      <c r="H37" s="48"/>
      <c r="I37" s="48"/>
      <c r="J37" s="48"/>
      <c r="L37" s="65"/>
      <c r="M37" s="42"/>
    </row>
    <row r="38" spans="5:13">
      <c r="E38" s="49">
        <v>45048.819444443681</v>
      </c>
      <c r="F38" s="56">
        <v>5.6723431790643728</v>
      </c>
      <c r="G38" s="48"/>
      <c r="H38" s="48"/>
      <c r="I38" s="48"/>
      <c r="J38" s="48"/>
      <c r="L38" s="65"/>
      <c r="M38" s="42"/>
    </row>
    <row r="39" spans="5:13">
      <c r="E39" s="49">
        <v>45048.8229166659</v>
      </c>
      <c r="F39" s="56">
        <v>5.6723431790643728</v>
      </c>
      <c r="G39" s="48"/>
      <c r="H39" s="48"/>
      <c r="I39" s="48"/>
      <c r="J39" s="48"/>
      <c r="L39" s="65"/>
      <c r="M39" s="42"/>
    </row>
    <row r="40" spans="5:13">
      <c r="E40" s="49">
        <v>45048.826388888119</v>
      </c>
      <c r="F40" s="56">
        <v>5.6723431790643728</v>
      </c>
      <c r="G40" s="48"/>
      <c r="H40" s="48"/>
      <c r="I40" s="48"/>
      <c r="J40" s="48"/>
      <c r="L40" s="65"/>
      <c r="M40" s="42"/>
    </row>
    <row r="41" spans="5:13">
      <c r="E41" s="49">
        <v>45048.829861110338</v>
      </c>
      <c r="F41" s="56">
        <v>5.6723431790643728</v>
      </c>
      <c r="G41" s="48"/>
      <c r="H41" s="48"/>
      <c r="I41" s="48"/>
      <c r="J41" s="48"/>
      <c r="L41" s="65"/>
      <c r="M41" s="42"/>
    </row>
    <row r="42" spans="5:13">
      <c r="E42" s="49">
        <v>45048.833333332557</v>
      </c>
      <c r="F42" s="56">
        <v>5.6723431790643728</v>
      </c>
      <c r="G42" s="48"/>
      <c r="H42" s="48"/>
      <c r="I42" s="48"/>
      <c r="J42" s="48"/>
      <c r="L42" s="65"/>
      <c r="M42" s="42"/>
    </row>
    <row r="43" spans="5:13">
      <c r="E43" s="49">
        <v>45048.836805554776</v>
      </c>
      <c r="F43" s="56">
        <v>5.6723431790643728</v>
      </c>
      <c r="G43" s="48"/>
      <c r="H43" s="48"/>
      <c r="I43" s="48"/>
      <c r="J43" s="48"/>
      <c r="L43" s="65"/>
      <c r="M43" s="42"/>
    </row>
    <row r="44" spans="5:13">
      <c r="E44" s="49">
        <v>45048.840277776995</v>
      </c>
      <c r="F44" s="56">
        <v>5.6723431790643728</v>
      </c>
      <c r="G44" s="48"/>
      <c r="H44" s="48"/>
      <c r="I44" s="48"/>
      <c r="J44" s="48"/>
      <c r="L44" s="65"/>
      <c r="M44" s="42"/>
    </row>
    <row r="45" spans="5:13">
      <c r="E45" s="49">
        <v>45048.843749999214</v>
      </c>
      <c r="F45" s="56">
        <v>5.6723431790643728</v>
      </c>
      <c r="G45" s="48"/>
      <c r="H45" s="48"/>
      <c r="I45" s="48"/>
      <c r="J45" s="48"/>
      <c r="L45" s="65"/>
      <c r="M45" s="42"/>
    </row>
    <row r="46" spans="5:13">
      <c r="E46" s="49">
        <v>45048.847222221433</v>
      </c>
      <c r="F46" s="56">
        <v>5.6723431790643728</v>
      </c>
      <c r="G46" s="48"/>
      <c r="H46" s="48"/>
      <c r="I46" s="48"/>
      <c r="J46" s="48"/>
      <c r="L46" s="65"/>
      <c r="M46" s="42"/>
    </row>
    <row r="47" spans="5:13">
      <c r="E47" s="49">
        <v>45048.850694443652</v>
      </c>
      <c r="F47" s="56">
        <v>5.6723431790643728</v>
      </c>
      <c r="G47" s="48"/>
      <c r="H47" s="48"/>
      <c r="I47" s="48"/>
      <c r="J47" s="48"/>
      <c r="L47" s="65"/>
      <c r="M47" s="42"/>
    </row>
    <row r="48" spans="5:13">
      <c r="E48" s="49">
        <v>45048.854166665871</v>
      </c>
      <c r="F48" s="56">
        <v>5.6723431790643728</v>
      </c>
      <c r="G48" s="48"/>
      <c r="H48" s="48"/>
      <c r="I48" s="48"/>
      <c r="J48" s="48"/>
      <c r="L48" s="65"/>
      <c r="M48" s="42"/>
    </row>
    <row r="49" spans="5:13">
      <c r="E49" s="49">
        <v>45048.85763888809</v>
      </c>
      <c r="F49" s="56">
        <v>5.6723431790643728</v>
      </c>
      <c r="G49" s="48"/>
      <c r="H49" s="48"/>
      <c r="I49" s="48"/>
      <c r="J49" s="48"/>
      <c r="L49" s="65"/>
      <c r="M49" s="42"/>
    </row>
    <row r="50" spans="5:13">
      <c r="E50" s="49">
        <v>45048.861111110309</v>
      </c>
      <c r="F50" s="56">
        <v>5.6723431790643728</v>
      </c>
      <c r="G50" s="48"/>
      <c r="H50" s="48"/>
      <c r="I50" s="48"/>
      <c r="J50" s="48"/>
      <c r="L50" s="65"/>
      <c r="M50" s="42"/>
    </row>
    <row r="51" spans="5:13">
      <c r="E51" s="49">
        <v>45048.864583332528</v>
      </c>
      <c r="F51" s="56">
        <v>5.6723431790643728</v>
      </c>
      <c r="G51" s="48"/>
      <c r="H51" s="48"/>
      <c r="I51" s="48"/>
      <c r="J51" s="48"/>
      <c r="L51" s="65"/>
      <c r="M51" s="42"/>
    </row>
    <row r="52" spans="5:13">
      <c r="E52" s="49">
        <v>45048.868055554747</v>
      </c>
      <c r="F52" s="56">
        <v>5.6723431790643728</v>
      </c>
      <c r="G52" s="48"/>
      <c r="H52" s="48"/>
      <c r="I52" s="48"/>
      <c r="J52" s="48"/>
      <c r="L52" s="65"/>
      <c r="M52" s="42"/>
    </row>
    <row r="53" spans="5:13">
      <c r="E53" s="49">
        <v>45048.871527776966</v>
      </c>
      <c r="F53" s="56">
        <v>5.6723431790643728</v>
      </c>
      <c r="G53" s="48"/>
      <c r="H53" s="48"/>
      <c r="I53" s="48"/>
      <c r="J53" s="48"/>
      <c r="L53" s="65"/>
      <c r="M53" s="42"/>
    </row>
    <row r="54" spans="5:13">
      <c r="E54" s="49">
        <v>45048.874999999185</v>
      </c>
      <c r="F54" s="56">
        <v>5.6723431790643728</v>
      </c>
      <c r="G54" s="48"/>
      <c r="H54" s="48"/>
      <c r="I54" s="48"/>
      <c r="J54" s="48"/>
      <c r="L54" s="65"/>
      <c r="M54" s="42"/>
    </row>
    <row r="55" spans="5:13">
      <c r="E55" s="49">
        <v>45048.878472221404</v>
      </c>
      <c r="F55" s="56">
        <v>5.6723431790643728</v>
      </c>
      <c r="G55" s="48"/>
      <c r="H55" s="48"/>
      <c r="I55" s="48"/>
      <c r="J55" s="48"/>
      <c r="L55" s="65"/>
      <c r="M55" s="42"/>
    </row>
    <row r="56" spans="5:13">
      <c r="E56" s="49">
        <v>45048.881944443623</v>
      </c>
      <c r="F56" s="56">
        <v>5.6723431790643728</v>
      </c>
      <c r="G56" s="48"/>
      <c r="H56" s="48"/>
      <c r="I56" s="48"/>
      <c r="J56" s="48"/>
      <c r="L56" s="65"/>
      <c r="M56" s="42"/>
    </row>
    <row r="57" spans="5:13">
      <c r="E57" s="49">
        <v>45048.885416665842</v>
      </c>
      <c r="F57" s="56">
        <v>5.6723431790643728</v>
      </c>
      <c r="G57" s="48"/>
      <c r="H57" s="48"/>
      <c r="I57" s="48"/>
      <c r="J57" s="48"/>
      <c r="L57" s="65"/>
      <c r="M57" s="42"/>
    </row>
    <row r="58" spans="5:13">
      <c r="E58" s="49">
        <v>45048.888888888061</v>
      </c>
      <c r="F58" s="56">
        <v>5.6723431790643728</v>
      </c>
      <c r="G58" s="48"/>
      <c r="H58" s="48"/>
      <c r="I58" s="48"/>
      <c r="J58" s="48"/>
      <c r="L58" s="65"/>
      <c r="M58" s="42"/>
    </row>
    <row r="59" spans="5:13">
      <c r="E59" s="49">
        <v>45048.89236111028</v>
      </c>
      <c r="F59" s="56">
        <v>5.6723431790643728</v>
      </c>
      <c r="G59" s="48"/>
      <c r="H59" s="48"/>
      <c r="I59" s="48"/>
      <c r="J59" s="48"/>
      <c r="L59" s="65"/>
      <c r="M59" s="42"/>
    </row>
    <row r="60" spans="5:13">
      <c r="E60" s="49">
        <v>45048.895833332499</v>
      </c>
      <c r="F60" s="56">
        <v>5.6723431790643728</v>
      </c>
      <c r="G60" s="48"/>
      <c r="H60" s="48"/>
      <c r="I60" s="48"/>
      <c r="J60" s="48"/>
      <c r="L60" s="65"/>
      <c r="M60" s="42"/>
    </row>
    <row r="61" spans="5:13">
      <c r="E61" s="49">
        <v>45048.899305554718</v>
      </c>
      <c r="F61" s="56">
        <v>5.6723431790643728</v>
      </c>
      <c r="G61" s="48"/>
      <c r="H61" s="48"/>
      <c r="I61" s="48"/>
      <c r="J61" s="48"/>
      <c r="L61" s="65"/>
      <c r="M61" s="42"/>
    </row>
    <row r="62" spans="5:13">
      <c r="E62" s="49">
        <v>45048.902777776937</v>
      </c>
      <c r="F62" s="56">
        <v>5.6723431790643728</v>
      </c>
      <c r="G62" s="48"/>
      <c r="H62" s="48"/>
      <c r="I62" s="48"/>
      <c r="J62" s="48"/>
      <c r="L62" s="65"/>
      <c r="M62" s="42"/>
    </row>
    <row r="63" spans="5:13">
      <c r="E63" s="49">
        <v>45048.906249999156</v>
      </c>
      <c r="F63" s="56">
        <v>5.6723431790643728</v>
      </c>
      <c r="G63" s="48"/>
      <c r="H63" s="48"/>
      <c r="I63" s="48"/>
      <c r="J63" s="48"/>
      <c r="L63" s="65"/>
      <c r="M63" s="42"/>
    </row>
    <row r="64" spans="5:13">
      <c r="E64" s="49">
        <v>45048.909722221375</v>
      </c>
      <c r="F64" s="56">
        <v>5.6723431790643728</v>
      </c>
      <c r="G64" s="48"/>
      <c r="H64" s="48"/>
      <c r="I64" s="48"/>
      <c r="J64" s="48"/>
      <c r="L64" s="65"/>
      <c r="M64" s="42"/>
    </row>
    <row r="65" spans="5:13">
      <c r="E65" s="49">
        <v>45048.913194443594</v>
      </c>
      <c r="F65" s="56">
        <v>5.6723431790643728</v>
      </c>
      <c r="G65" s="48"/>
      <c r="H65" s="48"/>
      <c r="I65" s="48"/>
      <c r="J65" s="48"/>
      <c r="L65" s="65"/>
      <c r="M65" s="42"/>
    </row>
    <row r="66" spans="5:13">
      <c r="E66" s="49">
        <v>45048.916666665813</v>
      </c>
      <c r="F66" s="56">
        <v>5.6723431790643728</v>
      </c>
      <c r="G66" s="48"/>
      <c r="H66" s="48"/>
      <c r="I66" s="48"/>
      <c r="J66" s="48"/>
      <c r="L66" s="65"/>
      <c r="M66" s="42"/>
    </row>
    <row r="67" spans="5:13">
      <c r="E67" s="49">
        <v>45048.920138888032</v>
      </c>
      <c r="F67" s="56">
        <v>5.6723431790643728</v>
      </c>
      <c r="G67" s="48"/>
      <c r="H67" s="48"/>
      <c r="I67" s="48"/>
      <c r="J67" s="48"/>
      <c r="L67" s="65"/>
      <c r="M67" s="42"/>
    </row>
    <row r="68" spans="5:13">
      <c r="E68" s="49">
        <v>45048.923611110251</v>
      </c>
      <c r="F68" s="56">
        <v>5.6723431790643728</v>
      </c>
      <c r="G68" s="48"/>
      <c r="H68" s="48"/>
      <c r="I68" s="48"/>
      <c r="J68" s="48"/>
      <c r="L68" s="65"/>
      <c r="M68" s="42"/>
    </row>
    <row r="69" spans="5:13">
      <c r="E69" s="49">
        <v>45048.92708333247</v>
      </c>
      <c r="F69" s="56">
        <v>5.6723431790643728</v>
      </c>
      <c r="G69" s="48"/>
      <c r="H69" s="48"/>
      <c r="I69" s="48"/>
      <c r="J69" s="48"/>
      <c r="L69" s="65"/>
      <c r="M69" s="42"/>
    </row>
    <row r="70" spans="5:13">
      <c r="E70" s="49">
        <v>45048.930555554689</v>
      </c>
      <c r="F70" s="56">
        <v>5.6723431790643728</v>
      </c>
      <c r="G70" s="48"/>
      <c r="H70" s="48"/>
      <c r="I70" s="48"/>
      <c r="J70" s="48"/>
      <c r="L70" s="65"/>
      <c r="M70" s="42"/>
    </row>
    <row r="71" spans="5:13">
      <c r="E71" s="49">
        <v>45048.934027776908</v>
      </c>
      <c r="F71" s="56">
        <v>5.6723431790643728</v>
      </c>
      <c r="G71" s="48"/>
      <c r="H71" s="48"/>
      <c r="I71" s="48"/>
      <c r="J71" s="48"/>
      <c r="L71" s="65"/>
      <c r="M71" s="42"/>
    </row>
    <row r="72" spans="5:13">
      <c r="E72" s="49">
        <v>45048.937499999127</v>
      </c>
      <c r="F72" s="56">
        <v>5.6723431790643728</v>
      </c>
      <c r="G72" s="48"/>
      <c r="H72" s="48"/>
      <c r="I72" s="48"/>
      <c r="J72" s="48"/>
      <c r="L72" s="65"/>
      <c r="M72" s="42"/>
    </row>
    <row r="73" spans="5:13">
      <c r="E73" s="49">
        <v>45048.940972221346</v>
      </c>
      <c r="F73" s="56">
        <v>5.6723431790643728</v>
      </c>
      <c r="G73" s="48"/>
      <c r="H73" s="48"/>
      <c r="I73" s="48"/>
      <c r="J73" s="48"/>
      <c r="L73" s="65"/>
      <c r="M73" s="42"/>
    </row>
    <row r="74" spans="5:13">
      <c r="E74" s="49">
        <v>45048.944444443565</v>
      </c>
      <c r="F74" s="56">
        <v>5.6723431790643728</v>
      </c>
      <c r="G74" s="48"/>
      <c r="H74" s="48"/>
      <c r="I74" s="48"/>
      <c r="J74" s="48"/>
      <c r="L74" s="65"/>
      <c r="M74" s="42"/>
    </row>
    <row r="75" spans="5:13">
      <c r="E75" s="49">
        <v>45048.947916665784</v>
      </c>
      <c r="F75" s="56">
        <v>5.6723431790643728</v>
      </c>
      <c r="G75" s="48"/>
      <c r="H75" s="48"/>
      <c r="I75" s="48"/>
      <c r="J75" s="48"/>
      <c r="L75" s="65"/>
      <c r="M75" s="42"/>
    </row>
    <row r="76" spans="5:13">
      <c r="E76" s="49">
        <v>45048.951388888003</v>
      </c>
      <c r="F76" s="56">
        <v>5.6723431790643728</v>
      </c>
      <c r="G76" s="48"/>
      <c r="H76" s="48"/>
      <c r="I76" s="48"/>
      <c r="J76" s="48"/>
      <c r="L76" s="65"/>
      <c r="M76" s="42"/>
    </row>
    <row r="77" spans="5:13">
      <c r="E77" s="49">
        <v>45048.954861110222</v>
      </c>
      <c r="F77" s="56">
        <v>5.6723431790643728</v>
      </c>
      <c r="G77" s="48"/>
      <c r="H77" s="48"/>
      <c r="I77" s="48"/>
      <c r="J77" s="48"/>
      <c r="L77" s="65"/>
      <c r="M77" s="42"/>
    </row>
    <row r="78" spans="5:13">
      <c r="E78" s="49">
        <v>45048.958333332441</v>
      </c>
      <c r="F78" s="56">
        <v>5.6723431790643728</v>
      </c>
      <c r="G78" s="48"/>
      <c r="H78" s="48"/>
      <c r="I78" s="48"/>
      <c r="J78" s="48"/>
      <c r="L78" s="65"/>
      <c r="M78" s="42"/>
    </row>
    <row r="79" spans="5:13">
      <c r="E79" s="49">
        <v>45048.96180555466</v>
      </c>
      <c r="F79" s="56">
        <v>5.6723431790643728</v>
      </c>
      <c r="G79" s="48"/>
      <c r="H79" s="48"/>
      <c r="I79" s="48"/>
      <c r="J79" s="48"/>
      <c r="L79" s="65"/>
      <c r="M79" s="42"/>
    </row>
    <row r="80" spans="5:13">
      <c r="E80" s="49">
        <v>45048.965277776879</v>
      </c>
      <c r="F80" s="56">
        <v>5.6723431790643728</v>
      </c>
      <c r="G80" s="48"/>
      <c r="H80" s="48"/>
      <c r="I80" s="48"/>
      <c r="J80" s="48"/>
      <c r="L80" s="65"/>
      <c r="M80" s="42"/>
    </row>
    <row r="81" spans="5:13">
      <c r="E81" s="49">
        <v>45048.968749999098</v>
      </c>
      <c r="F81" s="56">
        <v>5.6723431790643728</v>
      </c>
      <c r="G81" s="48"/>
      <c r="H81" s="48"/>
      <c r="I81" s="48"/>
      <c r="J81" s="48"/>
      <c r="L81" s="65"/>
      <c r="M81" s="42"/>
    </row>
    <row r="82" spans="5:13">
      <c r="E82" s="49">
        <v>45048.972222221317</v>
      </c>
      <c r="F82" s="56">
        <v>5.6723431790643728</v>
      </c>
      <c r="G82" s="48"/>
      <c r="H82" s="48"/>
      <c r="I82" s="48"/>
      <c r="J82" s="48"/>
      <c r="L82" s="65"/>
      <c r="M82" s="42"/>
    </row>
    <row r="83" spans="5:13">
      <c r="E83" s="49">
        <v>45048.975694443536</v>
      </c>
      <c r="F83" s="56">
        <v>5.6723431790643728</v>
      </c>
      <c r="G83" s="48"/>
      <c r="H83" s="48"/>
      <c r="I83" s="48"/>
      <c r="J83" s="48"/>
      <c r="L83" s="65"/>
      <c r="M83" s="42"/>
    </row>
    <row r="84" spans="5:13">
      <c r="E84" s="49">
        <v>45048.979166665755</v>
      </c>
      <c r="F84" s="56">
        <v>5.6723431790643728</v>
      </c>
      <c r="G84" s="48"/>
      <c r="H84" s="48"/>
      <c r="I84" s="48"/>
      <c r="J84" s="48"/>
      <c r="L84" s="65"/>
      <c r="M84" s="42"/>
    </row>
    <row r="85" spans="5:13">
      <c r="E85" s="49">
        <v>45048.982638887974</v>
      </c>
      <c r="F85" s="56">
        <v>5.6723431790643728</v>
      </c>
      <c r="G85" s="48"/>
      <c r="H85" s="48"/>
      <c r="I85" s="48"/>
      <c r="J85" s="48"/>
      <c r="L85" s="65"/>
      <c r="M85" s="42"/>
    </row>
    <row r="86" spans="5:13">
      <c r="E86" s="49">
        <v>45048.986111110193</v>
      </c>
      <c r="F86" s="56">
        <v>5.6723431790643728</v>
      </c>
      <c r="G86" s="48"/>
      <c r="H86" s="48"/>
      <c r="I86" s="48"/>
      <c r="J86" s="48"/>
      <c r="L86" s="65"/>
      <c r="M86" s="42"/>
    </row>
    <row r="87" spans="5:13">
      <c r="E87" s="49">
        <v>45048.989583332412</v>
      </c>
      <c r="F87" s="56">
        <v>5.6723431790643728</v>
      </c>
      <c r="G87" s="48"/>
      <c r="H87" s="48"/>
      <c r="I87" s="48"/>
      <c r="J87" s="48"/>
      <c r="L87" s="65"/>
      <c r="M87" s="42"/>
    </row>
    <row r="88" spans="5:13">
      <c r="E88" s="49">
        <v>45048.993055554631</v>
      </c>
      <c r="F88" s="56">
        <v>5.6723431790643728</v>
      </c>
      <c r="G88" s="48"/>
      <c r="H88" s="48"/>
      <c r="I88" s="48"/>
      <c r="J88" s="48"/>
      <c r="L88" s="65"/>
      <c r="M88" s="42"/>
    </row>
    <row r="89" spans="5:13">
      <c r="E89" s="49">
        <v>45048.99652777685</v>
      </c>
      <c r="F89" s="56">
        <v>5.6723431790643728</v>
      </c>
      <c r="G89" s="48"/>
      <c r="H89" s="48"/>
      <c r="I89" s="48"/>
      <c r="J89" s="48"/>
      <c r="L89" s="65"/>
      <c r="M89" s="42"/>
    </row>
    <row r="90" spans="5:13">
      <c r="E90" s="49">
        <v>45048.999999999069</v>
      </c>
      <c r="F90" s="56">
        <v>5.6723431790643728</v>
      </c>
      <c r="G90" s="48"/>
      <c r="H90" s="48"/>
      <c r="I90" s="48"/>
      <c r="J90" s="48"/>
      <c r="L90" s="65"/>
      <c r="M90" s="42"/>
    </row>
    <row r="91" spans="5:13">
      <c r="E91" s="49">
        <v>45049.003472221288</v>
      </c>
      <c r="F91" s="56">
        <v>5.6723431790643728</v>
      </c>
      <c r="G91" s="48"/>
      <c r="H91" s="48"/>
      <c r="I91" s="48"/>
      <c r="J91" s="48"/>
      <c r="L91" s="65"/>
      <c r="M91" s="42"/>
    </row>
    <row r="92" spans="5:13">
      <c r="E92" s="49">
        <v>45049.006944443507</v>
      </c>
      <c r="F92" s="56">
        <v>5.6723431790643728</v>
      </c>
      <c r="G92" s="48"/>
      <c r="H92" s="48"/>
      <c r="I92" s="48"/>
      <c r="J92" s="48"/>
      <c r="L92" s="65"/>
      <c r="M92" s="42"/>
    </row>
    <row r="93" spans="5:13">
      <c r="E93" s="49">
        <v>45049.010416665726</v>
      </c>
      <c r="F93" s="56">
        <v>5.6723431790643728</v>
      </c>
      <c r="G93" s="48"/>
      <c r="H93" s="48"/>
      <c r="I93" s="48"/>
      <c r="J93" s="48"/>
      <c r="L93" s="65"/>
      <c r="M93" s="42"/>
    </row>
    <row r="94" spans="5:13">
      <c r="E94" s="49">
        <v>45049.013888887945</v>
      </c>
      <c r="F94" s="56">
        <v>5.6723431790643728</v>
      </c>
      <c r="G94" s="48"/>
      <c r="H94" s="48"/>
      <c r="I94" s="48"/>
      <c r="J94" s="48"/>
      <c r="L94" s="65"/>
      <c r="M94" s="42"/>
    </row>
    <row r="95" spans="5:13">
      <c r="E95" s="49">
        <v>45049.017361110164</v>
      </c>
      <c r="F95" s="56">
        <v>5.6723431790643728</v>
      </c>
      <c r="G95" s="48"/>
      <c r="H95" s="48"/>
      <c r="I95" s="48"/>
      <c r="J95" s="48"/>
      <c r="L95" s="65"/>
      <c r="M95" s="42"/>
    </row>
    <row r="96" spans="5:13">
      <c r="E96" s="49">
        <v>45049.020833332383</v>
      </c>
      <c r="F96" s="56">
        <v>5.6723431790643728</v>
      </c>
      <c r="G96" s="48"/>
      <c r="H96" s="48"/>
      <c r="I96" s="48"/>
      <c r="J96" s="48"/>
      <c r="L96" s="65"/>
      <c r="M96" s="42"/>
    </row>
    <row r="97" spans="5:13">
      <c r="E97" s="49">
        <v>45049.024305554602</v>
      </c>
      <c r="F97" s="56">
        <v>5.6723431790643728</v>
      </c>
      <c r="G97" s="48"/>
      <c r="H97" s="48"/>
      <c r="I97" s="48"/>
      <c r="J97" s="48"/>
      <c r="L97" s="65"/>
      <c r="M97" s="42"/>
    </row>
    <row r="98" spans="5:13">
      <c r="E98" s="49">
        <v>45049.027777776821</v>
      </c>
      <c r="F98" s="56">
        <v>5.6723431790643728</v>
      </c>
      <c r="G98" s="48"/>
      <c r="H98" s="48"/>
      <c r="I98" s="48"/>
      <c r="J98" s="48"/>
      <c r="L98" s="65"/>
      <c r="M98" s="42"/>
    </row>
    <row r="99" spans="5:13">
      <c r="E99" s="49">
        <v>45049.03124999904</v>
      </c>
      <c r="F99" s="56">
        <v>5.6723431790643728</v>
      </c>
      <c r="G99" s="48"/>
      <c r="H99" s="48"/>
      <c r="I99" s="48"/>
      <c r="J99" s="48"/>
      <c r="L99" s="65"/>
      <c r="M99" s="42"/>
    </row>
    <row r="100" spans="5:13">
      <c r="E100" s="49">
        <v>45049.034722221259</v>
      </c>
      <c r="F100" s="56">
        <v>5.6723431790643728</v>
      </c>
      <c r="G100" s="48"/>
      <c r="H100" s="48"/>
      <c r="I100" s="48"/>
      <c r="J100" s="48"/>
      <c r="L100" s="65"/>
      <c r="M100" s="42"/>
    </row>
    <row r="101" spans="5:13">
      <c r="E101" s="49">
        <v>45049.038194443478</v>
      </c>
      <c r="F101" s="56">
        <v>5.6723431790643728</v>
      </c>
      <c r="G101" s="48"/>
      <c r="H101" s="48"/>
      <c r="I101" s="48"/>
      <c r="J101" s="48"/>
      <c r="L101" s="65"/>
      <c r="M101" s="42"/>
    </row>
    <row r="102" spans="5:13">
      <c r="E102" s="49">
        <v>45049.041666665697</v>
      </c>
      <c r="F102" s="56">
        <v>5.6723431790643728</v>
      </c>
      <c r="G102" s="48"/>
      <c r="H102" s="48"/>
      <c r="I102" s="48"/>
      <c r="J102" s="48"/>
      <c r="L102" s="65"/>
      <c r="M102" s="42"/>
    </row>
    <row r="103" spans="5:13">
      <c r="E103" s="49">
        <v>45049.045138887916</v>
      </c>
      <c r="F103" s="56">
        <v>5.6723431790643728</v>
      </c>
      <c r="G103" s="48"/>
      <c r="H103" s="48"/>
      <c r="I103" s="48"/>
      <c r="J103" s="48"/>
      <c r="L103" s="65"/>
      <c r="M103" s="42"/>
    </row>
    <row r="104" spans="5:13">
      <c r="E104" s="49">
        <v>45049.048611110135</v>
      </c>
      <c r="F104" s="56">
        <v>5.6723431790643728</v>
      </c>
      <c r="G104" s="48"/>
      <c r="H104" s="48"/>
      <c r="I104" s="48"/>
      <c r="J104" s="48"/>
      <c r="L104" s="65"/>
      <c r="M104" s="42"/>
    </row>
    <row r="105" spans="5:13">
      <c r="E105" s="49">
        <v>45049.052083332354</v>
      </c>
      <c r="F105" s="56">
        <v>5.6723431790643728</v>
      </c>
      <c r="G105" s="48"/>
      <c r="H105" s="48"/>
      <c r="I105" s="48"/>
      <c r="J105" s="48"/>
      <c r="L105" s="65"/>
      <c r="M105" s="42"/>
    </row>
    <row r="106" spans="5:13">
      <c r="E106" s="49">
        <v>45049.055555554572</v>
      </c>
      <c r="F106" s="56">
        <v>5.6723431790643728</v>
      </c>
      <c r="G106" s="48"/>
      <c r="H106" s="48"/>
      <c r="I106" s="48"/>
      <c r="J106" s="48"/>
      <c r="L106" s="65"/>
      <c r="M106" s="42"/>
    </row>
    <row r="107" spans="5:13">
      <c r="E107" s="49">
        <v>45049.059027776791</v>
      </c>
      <c r="F107" s="56">
        <v>5.6723431790643728</v>
      </c>
      <c r="G107" s="48"/>
      <c r="H107" s="48"/>
      <c r="I107" s="48"/>
      <c r="J107" s="48"/>
      <c r="L107" s="65"/>
      <c r="M107" s="42"/>
    </row>
    <row r="108" spans="5:13">
      <c r="E108" s="49">
        <v>45049.06249999901</v>
      </c>
      <c r="F108" s="56">
        <v>5.6723431790643728</v>
      </c>
      <c r="G108" s="48"/>
      <c r="H108" s="48"/>
      <c r="I108" s="48"/>
      <c r="J108" s="48"/>
      <c r="L108" s="65"/>
      <c r="M108" s="42"/>
    </row>
    <row r="109" spans="5:13">
      <c r="E109" s="49">
        <v>45049.065972221229</v>
      </c>
      <c r="F109" s="56">
        <v>5.6723431790643728</v>
      </c>
      <c r="G109" s="48"/>
      <c r="H109" s="48"/>
      <c r="I109" s="48"/>
      <c r="J109" s="48"/>
      <c r="L109" s="65"/>
      <c r="M109" s="42"/>
    </row>
    <row r="110" spans="5:13">
      <c r="E110" s="49">
        <v>45049.069444443448</v>
      </c>
      <c r="F110" s="56">
        <v>5.6723431790643728</v>
      </c>
      <c r="G110" s="48"/>
      <c r="H110" s="48"/>
      <c r="I110" s="48"/>
      <c r="J110" s="48"/>
      <c r="L110" s="65"/>
      <c r="M110" s="42"/>
    </row>
    <row r="111" spans="5:13">
      <c r="E111" s="49">
        <v>45049.072916665667</v>
      </c>
      <c r="F111" s="56">
        <v>5.6723431790643728</v>
      </c>
      <c r="G111" s="48"/>
      <c r="H111" s="48"/>
      <c r="I111" s="48"/>
      <c r="J111" s="48"/>
      <c r="L111" s="65"/>
      <c r="M111" s="42"/>
    </row>
    <row r="112" spans="5:13">
      <c r="E112" s="49">
        <v>45049.076388887886</v>
      </c>
      <c r="F112" s="56">
        <v>5.6723431790643728</v>
      </c>
      <c r="G112" s="48"/>
      <c r="H112" s="48"/>
      <c r="I112" s="48"/>
      <c r="J112" s="48"/>
      <c r="L112" s="65"/>
      <c r="M112" s="42"/>
    </row>
    <row r="113" spans="5:13">
      <c r="E113" s="49">
        <v>45049.079861110105</v>
      </c>
      <c r="F113" s="56">
        <v>5.6723431790643728</v>
      </c>
      <c r="G113" s="48"/>
      <c r="H113" s="48"/>
      <c r="I113" s="48"/>
      <c r="J113" s="48"/>
      <c r="L113" s="65"/>
      <c r="M113" s="42"/>
    </row>
    <row r="114" spans="5:13">
      <c r="E114" s="49">
        <v>45049.083333332324</v>
      </c>
      <c r="F114" s="56">
        <v>5.6723431790643728</v>
      </c>
      <c r="G114" s="48"/>
      <c r="H114" s="48"/>
      <c r="I114" s="48"/>
      <c r="J114" s="48"/>
      <c r="L114" s="65"/>
      <c r="M114" s="42"/>
    </row>
    <row r="115" spans="5:13">
      <c r="E115" s="49">
        <v>45049.086805554543</v>
      </c>
      <c r="F115" s="56">
        <v>5.6723431790643728</v>
      </c>
      <c r="G115" s="48"/>
      <c r="H115" s="48"/>
      <c r="I115" s="48"/>
      <c r="J115" s="48"/>
      <c r="L115" s="65"/>
      <c r="M115" s="42"/>
    </row>
    <row r="116" spans="5:13">
      <c r="E116" s="49">
        <v>45049.090277776762</v>
      </c>
      <c r="F116" s="56">
        <v>5.6723431790643728</v>
      </c>
      <c r="G116" s="48"/>
      <c r="H116" s="48"/>
      <c r="I116" s="48"/>
      <c r="J116" s="48"/>
      <c r="L116" s="65"/>
      <c r="M116" s="42"/>
    </row>
    <row r="117" spans="5:13">
      <c r="E117" s="49">
        <v>45049.093749998981</v>
      </c>
      <c r="F117" s="56">
        <v>5.6723431790643728</v>
      </c>
      <c r="G117" s="48"/>
      <c r="H117" s="48"/>
      <c r="I117" s="48"/>
      <c r="J117" s="48"/>
      <c r="L117" s="65"/>
      <c r="M117" s="42"/>
    </row>
    <row r="118" spans="5:13">
      <c r="E118" s="49">
        <v>45049.0972222212</v>
      </c>
      <c r="F118" s="56">
        <v>5.6723431790643728</v>
      </c>
      <c r="G118" s="48"/>
      <c r="H118" s="48"/>
      <c r="I118" s="48"/>
      <c r="J118" s="48"/>
      <c r="L118" s="65"/>
      <c r="M118" s="42"/>
    </row>
    <row r="119" spans="5:13">
      <c r="E119" s="49">
        <v>45049.100694443419</v>
      </c>
      <c r="F119" s="56">
        <v>5.6723431790643728</v>
      </c>
      <c r="G119" s="48"/>
      <c r="H119" s="48"/>
      <c r="I119" s="48"/>
      <c r="J119" s="48"/>
      <c r="L119" s="65"/>
      <c r="M119" s="42"/>
    </row>
    <row r="120" spans="5:13">
      <c r="E120" s="49">
        <v>45049.104166665638</v>
      </c>
      <c r="F120" s="56">
        <v>5.6723431790643728</v>
      </c>
      <c r="G120" s="48"/>
      <c r="H120" s="48"/>
      <c r="I120" s="48"/>
      <c r="J120" s="48"/>
      <c r="L120" s="65"/>
      <c r="M120" s="42"/>
    </row>
    <row r="121" spans="5:13">
      <c r="E121" s="49">
        <v>45049.107638887857</v>
      </c>
      <c r="F121" s="56">
        <v>5.6723431790643728</v>
      </c>
      <c r="G121" s="48"/>
      <c r="H121" s="48"/>
      <c r="I121" s="48"/>
      <c r="J121" s="48"/>
      <c r="L121" s="65"/>
      <c r="M121" s="42"/>
    </row>
    <row r="122" spans="5:13">
      <c r="E122" s="49">
        <v>45049.111111110076</v>
      </c>
      <c r="F122" s="56">
        <v>5.6723431790643728</v>
      </c>
      <c r="G122" s="48"/>
      <c r="H122" s="48"/>
      <c r="I122" s="48"/>
      <c r="J122" s="48"/>
      <c r="L122" s="65"/>
      <c r="M122" s="42"/>
    </row>
    <row r="123" spans="5:13">
      <c r="E123" s="49">
        <v>45049.114583332295</v>
      </c>
      <c r="F123" s="56">
        <v>5.6723431790643728</v>
      </c>
      <c r="G123" s="48"/>
      <c r="H123" s="48"/>
      <c r="I123" s="48"/>
      <c r="J123" s="48"/>
      <c r="L123" s="65"/>
      <c r="M123" s="42"/>
    </row>
    <row r="124" spans="5:13">
      <c r="E124" s="49">
        <v>45049.118055554514</v>
      </c>
      <c r="F124" s="56">
        <v>5.6723431790643728</v>
      </c>
      <c r="G124" s="48"/>
      <c r="H124" s="48"/>
      <c r="I124" s="48"/>
      <c r="J124" s="48"/>
      <c r="L124" s="65"/>
      <c r="M124" s="42"/>
    </row>
    <row r="125" spans="5:13">
      <c r="E125" s="49">
        <v>45049.121527776733</v>
      </c>
      <c r="F125" s="56">
        <v>5.6723431790643728</v>
      </c>
      <c r="G125" s="48"/>
      <c r="H125" s="48"/>
      <c r="I125" s="48"/>
      <c r="J125" s="48"/>
      <c r="L125" s="65"/>
      <c r="M125" s="42"/>
    </row>
    <row r="126" spans="5:13">
      <c r="E126" s="49">
        <v>45049.124999998952</v>
      </c>
      <c r="F126" s="56">
        <v>5.6723431790643728</v>
      </c>
      <c r="G126" s="48"/>
      <c r="H126" s="48"/>
      <c r="I126" s="48"/>
      <c r="J126" s="48"/>
      <c r="L126" s="65"/>
      <c r="M126" s="42"/>
    </row>
    <row r="127" spans="5:13">
      <c r="E127" s="49">
        <v>45049.128472221171</v>
      </c>
      <c r="F127" s="56">
        <v>5.6723431790643728</v>
      </c>
      <c r="G127" s="48"/>
      <c r="H127" s="48"/>
      <c r="I127" s="48"/>
      <c r="J127" s="48"/>
      <c r="L127" s="65"/>
      <c r="M127" s="42"/>
    </row>
    <row r="128" spans="5:13">
      <c r="E128" s="49">
        <v>45049.13194444339</v>
      </c>
      <c r="F128" s="56">
        <v>5.6723431790643728</v>
      </c>
      <c r="G128" s="48"/>
      <c r="H128" s="48"/>
      <c r="I128" s="48"/>
      <c r="J128" s="48"/>
      <c r="L128" s="65"/>
      <c r="M128" s="42"/>
    </row>
    <row r="129" spans="5:13">
      <c r="E129" s="49">
        <v>45049.135416665609</v>
      </c>
      <c r="F129" s="56">
        <v>5.6723431790643728</v>
      </c>
      <c r="G129" s="48"/>
      <c r="H129" s="48"/>
      <c r="I129" s="48"/>
      <c r="J129" s="48"/>
      <c r="L129" s="65"/>
      <c r="M129" s="42"/>
    </row>
    <row r="130" spans="5:13">
      <c r="E130" s="49">
        <v>45049.138888887828</v>
      </c>
      <c r="F130" s="56">
        <v>5.6723431790643728</v>
      </c>
      <c r="G130" s="48"/>
      <c r="H130" s="48"/>
      <c r="I130" s="48"/>
      <c r="J130" s="48"/>
      <c r="L130" s="65"/>
      <c r="M130" s="42"/>
    </row>
    <row r="131" spans="5:13">
      <c r="E131" s="49">
        <v>45049.142361110047</v>
      </c>
      <c r="F131" s="56">
        <v>5.6723431790643728</v>
      </c>
      <c r="G131" s="48"/>
      <c r="H131" s="48"/>
      <c r="I131" s="48"/>
      <c r="J131" s="48"/>
      <c r="L131" s="65"/>
      <c r="M131" s="42"/>
    </row>
    <row r="132" spans="5:13">
      <c r="E132" s="49">
        <v>45049.145833332266</v>
      </c>
      <c r="F132" s="56">
        <v>5.6723431790643728</v>
      </c>
      <c r="G132" s="48"/>
      <c r="H132" s="48"/>
      <c r="I132" s="48"/>
      <c r="J132" s="48"/>
      <c r="L132" s="65"/>
      <c r="M132" s="42"/>
    </row>
    <row r="133" spans="5:13">
      <c r="E133" s="49">
        <v>45049.149305554485</v>
      </c>
      <c r="F133" s="56">
        <v>5.6723431790643728</v>
      </c>
      <c r="G133" s="48"/>
      <c r="H133" s="48"/>
      <c r="I133" s="48"/>
      <c r="J133" s="48"/>
      <c r="L133" s="65"/>
      <c r="M133" s="42"/>
    </row>
    <row r="134" spans="5:13">
      <c r="E134" s="49">
        <v>45049.152777776704</v>
      </c>
      <c r="F134" s="56">
        <v>5.6723431790643728</v>
      </c>
      <c r="G134" s="48"/>
      <c r="H134" s="48"/>
      <c r="I134" s="48"/>
      <c r="J134" s="48"/>
      <c r="L134" s="65"/>
      <c r="M134" s="42"/>
    </row>
    <row r="135" spans="5:13">
      <c r="E135" s="49">
        <v>45049.156249998923</v>
      </c>
      <c r="F135" s="56">
        <v>5.6723431790643728</v>
      </c>
      <c r="G135" s="48"/>
      <c r="H135" s="48"/>
      <c r="I135" s="48"/>
      <c r="J135" s="48"/>
      <c r="L135" s="65"/>
      <c r="M135" s="42"/>
    </row>
    <row r="136" spans="5:13">
      <c r="E136" s="49">
        <v>45049.159722221142</v>
      </c>
      <c r="F136" s="56">
        <v>5.6723431790643728</v>
      </c>
      <c r="G136" s="48"/>
      <c r="H136" s="48"/>
      <c r="I136" s="48"/>
      <c r="J136" s="48"/>
      <c r="L136" s="65"/>
      <c r="M136" s="42"/>
    </row>
    <row r="137" spans="5:13">
      <c r="E137" s="49">
        <v>45049.163194443361</v>
      </c>
      <c r="F137" s="56">
        <v>5.6723431790643728</v>
      </c>
      <c r="G137" s="48"/>
      <c r="H137" s="48"/>
      <c r="I137" s="48"/>
      <c r="J137" s="48"/>
      <c r="L137" s="65"/>
      <c r="M137" s="42"/>
    </row>
    <row r="138" spans="5:13">
      <c r="E138" s="49">
        <v>45049.16666666558</v>
      </c>
      <c r="F138" s="56">
        <v>5.6723431790643728</v>
      </c>
      <c r="G138" s="48"/>
      <c r="H138" s="48"/>
      <c r="I138" s="48"/>
      <c r="J138" s="48"/>
      <c r="L138" s="65"/>
      <c r="M138" s="42"/>
    </row>
    <row r="139" spans="5:13">
      <c r="E139" s="49">
        <v>45049.170138887799</v>
      </c>
      <c r="F139" s="56">
        <v>5.6723431790643728</v>
      </c>
      <c r="G139" s="48"/>
      <c r="H139" s="48"/>
      <c r="I139" s="48"/>
      <c r="J139" s="48"/>
      <c r="L139" s="65"/>
      <c r="M139" s="42"/>
    </row>
    <row r="140" spans="5:13">
      <c r="E140" s="49">
        <v>45049.173611110018</v>
      </c>
      <c r="F140" s="56">
        <v>5.6723431790643728</v>
      </c>
      <c r="G140" s="48"/>
      <c r="H140" s="48"/>
      <c r="I140" s="48"/>
      <c r="J140" s="48"/>
      <c r="L140" s="65"/>
      <c r="M140" s="42"/>
    </row>
    <row r="141" spans="5:13">
      <c r="E141" s="49">
        <v>45049.177083332237</v>
      </c>
      <c r="F141" s="56">
        <v>5.6723431790643728</v>
      </c>
      <c r="G141" s="48"/>
      <c r="H141" s="48"/>
      <c r="I141" s="48"/>
      <c r="J141" s="48"/>
      <c r="L141" s="65"/>
      <c r="M141" s="42"/>
    </row>
    <row r="142" spans="5:13">
      <c r="E142" s="49">
        <v>45049.180555554456</v>
      </c>
      <c r="F142" s="56">
        <v>5.6723431790643728</v>
      </c>
      <c r="G142" s="48"/>
      <c r="H142" s="48"/>
      <c r="I142" s="48"/>
      <c r="J142" s="48"/>
      <c r="L142" s="65"/>
      <c r="M142" s="42"/>
    </row>
    <row r="143" spans="5:13">
      <c r="E143" s="49">
        <v>45049.184027776675</v>
      </c>
      <c r="F143" s="56">
        <v>5.6723431790643728</v>
      </c>
      <c r="G143" s="48"/>
      <c r="H143" s="48"/>
      <c r="I143" s="48"/>
      <c r="J143" s="48"/>
      <c r="L143" s="65"/>
      <c r="M143" s="42"/>
    </row>
    <row r="144" spans="5:13">
      <c r="E144" s="49">
        <v>45049.187499998894</v>
      </c>
      <c r="F144" s="56">
        <v>5.6723431790643728</v>
      </c>
      <c r="G144" s="48"/>
      <c r="H144" s="48"/>
      <c r="I144" s="48"/>
      <c r="J144" s="48"/>
      <c r="L144" s="65"/>
      <c r="M144" s="42"/>
    </row>
    <row r="145" spans="5:13">
      <c r="E145" s="49">
        <v>45049.190972221113</v>
      </c>
      <c r="F145" s="56">
        <v>5.6723431790643728</v>
      </c>
      <c r="G145" s="48"/>
      <c r="H145" s="48"/>
      <c r="I145" s="48"/>
      <c r="J145" s="48"/>
      <c r="L145" s="65"/>
      <c r="M145" s="42"/>
    </row>
    <row r="146" spans="5:13">
      <c r="E146" s="49">
        <v>45049.194444443332</v>
      </c>
      <c r="F146" s="56">
        <v>5.6723431790643728</v>
      </c>
      <c r="G146" s="48"/>
      <c r="H146" s="48"/>
      <c r="I146" s="48"/>
      <c r="J146" s="48"/>
      <c r="L146" s="65"/>
      <c r="M146" s="42"/>
    </row>
    <row r="147" spans="5:13">
      <c r="E147" s="49">
        <v>45049.197916665551</v>
      </c>
      <c r="F147" s="56">
        <v>5.6723431790643728</v>
      </c>
      <c r="G147" s="48"/>
      <c r="H147" s="48"/>
      <c r="I147" s="48"/>
      <c r="J147" s="48"/>
      <c r="L147" s="65"/>
      <c r="M147" s="42"/>
    </row>
    <row r="148" spans="5:13">
      <c r="E148" s="49">
        <v>45049.20138888777</v>
      </c>
      <c r="F148" s="56">
        <v>5.6723431790643728</v>
      </c>
      <c r="G148" s="48"/>
      <c r="H148" s="48"/>
      <c r="I148" s="48"/>
      <c r="J148" s="48"/>
      <c r="L148" s="65"/>
      <c r="M148" s="42"/>
    </row>
    <row r="149" spans="5:13">
      <c r="E149" s="49">
        <v>45049.204861109989</v>
      </c>
      <c r="F149" s="56">
        <v>5.6723431790643728</v>
      </c>
      <c r="G149" s="48"/>
      <c r="H149" s="48"/>
      <c r="I149" s="48"/>
      <c r="J149" s="48"/>
      <c r="L149" s="65"/>
      <c r="M149" s="42"/>
    </row>
    <row r="150" spans="5:13">
      <c r="E150" s="49">
        <v>45049.208333332208</v>
      </c>
      <c r="F150" s="56">
        <v>5.6723431790643728</v>
      </c>
      <c r="G150" s="48"/>
      <c r="H150" s="48"/>
      <c r="I150" s="48"/>
      <c r="J150" s="48"/>
      <c r="L150" s="65"/>
      <c r="M150" s="42"/>
    </row>
    <row r="151" spans="5:13">
      <c r="E151" s="49">
        <v>45049.211805554427</v>
      </c>
      <c r="F151" s="56">
        <v>5.6723431790643728</v>
      </c>
      <c r="G151" s="48"/>
      <c r="H151" s="48"/>
      <c r="I151" s="48"/>
      <c r="J151" s="48"/>
      <c r="L151" s="65"/>
      <c r="M151" s="42"/>
    </row>
    <row r="152" spans="5:13">
      <c r="E152" s="49">
        <v>45049.215277776646</v>
      </c>
      <c r="F152" s="56">
        <v>5.6723431790643728</v>
      </c>
      <c r="G152" s="48"/>
      <c r="H152" s="48"/>
      <c r="I152" s="48"/>
      <c r="J152" s="48"/>
      <c r="L152" s="65"/>
      <c r="M152" s="42"/>
    </row>
    <row r="153" spans="5:13">
      <c r="E153" s="49">
        <v>45049.218749998865</v>
      </c>
      <c r="F153" s="56">
        <v>5.6723431790643728</v>
      </c>
      <c r="G153" s="48"/>
      <c r="H153" s="48"/>
      <c r="I153" s="48"/>
      <c r="J153" s="48"/>
      <c r="L153" s="65"/>
      <c r="M153" s="42"/>
    </row>
    <row r="154" spans="5:13">
      <c r="E154" s="49">
        <v>45049.222222221084</v>
      </c>
      <c r="F154" s="56">
        <v>5.6723431790643728</v>
      </c>
      <c r="G154" s="48"/>
      <c r="H154" s="48"/>
      <c r="I154" s="48"/>
      <c r="J154" s="48"/>
      <c r="L154" s="65"/>
      <c r="M154" s="42"/>
    </row>
    <row r="155" spans="5:13">
      <c r="E155" s="49">
        <v>45049.225694443303</v>
      </c>
      <c r="F155" s="56">
        <v>5.6723431790643728</v>
      </c>
      <c r="G155" s="48"/>
      <c r="H155" s="48"/>
      <c r="I155" s="48"/>
      <c r="J155" s="48"/>
      <c r="L155" s="65"/>
      <c r="M155" s="42"/>
    </row>
    <row r="156" spans="5:13">
      <c r="E156" s="49">
        <v>45049.229166665522</v>
      </c>
      <c r="F156" s="56">
        <v>5.6723431790643728</v>
      </c>
      <c r="G156" s="48"/>
      <c r="H156" s="48"/>
      <c r="I156" s="48"/>
      <c r="J156" s="48"/>
      <c r="L156" s="65"/>
      <c r="M156" s="42"/>
    </row>
    <row r="157" spans="5:13">
      <c r="E157" s="49">
        <v>45049.232638887741</v>
      </c>
      <c r="F157" s="56">
        <v>0</v>
      </c>
      <c r="G157" s="48"/>
      <c r="H157" s="48"/>
      <c r="I157" s="48"/>
      <c r="J157" s="48"/>
      <c r="L157" s="65"/>
      <c r="M157" s="42"/>
    </row>
    <row r="158" spans="5:13">
      <c r="E158" s="49">
        <v>45049.23611110996</v>
      </c>
      <c r="F158" s="56">
        <v>0</v>
      </c>
      <c r="G158" s="48"/>
      <c r="H158" s="48"/>
      <c r="I158" s="48"/>
      <c r="J158" s="48"/>
      <c r="L158" s="65"/>
      <c r="M158" s="42"/>
    </row>
    <row r="159" spans="5:13">
      <c r="E159" s="49">
        <v>45049.239583332179</v>
      </c>
      <c r="F159" s="56">
        <v>0</v>
      </c>
      <c r="G159" s="48"/>
      <c r="H159" s="48"/>
      <c r="I159" s="48"/>
      <c r="J159" s="48"/>
      <c r="L159" s="65"/>
      <c r="M159" s="42"/>
    </row>
    <row r="160" spans="5:13">
      <c r="E160" s="49">
        <v>45049.243055554398</v>
      </c>
      <c r="F160" s="56">
        <v>0</v>
      </c>
      <c r="G160" s="48"/>
      <c r="H160" s="48"/>
      <c r="I160" s="48"/>
      <c r="J160" s="48"/>
      <c r="L160" s="65"/>
      <c r="M160" s="42"/>
    </row>
    <row r="161" spans="5:13">
      <c r="E161" s="49">
        <v>45049.246527776617</v>
      </c>
      <c r="F161" s="56">
        <v>0</v>
      </c>
      <c r="G161" s="48"/>
      <c r="H161" s="48"/>
      <c r="I161" s="48"/>
      <c r="J161" s="48"/>
      <c r="L161" s="65"/>
      <c r="M161" s="42"/>
    </row>
    <row r="162" spans="5:13">
      <c r="E162" s="49">
        <v>45049.249999998836</v>
      </c>
      <c r="F162" s="56">
        <v>0</v>
      </c>
      <c r="G162" s="48"/>
      <c r="H162" s="48"/>
      <c r="I162" s="48"/>
      <c r="J162" s="48"/>
      <c r="L162" s="65"/>
      <c r="M162" s="42"/>
    </row>
    <row r="163" spans="5:13">
      <c r="E163" s="49">
        <v>45049.253472221055</v>
      </c>
      <c r="F163" s="56">
        <v>0</v>
      </c>
      <c r="G163" s="48"/>
      <c r="H163" s="48"/>
      <c r="I163" s="48"/>
      <c r="J163" s="48"/>
      <c r="L163" s="65"/>
      <c r="M163" s="42"/>
    </row>
    <row r="164" spans="5:13">
      <c r="E164" s="49">
        <v>45049.256944443274</v>
      </c>
      <c r="F164" s="56">
        <v>0</v>
      </c>
      <c r="G164" s="48"/>
      <c r="H164" s="48"/>
      <c r="I164" s="48"/>
      <c r="J164" s="48"/>
      <c r="L164" s="65"/>
      <c r="M164" s="42"/>
    </row>
    <row r="165" spans="5:13">
      <c r="E165" s="49">
        <v>45049.260416665493</v>
      </c>
      <c r="F165" s="56">
        <v>0</v>
      </c>
      <c r="G165" s="48"/>
      <c r="H165" s="48"/>
      <c r="I165" s="48"/>
      <c r="J165" s="48"/>
      <c r="L165" s="65"/>
      <c r="M165" s="42"/>
    </row>
    <row r="166" spans="5:13">
      <c r="E166" s="49">
        <v>45049.263888887712</v>
      </c>
      <c r="F166" s="56">
        <v>0</v>
      </c>
      <c r="G166" s="48"/>
      <c r="H166" s="48"/>
      <c r="I166" s="48"/>
      <c r="J166" s="48"/>
      <c r="L166" s="65"/>
      <c r="M166" s="42"/>
    </row>
    <row r="167" spans="5:13">
      <c r="E167" s="49">
        <v>45049.267361109931</v>
      </c>
      <c r="F167" s="56">
        <v>0</v>
      </c>
      <c r="G167" s="48"/>
      <c r="H167" s="48"/>
      <c r="I167" s="48"/>
      <c r="J167" s="48"/>
      <c r="L167" s="65"/>
      <c r="M167" s="42"/>
    </row>
    <row r="168" spans="5:13">
      <c r="E168" s="49">
        <v>45049.27083333215</v>
      </c>
      <c r="F168" s="56">
        <v>0</v>
      </c>
      <c r="G168" s="48"/>
      <c r="H168" s="48"/>
      <c r="I168" s="48"/>
      <c r="J168" s="48"/>
      <c r="L168" s="65"/>
      <c r="M168" s="42"/>
    </row>
    <row r="169" spans="5:13">
      <c r="E169" s="49">
        <v>45049.274305554369</v>
      </c>
      <c r="F169" s="56">
        <v>0</v>
      </c>
      <c r="G169" s="48"/>
      <c r="H169" s="48"/>
      <c r="I169" s="48"/>
      <c r="J169" s="48"/>
      <c r="L169" s="65"/>
      <c r="M169" s="42"/>
    </row>
    <row r="170" spans="5:13">
      <c r="E170" s="49">
        <v>45049.277777776588</v>
      </c>
      <c r="F170" s="56">
        <v>0</v>
      </c>
      <c r="G170" s="48"/>
      <c r="H170" s="48"/>
      <c r="I170" s="48"/>
      <c r="J170" s="48"/>
      <c r="L170" s="65"/>
      <c r="M170" s="42"/>
    </row>
    <row r="171" spans="5:13">
      <c r="E171" s="49">
        <v>45049.281249998807</v>
      </c>
      <c r="F171" s="56">
        <v>0</v>
      </c>
      <c r="G171" s="48"/>
      <c r="H171" s="48"/>
      <c r="I171" s="48"/>
      <c r="J171" s="48"/>
      <c r="L171" s="65"/>
      <c r="M171" s="42"/>
    </row>
    <row r="172" spans="5:13">
      <c r="E172" s="49">
        <v>45049.284722221026</v>
      </c>
      <c r="F172" s="56">
        <v>0</v>
      </c>
      <c r="G172" s="48"/>
      <c r="H172" s="48"/>
      <c r="I172" s="48"/>
      <c r="J172" s="48"/>
      <c r="L172" s="65"/>
      <c r="M172" s="42"/>
    </row>
    <row r="173" spans="5:13">
      <c r="E173" s="49">
        <v>45049.288194443245</v>
      </c>
      <c r="F173" s="56">
        <v>0</v>
      </c>
      <c r="G173" s="48"/>
      <c r="H173" s="48"/>
      <c r="I173" s="48"/>
      <c r="J173" s="48"/>
      <c r="L173" s="65"/>
      <c r="M173" s="42"/>
    </row>
    <row r="174" spans="5:13">
      <c r="E174" s="49">
        <v>45049.291666665464</v>
      </c>
      <c r="F174" s="56">
        <v>6.2894644720405699</v>
      </c>
      <c r="G174" s="48"/>
      <c r="H174" s="48"/>
      <c r="I174" s="48"/>
      <c r="J174" s="48"/>
      <c r="L174" s="65"/>
      <c r="M174" s="42"/>
    </row>
    <row r="175" spans="5:13">
      <c r="E175" s="49">
        <v>45049.295138887683</v>
      </c>
      <c r="F175" s="56">
        <v>6.2894644720405699</v>
      </c>
      <c r="G175" s="48"/>
      <c r="H175" s="48"/>
      <c r="I175" s="48"/>
      <c r="J175" s="48"/>
      <c r="L175" s="65"/>
      <c r="M175" s="42"/>
    </row>
    <row r="176" spans="5:13">
      <c r="E176" s="49">
        <v>45049.298611109902</v>
      </c>
      <c r="F176" s="56">
        <v>6.2894644720405699</v>
      </c>
      <c r="G176" s="48"/>
      <c r="H176" s="48"/>
      <c r="I176" s="48"/>
      <c r="J176" s="48"/>
      <c r="L176" s="65"/>
      <c r="M176" s="42"/>
    </row>
    <row r="177" spans="5:13">
      <c r="E177" s="49">
        <v>45049.302083332121</v>
      </c>
      <c r="F177" s="56">
        <v>6.2894644720405699</v>
      </c>
      <c r="G177" s="48"/>
      <c r="H177" s="48"/>
      <c r="I177" s="48"/>
      <c r="J177" s="48"/>
      <c r="L177" s="65"/>
      <c r="M177" s="42"/>
    </row>
    <row r="178" spans="5:13">
      <c r="E178" s="49">
        <v>45049.30555555434</v>
      </c>
      <c r="F178" s="56">
        <v>6.2894644720405699</v>
      </c>
      <c r="G178" s="48"/>
      <c r="H178" s="48"/>
      <c r="I178" s="48"/>
      <c r="J178" s="48"/>
      <c r="L178" s="65"/>
      <c r="M178" s="42"/>
    </row>
    <row r="179" spans="5:13">
      <c r="E179" s="49">
        <v>45049.309027776559</v>
      </c>
      <c r="F179" s="56">
        <v>6.2894644720405699</v>
      </c>
      <c r="G179" s="48"/>
      <c r="H179" s="48"/>
      <c r="I179" s="48"/>
      <c r="J179" s="48"/>
      <c r="L179" s="65"/>
      <c r="M179" s="42"/>
    </row>
    <row r="180" spans="5:13">
      <c r="E180" s="49">
        <v>45049.312499998778</v>
      </c>
      <c r="F180" s="56">
        <v>6.2894644720405699</v>
      </c>
      <c r="G180" s="48"/>
      <c r="H180" s="48"/>
      <c r="I180" s="48"/>
      <c r="J180" s="48"/>
      <c r="L180" s="65"/>
      <c r="M180" s="42"/>
    </row>
    <row r="181" spans="5:13">
      <c r="E181" s="49">
        <v>45049.315972220997</v>
      </c>
      <c r="F181" s="56">
        <v>6.2894644720405699</v>
      </c>
      <c r="G181" s="48"/>
      <c r="H181" s="48"/>
      <c r="I181" s="48"/>
      <c r="J181" s="48"/>
      <c r="L181" s="65"/>
      <c r="M181" s="42"/>
    </row>
    <row r="182" spans="5:13">
      <c r="E182" s="49">
        <v>45049.319444443216</v>
      </c>
      <c r="F182" s="56">
        <v>6.2894644720405699</v>
      </c>
      <c r="G182" s="48"/>
      <c r="H182" s="48"/>
      <c r="I182" s="48"/>
      <c r="J182" s="48"/>
      <c r="L182" s="65"/>
      <c r="M182" s="42"/>
    </row>
    <row r="183" spans="5:13">
      <c r="E183" s="49">
        <v>45049.322916665435</v>
      </c>
      <c r="F183" s="56">
        <v>6.2894644720405699</v>
      </c>
      <c r="G183" s="48"/>
      <c r="H183" s="48"/>
      <c r="I183" s="48"/>
      <c r="J183" s="48"/>
      <c r="L183" s="65"/>
      <c r="M183" s="42"/>
    </row>
    <row r="184" spans="5:13">
      <c r="E184" s="49">
        <v>45049.326388887654</v>
      </c>
      <c r="F184" s="56">
        <v>6.2894644720405699</v>
      </c>
      <c r="G184" s="48"/>
      <c r="H184" s="48"/>
      <c r="I184" s="48"/>
      <c r="J184" s="48"/>
      <c r="L184" s="65"/>
      <c r="M184" s="42"/>
    </row>
    <row r="185" spans="5:13">
      <c r="E185" s="49">
        <v>45049.329861109873</v>
      </c>
      <c r="F185" s="56">
        <v>6.2894644720405699</v>
      </c>
      <c r="G185" s="48"/>
      <c r="H185" s="48"/>
      <c r="I185" s="48"/>
      <c r="J185" s="48"/>
      <c r="L185" s="65"/>
      <c r="M185" s="42"/>
    </row>
    <row r="186" spans="5:13">
      <c r="E186" s="49">
        <v>45049.333333332092</v>
      </c>
      <c r="F186" s="56">
        <v>6.2894644720405699</v>
      </c>
      <c r="G186" s="48"/>
      <c r="H186" s="48"/>
      <c r="I186" s="48"/>
      <c r="J186" s="48"/>
      <c r="L186" s="65"/>
      <c r="M186" s="42"/>
    </row>
    <row r="187" spans="5:13">
      <c r="E187" s="49">
        <v>45049.336805554311</v>
      </c>
      <c r="F187" s="56">
        <v>6.2894644720405699</v>
      </c>
      <c r="G187" s="48"/>
      <c r="H187" s="48"/>
      <c r="I187" s="48"/>
      <c r="J187" s="48"/>
      <c r="L187" s="65"/>
      <c r="M187" s="42"/>
    </row>
    <row r="188" spans="5:13">
      <c r="E188" s="49">
        <v>45049.34027777653</v>
      </c>
      <c r="F188" s="56">
        <v>6.2894644720405699</v>
      </c>
      <c r="G188" s="48"/>
      <c r="H188" s="48"/>
      <c r="I188" s="48"/>
      <c r="J188" s="48"/>
      <c r="L188" s="65"/>
      <c r="M188" s="42"/>
    </row>
    <row r="189" spans="5:13">
      <c r="E189" s="49">
        <v>45049.343749998749</v>
      </c>
      <c r="F189" s="56">
        <v>6.2894644720405699</v>
      </c>
      <c r="G189" s="48"/>
      <c r="H189" s="48"/>
      <c r="I189" s="48"/>
      <c r="J189" s="48"/>
      <c r="L189" s="65"/>
      <c r="M189" s="42"/>
    </row>
    <row r="190" spans="5:13">
      <c r="E190" s="49">
        <v>45049.347222220968</v>
      </c>
      <c r="F190" s="56">
        <v>6.2894644720405699</v>
      </c>
      <c r="G190" s="48"/>
      <c r="H190" s="48"/>
      <c r="I190" s="48"/>
      <c r="J190" s="48"/>
      <c r="L190" s="65"/>
      <c r="M190" s="42"/>
    </row>
    <row r="191" spans="5:13">
      <c r="E191" s="49">
        <v>45049.350694443187</v>
      </c>
      <c r="F191" s="56">
        <v>6.2894644720405699</v>
      </c>
      <c r="G191" s="48"/>
      <c r="H191" s="48"/>
      <c r="I191" s="48"/>
      <c r="J191" s="48"/>
      <c r="L191" s="65"/>
      <c r="M191" s="42"/>
    </row>
    <row r="192" spans="5:13">
      <c r="E192" s="49">
        <v>45049.354166665406</v>
      </c>
      <c r="F192" s="56">
        <v>6.2894644720405699</v>
      </c>
      <c r="G192" s="48"/>
      <c r="H192" s="48"/>
      <c r="I192" s="48"/>
      <c r="J192" s="48"/>
      <c r="L192" s="65"/>
      <c r="M192" s="42"/>
    </row>
    <row r="193" spans="3:13">
      <c r="E193" s="49">
        <v>45049.357638887624</v>
      </c>
      <c r="F193" s="56">
        <v>6.2894644720405699</v>
      </c>
      <c r="G193" s="48"/>
      <c r="H193" s="48"/>
      <c r="I193" s="48"/>
      <c r="J193" s="48"/>
      <c r="L193" s="65"/>
      <c r="M193" s="42"/>
    </row>
    <row r="194" spans="3:13">
      <c r="E194" s="49">
        <v>45049.361111109843</v>
      </c>
      <c r="F194" s="56">
        <v>6.2894644720405699</v>
      </c>
      <c r="G194" s="48"/>
      <c r="H194" s="48"/>
      <c r="I194" s="48"/>
      <c r="J194" s="48"/>
      <c r="L194" s="65"/>
      <c r="M194" s="42"/>
    </row>
    <row r="195" spans="3:13">
      <c r="E195" s="49">
        <v>45049.364583332062</v>
      </c>
      <c r="F195" s="56">
        <v>6.2894644720405699</v>
      </c>
      <c r="G195" s="48"/>
      <c r="H195" s="48"/>
      <c r="I195" s="48"/>
      <c r="J195" s="48"/>
      <c r="L195" s="65"/>
      <c r="M195" s="42"/>
    </row>
    <row r="196" spans="3:13">
      <c r="E196" s="49">
        <v>45049.368055554281</v>
      </c>
      <c r="F196" s="56">
        <v>6.2894644720405699</v>
      </c>
      <c r="G196" s="48"/>
      <c r="H196" s="48"/>
      <c r="I196" s="48"/>
      <c r="J196" s="48"/>
      <c r="L196" s="65"/>
      <c r="M196" s="42"/>
    </row>
    <row r="197" spans="3:13">
      <c r="E197" s="49">
        <v>45049.3715277765</v>
      </c>
      <c r="F197" s="56">
        <v>6.2894644720405699</v>
      </c>
      <c r="G197" s="48"/>
      <c r="H197" s="48"/>
      <c r="I197" s="48"/>
      <c r="J197" s="48"/>
      <c r="L197" s="65"/>
      <c r="M197" s="42"/>
    </row>
    <row r="198" spans="3:13">
      <c r="E198" s="49">
        <v>45049.374999998719</v>
      </c>
      <c r="F198" s="56">
        <v>6.2894644720405699</v>
      </c>
      <c r="G198" s="48"/>
      <c r="H198" s="48"/>
      <c r="I198" s="48"/>
      <c r="J198" s="48"/>
      <c r="L198" s="65"/>
      <c r="M198" s="42"/>
    </row>
    <row r="199" spans="3:13">
      <c r="E199" s="49">
        <v>45049.378472220938</v>
      </c>
      <c r="F199" s="56">
        <v>6.2894644720405699</v>
      </c>
      <c r="G199" s="48"/>
      <c r="H199" s="48"/>
      <c r="I199" s="48"/>
      <c r="J199" s="48"/>
      <c r="L199" s="65"/>
      <c r="M199" s="42"/>
    </row>
    <row r="200" spans="3:13">
      <c r="E200" s="49">
        <v>45049.381944443157</v>
      </c>
      <c r="F200" s="56">
        <v>6.2894644720405699</v>
      </c>
      <c r="G200" s="48"/>
      <c r="H200" s="48"/>
      <c r="I200" s="48"/>
      <c r="J200" s="48"/>
      <c r="L200" s="65"/>
      <c r="M200" s="42"/>
    </row>
    <row r="201" spans="3:13">
      <c r="E201" s="49">
        <v>45049.385416665376</v>
      </c>
      <c r="F201" s="56">
        <v>6.2894644720405699</v>
      </c>
      <c r="G201" s="48"/>
      <c r="H201" s="48"/>
      <c r="I201" s="48"/>
      <c r="J201" s="48"/>
      <c r="L201" s="65"/>
      <c r="M201" s="42"/>
    </row>
    <row r="202" spans="3:13">
      <c r="E202" s="49">
        <v>45049.388888887595</v>
      </c>
      <c r="F202" s="56">
        <v>6.2894644720405699</v>
      </c>
      <c r="G202" s="48"/>
      <c r="H202" s="48"/>
      <c r="I202" s="48"/>
      <c r="J202" s="48"/>
      <c r="L202" s="65"/>
      <c r="M202" s="42"/>
    </row>
    <row r="203" spans="3:13">
      <c r="E203" s="49">
        <v>45049.392361109814</v>
      </c>
      <c r="F203" s="56">
        <v>6.2894644720405699</v>
      </c>
      <c r="G203" s="48"/>
      <c r="H203" s="48"/>
      <c r="I203" s="48"/>
      <c r="J203" s="48"/>
      <c r="L203" s="65"/>
      <c r="M203" s="42"/>
    </row>
    <row r="204" spans="3:13">
      <c r="E204" s="49">
        <v>45049.395833332033</v>
      </c>
      <c r="F204" s="56">
        <v>6.2894644720405699</v>
      </c>
      <c r="G204" s="48"/>
      <c r="H204" s="48"/>
      <c r="I204" s="48"/>
      <c r="J204" s="48"/>
      <c r="L204" s="65"/>
      <c r="M204" s="42"/>
    </row>
    <row r="205" spans="3:13">
      <c r="E205" s="49">
        <v>45049.399305554252</v>
      </c>
      <c r="F205" s="56">
        <v>6.2894644720405699</v>
      </c>
      <c r="G205" s="48"/>
      <c r="H205" s="48"/>
      <c r="I205" s="48"/>
      <c r="J205" s="48"/>
      <c r="L205" s="65"/>
      <c r="M205" s="42"/>
    </row>
    <row r="206" spans="3:13">
      <c r="E206" s="49">
        <v>45049.402777776471</v>
      </c>
      <c r="F206" s="56">
        <v>6.2894644720405699</v>
      </c>
      <c r="G206" s="48"/>
      <c r="H206" s="48"/>
      <c r="I206" s="48"/>
      <c r="J206" s="48"/>
      <c r="L206" s="65"/>
      <c r="M206" s="42"/>
    </row>
    <row r="207" spans="3:13">
      <c r="C207" s="41"/>
      <c r="E207" s="49">
        <v>45049.40624999869</v>
      </c>
      <c r="F207" s="56">
        <v>6.2894644720405699</v>
      </c>
      <c r="G207" s="48"/>
      <c r="H207" s="48"/>
      <c r="I207" s="48"/>
      <c r="J207" s="48"/>
      <c r="L207" s="65"/>
      <c r="M207" s="42"/>
    </row>
    <row r="208" spans="3:13">
      <c r="E208" s="49">
        <v>45049.409722220909</v>
      </c>
      <c r="F208" s="56">
        <v>6.2894644720405699</v>
      </c>
      <c r="G208" s="48"/>
      <c r="H208" s="48"/>
      <c r="I208" s="48"/>
      <c r="J208" s="48"/>
      <c r="L208" s="65"/>
      <c r="M208" s="42"/>
    </row>
    <row r="209" spans="5:13">
      <c r="E209" s="49">
        <v>45049.413194443128</v>
      </c>
      <c r="F209" s="56">
        <v>6.2894644720405699</v>
      </c>
      <c r="G209" s="48"/>
      <c r="H209" s="48"/>
      <c r="I209" s="48"/>
      <c r="J209" s="48"/>
      <c r="L209" s="65"/>
      <c r="M209" s="42"/>
    </row>
    <row r="210" spans="5:13">
      <c r="E210" s="49">
        <v>45049.416666665347</v>
      </c>
      <c r="F210" s="56">
        <v>6.2894644720405699</v>
      </c>
      <c r="G210" s="48"/>
      <c r="H210" s="48"/>
      <c r="I210" s="48"/>
      <c r="J210" s="48"/>
      <c r="L210" s="65"/>
    </row>
    <row r="211" spans="5:13">
      <c r="E211" s="49">
        <v>45049.420138887566</v>
      </c>
      <c r="F211" s="56">
        <v>6.2894644720405699</v>
      </c>
      <c r="G211" s="48"/>
      <c r="H211" s="48"/>
      <c r="I211" s="48"/>
      <c r="J211" s="48"/>
      <c r="L211" s="65"/>
    </row>
    <row r="212" spans="5:13">
      <c r="E212" s="49">
        <v>45049.423611109785</v>
      </c>
      <c r="F212" s="56">
        <v>6.2894644720405699</v>
      </c>
      <c r="G212" s="48"/>
      <c r="H212" s="48"/>
      <c r="I212" s="48"/>
      <c r="J212" s="48"/>
      <c r="L212" s="65"/>
    </row>
    <row r="213" spans="5:13">
      <c r="E213" s="49">
        <v>45049.427083332004</v>
      </c>
      <c r="F213" s="56">
        <v>6.2894644720405699</v>
      </c>
      <c r="G213" s="48"/>
      <c r="H213" s="48"/>
      <c r="I213" s="48"/>
      <c r="J213" s="48"/>
      <c r="L213" s="65"/>
    </row>
    <row r="214" spans="5:13">
      <c r="E214" s="49">
        <v>45049.430555554223</v>
      </c>
      <c r="F214" s="56">
        <v>6.2894644720405699</v>
      </c>
      <c r="G214" s="48"/>
      <c r="H214" s="48"/>
      <c r="I214" s="48"/>
      <c r="J214" s="48"/>
      <c r="L214" s="65"/>
    </row>
    <row r="215" spans="5:13">
      <c r="E215" s="49">
        <v>45049.434027776442</v>
      </c>
      <c r="F215" s="56">
        <v>6.2894644720405699</v>
      </c>
      <c r="G215" s="48"/>
      <c r="H215" s="48"/>
      <c r="I215" s="48"/>
      <c r="J215" s="48"/>
      <c r="L215" s="65"/>
    </row>
    <row r="216" spans="5:13">
      <c r="E216" s="49">
        <v>45049.437499998661</v>
      </c>
      <c r="F216" s="56">
        <v>6.2894644720405699</v>
      </c>
      <c r="G216" s="48"/>
      <c r="H216" s="48"/>
      <c r="I216" s="48"/>
      <c r="J216" s="48"/>
      <c r="L216" s="65"/>
    </row>
    <row r="217" spans="5:13">
      <c r="E217" s="49">
        <v>45049.44097222088</v>
      </c>
      <c r="F217" s="56">
        <v>6.2894644720405699</v>
      </c>
      <c r="G217" s="48"/>
      <c r="H217" s="48"/>
      <c r="I217" s="48"/>
      <c r="J217" s="48"/>
      <c r="L217" s="65"/>
    </row>
    <row r="218" spans="5:13">
      <c r="E218" s="49">
        <v>45049.444444443099</v>
      </c>
      <c r="F218" s="56">
        <v>6.2894644720405699</v>
      </c>
      <c r="G218" s="48"/>
      <c r="H218" s="48"/>
      <c r="I218" s="48"/>
      <c r="J218" s="48"/>
      <c r="L218" s="65"/>
    </row>
    <row r="219" spans="5:13">
      <c r="E219" s="49">
        <v>45049.447916665318</v>
      </c>
      <c r="F219" s="56">
        <v>6.2894644720405699</v>
      </c>
      <c r="G219" s="48"/>
      <c r="H219" s="48"/>
      <c r="I219" s="48"/>
      <c r="J219" s="48"/>
      <c r="L219" s="65"/>
    </row>
    <row r="220" spans="5:13">
      <c r="E220" s="49">
        <v>45049.451388887537</v>
      </c>
      <c r="F220" s="56">
        <v>6.2894644720405699</v>
      </c>
      <c r="G220" s="48"/>
      <c r="H220" s="48"/>
      <c r="I220" s="48"/>
      <c r="J220" s="48"/>
      <c r="L220" s="65"/>
    </row>
    <row r="221" spans="5:13">
      <c r="E221" s="49">
        <v>45049.454861109756</v>
      </c>
      <c r="F221" s="56">
        <v>6.2894644720405699</v>
      </c>
      <c r="G221" s="48"/>
      <c r="H221" s="48"/>
      <c r="I221" s="48"/>
      <c r="J221" s="48"/>
      <c r="L221" s="65"/>
    </row>
    <row r="222" spans="5:13">
      <c r="E222" s="49">
        <v>45049.458333331975</v>
      </c>
      <c r="F222" s="56">
        <v>6.2894644720405699</v>
      </c>
      <c r="G222" s="48"/>
      <c r="H222" s="48"/>
      <c r="I222" s="48"/>
      <c r="J222" s="48"/>
      <c r="L222" s="65"/>
    </row>
    <row r="223" spans="5:13">
      <c r="E223" s="49">
        <v>45049.461805554194</v>
      </c>
      <c r="F223" s="56">
        <v>6.2894644720405699</v>
      </c>
      <c r="G223" s="48"/>
      <c r="H223" s="48"/>
      <c r="I223" s="48"/>
      <c r="J223" s="48"/>
      <c r="L223" s="65"/>
    </row>
    <row r="224" spans="5:13">
      <c r="E224" s="49">
        <v>45049.465277776413</v>
      </c>
      <c r="F224" s="56">
        <v>6.2894644720405699</v>
      </c>
      <c r="G224" s="48"/>
      <c r="H224" s="48"/>
      <c r="I224" s="48"/>
      <c r="J224" s="48"/>
      <c r="L224" s="65"/>
    </row>
    <row r="225" spans="5:12">
      <c r="E225" s="49">
        <v>45049.468749998632</v>
      </c>
      <c r="F225" s="56">
        <v>6.2894644720405699</v>
      </c>
      <c r="G225" s="48"/>
      <c r="H225" s="48"/>
      <c r="I225" s="48"/>
      <c r="J225" s="48"/>
      <c r="L225" s="65"/>
    </row>
    <row r="226" spans="5:12">
      <c r="E226" s="49">
        <v>45049.472222220851</v>
      </c>
      <c r="F226" s="56">
        <v>6.2894644720405699</v>
      </c>
      <c r="G226" s="48"/>
      <c r="H226" s="48"/>
      <c r="I226" s="48"/>
      <c r="J226" s="48"/>
      <c r="L226" s="65"/>
    </row>
    <row r="227" spans="5:12">
      <c r="E227" s="49">
        <v>45049.47569444307</v>
      </c>
      <c r="F227" s="56">
        <v>6.2894644720405699</v>
      </c>
      <c r="G227" s="48"/>
      <c r="H227" s="48"/>
      <c r="I227" s="48"/>
      <c r="J227" s="48"/>
      <c r="L227" s="65"/>
    </row>
    <row r="228" spans="5:12">
      <c r="E228" s="49">
        <v>45049.479166665289</v>
      </c>
      <c r="F228" s="56">
        <v>6.2894644720405699</v>
      </c>
      <c r="G228" s="48"/>
      <c r="H228" s="48"/>
      <c r="I228" s="48"/>
      <c r="J228" s="48"/>
      <c r="L228" s="65"/>
    </row>
    <row r="229" spans="5:12">
      <c r="E229" s="49">
        <v>45049.482638887508</v>
      </c>
      <c r="F229" s="56">
        <v>6.2894644720405699</v>
      </c>
      <c r="G229" s="48"/>
      <c r="H229" s="48"/>
      <c r="I229" s="48"/>
      <c r="J229" s="48"/>
      <c r="L229" s="65"/>
    </row>
    <row r="230" spans="5:12">
      <c r="E230" s="49">
        <v>45049.486111109727</v>
      </c>
      <c r="F230" s="56">
        <v>6.2894644720405699</v>
      </c>
      <c r="G230" s="48"/>
      <c r="H230" s="48"/>
      <c r="I230" s="48"/>
      <c r="J230" s="48"/>
      <c r="L230" s="65"/>
    </row>
    <row r="231" spans="5:12">
      <c r="E231" s="49">
        <v>45049.489583331946</v>
      </c>
      <c r="F231" s="56">
        <v>6.2894644720405699</v>
      </c>
      <c r="G231" s="48"/>
      <c r="H231" s="48"/>
      <c r="I231" s="48"/>
      <c r="J231" s="48"/>
      <c r="L231" s="65"/>
    </row>
    <row r="232" spans="5:12">
      <c r="E232" s="49">
        <v>45049.493055554165</v>
      </c>
      <c r="F232" s="56">
        <v>6.2894644720405699</v>
      </c>
      <c r="G232" s="48"/>
      <c r="H232" s="48"/>
      <c r="I232" s="48"/>
      <c r="J232" s="48"/>
      <c r="L232" s="65"/>
    </row>
    <row r="233" spans="5:12">
      <c r="E233" s="49">
        <v>45049.496527776384</v>
      </c>
      <c r="F233" s="56">
        <v>6.2894644720405699</v>
      </c>
      <c r="G233" s="48"/>
      <c r="H233" s="48"/>
      <c r="I233" s="48"/>
      <c r="J233" s="48"/>
      <c r="L233" s="65"/>
    </row>
    <row r="234" spans="5:12">
      <c r="E234" s="49">
        <v>45049.499999998603</v>
      </c>
      <c r="F234" s="56">
        <v>6.2894644720405699</v>
      </c>
      <c r="G234" s="48"/>
      <c r="H234" s="48"/>
      <c r="I234" s="48"/>
      <c r="J234" s="48"/>
      <c r="L234" s="65"/>
    </row>
    <row r="235" spans="5:12">
      <c r="E235" s="49">
        <v>45049.503472220822</v>
      </c>
      <c r="F235" s="56">
        <v>6.2894644720405699</v>
      </c>
      <c r="G235" s="48"/>
      <c r="H235" s="48"/>
      <c r="I235" s="48"/>
      <c r="J235" s="48"/>
      <c r="L235" s="65"/>
    </row>
    <row r="236" spans="5:12">
      <c r="E236" s="49">
        <v>45049.506944443041</v>
      </c>
      <c r="F236" s="56">
        <v>6.2894644720405699</v>
      </c>
      <c r="G236" s="48"/>
      <c r="H236" s="48"/>
      <c r="I236" s="48"/>
      <c r="J236" s="48"/>
      <c r="L236" s="65"/>
    </row>
    <row r="237" spans="5:12">
      <c r="E237" s="49">
        <v>45049.51041666526</v>
      </c>
      <c r="F237" s="56">
        <v>6.2894644720405699</v>
      </c>
      <c r="G237" s="48"/>
      <c r="H237" s="48"/>
      <c r="I237" s="48"/>
      <c r="J237" s="48"/>
      <c r="L237" s="65"/>
    </row>
    <row r="238" spans="5:12">
      <c r="E238" s="49">
        <v>45049.513888887479</v>
      </c>
      <c r="F238" s="56">
        <v>6.2894644720405699</v>
      </c>
      <c r="G238" s="48"/>
      <c r="H238" s="48"/>
      <c r="I238" s="48"/>
      <c r="J238" s="48"/>
      <c r="L238" s="65"/>
    </row>
    <row r="239" spans="5:12">
      <c r="E239" s="49">
        <v>45049.517361109698</v>
      </c>
      <c r="F239" s="56">
        <v>6.2894644720405699</v>
      </c>
      <c r="G239" s="48"/>
      <c r="H239" s="48"/>
      <c r="I239" s="48"/>
      <c r="J239" s="48"/>
      <c r="L239" s="65"/>
    </row>
    <row r="240" spans="5:12">
      <c r="E240" s="49">
        <v>45049.520833331917</v>
      </c>
      <c r="F240" s="56">
        <v>6.2894644720405699</v>
      </c>
      <c r="G240" s="48"/>
      <c r="H240" s="48"/>
      <c r="I240" s="48"/>
      <c r="J240" s="48"/>
      <c r="L240" s="65"/>
    </row>
    <row r="241" spans="5:12">
      <c r="E241" s="49">
        <v>45049.524305554136</v>
      </c>
      <c r="F241" s="56">
        <v>6.2894644720405699</v>
      </c>
      <c r="G241" s="48"/>
      <c r="H241" s="48"/>
      <c r="I241" s="48"/>
      <c r="J241" s="48"/>
      <c r="L241" s="65"/>
    </row>
    <row r="242" spans="5:12">
      <c r="E242" s="49">
        <v>45049.527777776355</v>
      </c>
      <c r="F242" s="56">
        <v>6.2894644720405699</v>
      </c>
      <c r="G242" s="48"/>
      <c r="H242" s="48"/>
      <c r="I242" s="48"/>
      <c r="J242" s="48"/>
      <c r="L242" s="65"/>
    </row>
    <row r="243" spans="5:12">
      <c r="E243" s="49">
        <v>45049.531249998574</v>
      </c>
      <c r="F243" s="56">
        <v>6.2894644720405699</v>
      </c>
      <c r="G243" s="48"/>
      <c r="H243" s="48"/>
      <c r="I243" s="48"/>
      <c r="J243" s="48"/>
      <c r="L243" s="65"/>
    </row>
    <row r="244" spans="5:12">
      <c r="E244" s="49">
        <v>45049.534722220793</v>
      </c>
      <c r="F244" s="56">
        <v>6.2894644720405699</v>
      </c>
      <c r="G244" s="48"/>
      <c r="H244" s="48"/>
      <c r="I244" s="48"/>
      <c r="J244" s="48"/>
      <c r="L244" s="65"/>
    </row>
    <row r="245" spans="5:12">
      <c r="E245" s="49">
        <v>45049.538194443012</v>
      </c>
      <c r="F245" s="56">
        <v>6.2894644720405699</v>
      </c>
      <c r="G245" s="48"/>
      <c r="H245" s="48"/>
      <c r="I245" s="48"/>
      <c r="J245" s="48"/>
      <c r="L245" s="65"/>
    </row>
    <row r="246" spans="5:12">
      <c r="E246" s="49">
        <v>45049.541666665231</v>
      </c>
      <c r="F246" s="56">
        <v>6.2894644720405699</v>
      </c>
      <c r="G246" s="48"/>
      <c r="H246" s="48"/>
      <c r="I246" s="48"/>
      <c r="J246" s="48"/>
      <c r="L246" s="65"/>
    </row>
    <row r="247" spans="5:12">
      <c r="E247" s="49">
        <v>45049.54513888745</v>
      </c>
      <c r="F247" s="56">
        <v>6.2894644720405699</v>
      </c>
      <c r="G247" s="48"/>
      <c r="H247" s="48"/>
      <c r="I247" s="48"/>
      <c r="J247" s="48"/>
      <c r="L247" s="65"/>
    </row>
    <row r="248" spans="5:12">
      <c r="E248" s="49">
        <v>45049.548611109669</v>
      </c>
      <c r="F248" s="56">
        <v>6.2894644720405699</v>
      </c>
      <c r="G248" s="48"/>
      <c r="H248" s="48"/>
      <c r="I248" s="48"/>
      <c r="J248" s="48"/>
      <c r="L248" s="65"/>
    </row>
    <row r="249" spans="5:12">
      <c r="E249" s="49">
        <v>45049.552083331888</v>
      </c>
      <c r="F249" s="56">
        <v>6.2894644720405699</v>
      </c>
      <c r="G249" s="48"/>
      <c r="H249" s="48"/>
      <c r="I249" s="48"/>
      <c r="J249" s="48"/>
      <c r="L249" s="65"/>
    </row>
    <row r="250" spans="5:12">
      <c r="E250" s="49">
        <v>45049.555555554107</v>
      </c>
      <c r="F250" s="56">
        <v>6.2894644720405699</v>
      </c>
      <c r="G250" s="48"/>
      <c r="H250" s="48"/>
      <c r="I250" s="48"/>
      <c r="J250" s="48"/>
      <c r="L250" s="65"/>
    </row>
    <row r="251" spans="5:12">
      <c r="E251" s="49">
        <v>45049.559027776326</v>
      </c>
      <c r="F251" s="56">
        <v>6.2894644720405699</v>
      </c>
      <c r="G251" s="48"/>
      <c r="H251" s="48"/>
      <c r="I251" s="48"/>
      <c r="J251" s="48"/>
      <c r="L251" s="65"/>
    </row>
    <row r="252" spans="5:12">
      <c r="E252" s="49">
        <v>45049.562499998545</v>
      </c>
      <c r="F252" s="56">
        <v>6.2894644720405699</v>
      </c>
      <c r="G252" s="48"/>
      <c r="H252" s="48"/>
      <c r="I252" s="48"/>
      <c r="J252" s="48"/>
      <c r="L252" s="65"/>
    </row>
    <row r="253" spans="5:12">
      <c r="E253" s="49">
        <v>45049.565972220764</v>
      </c>
      <c r="F253" s="56">
        <v>6.2894644720405699</v>
      </c>
      <c r="G253" s="48"/>
      <c r="H253" s="48"/>
      <c r="I253" s="48"/>
      <c r="J253" s="48"/>
      <c r="L253" s="65"/>
    </row>
    <row r="254" spans="5:12">
      <c r="E254" s="49">
        <v>45049.569444442983</v>
      </c>
      <c r="F254" s="56">
        <v>6.2894644720405699</v>
      </c>
      <c r="G254" s="48"/>
      <c r="H254" s="48"/>
      <c r="I254" s="48"/>
      <c r="J254" s="48"/>
      <c r="L254" s="65"/>
    </row>
    <row r="255" spans="5:12">
      <c r="E255" s="49">
        <v>45049.572916665202</v>
      </c>
      <c r="F255" s="56">
        <v>6.2894644720405699</v>
      </c>
      <c r="G255" s="48"/>
      <c r="H255" s="48"/>
      <c r="I255" s="48"/>
      <c r="J255" s="48"/>
      <c r="L255" s="65"/>
    </row>
    <row r="256" spans="5:12">
      <c r="E256" s="49">
        <v>45049.576388887421</v>
      </c>
      <c r="F256" s="56">
        <v>6.2894644720405699</v>
      </c>
      <c r="G256" s="48"/>
      <c r="H256" s="48"/>
      <c r="I256" s="48"/>
      <c r="J256" s="48"/>
      <c r="L256" s="65"/>
    </row>
    <row r="257" spans="5:12">
      <c r="E257" s="49">
        <v>45049.57986110964</v>
      </c>
      <c r="F257" s="56">
        <v>6.2894644720405699</v>
      </c>
      <c r="G257" s="48"/>
      <c r="H257" s="48"/>
      <c r="I257" s="48"/>
      <c r="J257" s="48"/>
      <c r="L257" s="65"/>
    </row>
    <row r="258" spans="5:12">
      <c r="E258" s="49">
        <v>45049.583333331859</v>
      </c>
      <c r="F258" s="56">
        <v>6.2894644720405699</v>
      </c>
      <c r="G258" s="48"/>
      <c r="H258" s="48"/>
      <c r="I258" s="48"/>
      <c r="J258" s="48"/>
      <c r="L258" s="65"/>
    </row>
    <row r="259" spans="5:12">
      <c r="E259" s="49">
        <v>45049.586805554078</v>
      </c>
      <c r="F259" s="56">
        <v>6.2894644720405699</v>
      </c>
      <c r="G259" s="48"/>
      <c r="H259" s="48"/>
      <c r="I259" s="48"/>
      <c r="J259" s="48"/>
      <c r="L259" s="65"/>
    </row>
    <row r="260" spans="5:12">
      <c r="E260" s="49">
        <v>45049.590277776297</v>
      </c>
      <c r="F260" s="56">
        <v>6.2894644720405699</v>
      </c>
      <c r="G260" s="48"/>
      <c r="H260" s="48"/>
      <c r="I260" s="48"/>
      <c r="J260" s="48"/>
      <c r="L260" s="65"/>
    </row>
    <row r="261" spans="5:12">
      <c r="E261" s="49">
        <v>45049.593749998516</v>
      </c>
      <c r="F261" s="56">
        <v>6.2894644720405699</v>
      </c>
      <c r="G261" s="48"/>
      <c r="H261" s="48"/>
      <c r="I261" s="48"/>
      <c r="J261" s="48"/>
      <c r="L261" s="65"/>
    </row>
    <row r="262" spans="5:12">
      <c r="E262" s="49">
        <v>45049.597222220735</v>
      </c>
      <c r="F262" s="56">
        <v>6.2894644720405699</v>
      </c>
      <c r="G262" s="48"/>
      <c r="H262" s="48"/>
      <c r="I262" s="48"/>
      <c r="J262" s="48"/>
      <c r="L262" s="65"/>
    </row>
    <row r="263" spans="5:12">
      <c r="E263" s="49">
        <v>45049.600694442954</v>
      </c>
      <c r="F263" s="56">
        <v>6.2894644720405699</v>
      </c>
      <c r="G263" s="48"/>
      <c r="H263" s="48"/>
      <c r="I263" s="48"/>
      <c r="J263" s="48"/>
      <c r="L263" s="65"/>
    </row>
    <row r="264" spans="5:12">
      <c r="E264" s="49">
        <v>45049.604166665173</v>
      </c>
      <c r="F264" s="56">
        <v>6.2894644720405699</v>
      </c>
      <c r="G264" s="48"/>
      <c r="H264" s="48"/>
      <c r="I264" s="48"/>
      <c r="J264" s="48"/>
      <c r="L264" s="65"/>
    </row>
    <row r="265" spans="5:12">
      <c r="E265" s="49">
        <v>45049.607638887392</v>
      </c>
      <c r="F265" s="56">
        <v>0</v>
      </c>
      <c r="G265" s="48"/>
      <c r="H265" s="48"/>
      <c r="I265" s="48"/>
      <c r="J265" s="48"/>
      <c r="L265" s="65"/>
    </row>
    <row r="266" spans="5:12">
      <c r="E266" s="49">
        <v>45049.611111109611</v>
      </c>
      <c r="F266" s="56">
        <v>0</v>
      </c>
      <c r="G266" s="48"/>
      <c r="H266" s="48"/>
      <c r="I266" s="48"/>
      <c r="J266" s="48"/>
      <c r="L266" s="65"/>
    </row>
    <row r="267" spans="5:12">
      <c r="E267" s="49">
        <v>45049.61458333183</v>
      </c>
      <c r="F267" s="56">
        <v>0</v>
      </c>
      <c r="G267" s="48"/>
      <c r="H267" s="48"/>
      <c r="I267" s="48"/>
      <c r="J267" s="48"/>
      <c r="L267" s="65"/>
    </row>
    <row r="268" spans="5:12">
      <c r="E268" s="49">
        <v>45049.618055554049</v>
      </c>
      <c r="F268" s="56">
        <v>0</v>
      </c>
      <c r="G268" s="48"/>
      <c r="H268" s="48"/>
      <c r="I268" s="48"/>
      <c r="J268" s="48"/>
      <c r="L268" s="65"/>
    </row>
    <row r="269" spans="5:12">
      <c r="E269" s="49">
        <v>45049.621527776268</v>
      </c>
      <c r="F269" s="56">
        <v>0</v>
      </c>
      <c r="G269" s="48"/>
      <c r="H269" s="48"/>
      <c r="I269" s="48"/>
      <c r="J269" s="48"/>
      <c r="L269" s="65"/>
    </row>
    <row r="270" spans="5:12">
      <c r="E270" s="49">
        <v>45049.624999998487</v>
      </c>
      <c r="F270" s="56">
        <v>0</v>
      </c>
      <c r="G270" s="48"/>
      <c r="H270" s="48"/>
      <c r="I270" s="48"/>
      <c r="J270" s="48"/>
      <c r="L270" s="65"/>
    </row>
    <row r="271" spans="5:12">
      <c r="E271" s="49">
        <v>45049.628472220706</v>
      </c>
      <c r="F271" s="56">
        <v>0</v>
      </c>
      <c r="G271" s="48"/>
      <c r="H271" s="48"/>
      <c r="I271" s="48"/>
      <c r="J271" s="48"/>
      <c r="L271" s="65"/>
    </row>
    <row r="272" spans="5:12">
      <c r="E272" s="49">
        <v>45049.631944442925</v>
      </c>
      <c r="F272" s="56">
        <v>0</v>
      </c>
      <c r="G272" s="48"/>
      <c r="H272" s="48"/>
      <c r="I272" s="48"/>
      <c r="J272" s="48"/>
      <c r="L272" s="65"/>
    </row>
    <row r="273" spans="5:12">
      <c r="E273" s="49">
        <v>45049.635416665144</v>
      </c>
      <c r="F273" s="56">
        <v>0</v>
      </c>
      <c r="G273" s="48"/>
      <c r="H273" s="48"/>
      <c r="I273" s="48"/>
      <c r="J273" s="48"/>
      <c r="L273" s="65"/>
    </row>
    <row r="274" spans="5:12">
      <c r="E274" s="49">
        <v>45049.638888887363</v>
      </c>
      <c r="F274" s="56">
        <v>0</v>
      </c>
      <c r="G274" s="48"/>
      <c r="H274" s="48"/>
      <c r="I274" s="48"/>
      <c r="J274" s="48"/>
      <c r="L274" s="65"/>
    </row>
    <row r="275" spans="5:12">
      <c r="E275" s="49">
        <v>45049.642361109582</v>
      </c>
      <c r="F275" s="56">
        <v>0</v>
      </c>
      <c r="G275" s="48"/>
      <c r="H275" s="48"/>
      <c r="I275" s="48"/>
      <c r="J275" s="48"/>
      <c r="L275" s="65"/>
    </row>
    <row r="276" spans="5:12">
      <c r="E276" s="49">
        <v>45049.645833331801</v>
      </c>
      <c r="F276" s="56">
        <v>0</v>
      </c>
      <c r="G276" s="48"/>
      <c r="H276" s="48"/>
      <c r="I276" s="48"/>
      <c r="J276" s="48"/>
      <c r="L276" s="65"/>
    </row>
    <row r="277" spans="5:12">
      <c r="E277" s="49">
        <v>45049.64930555402</v>
      </c>
      <c r="F277" s="56">
        <v>0</v>
      </c>
      <c r="G277" s="48"/>
      <c r="H277" s="48"/>
      <c r="I277" s="48"/>
      <c r="J277" s="48"/>
      <c r="L277" s="65"/>
    </row>
    <row r="278" spans="5:12">
      <c r="E278" s="49">
        <v>45049.652777776239</v>
      </c>
      <c r="F278" s="56">
        <v>0</v>
      </c>
      <c r="G278" s="48"/>
      <c r="H278" s="48"/>
      <c r="I278" s="48"/>
      <c r="J278" s="48"/>
      <c r="L278" s="65"/>
    </row>
    <row r="279" spans="5:12">
      <c r="E279" s="49">
        <v>45049.656249998457</v>
      </c>
      <c r="F279" s="56">
        <v>0</v>
      </c>
      <c r="G279" s="48"/>
      <c r="H279" s="48"/>
      <c r="I279" s="48"/>
      <c r="J279" s="48"/>
      <c r="L279" s="65"/>
    </row>
    <row r="280" spans="5:12">
      <c r="E280" s="49">
        <v>45049.659722220676</v>
      </c>
      <c r="F280" s="56">
        <v>0</v>
      </c>
      <c r="G280" s="48"/>
      <c r="H280" s="48"/>
      <c r="I280" s="48"/>
      <c r="J280" s="48"/>
      <c r="L280" s="65"/>
    </row>
    <row r="281" spans="5:12">
      <c r="E281" s="49">
        <v>45049.663194442895</v>
      </c>
      <c r="F281" s="56">
        <v>0</v>
      </c>
      <c r="G281" s="48"/>
      <c r="H281" s="48"/>
      <c r="I281" s="48"/>
      <c r="J281" s="48"/>
      <c r="L281" s="65"/>
    </row>
    <row r="282" spans="5:12">
      <c r="E282" s="49">
        <v>45049.666666665114</v>
      </c>
      <c r="F282" s="56">
        <v>0</v>
      </c>
      <c r="G282" s="48"/>
      <c r="H282" s="48"/>
      <c r="I282" s="48"/>
      <c r="J282" s="48"/>
      <c r="L282" s="65"/>
    </row>
    <row r="283" spans="5:12">
      <c r="E283" s="49">
        <v>45049.670138887333</v>
      </c>
      <c r="F283" s="56">
        <v>0</v>
      </c>
      <c r="G283" s="48"/>
      <c r="H283" s="48"/>
      <c r="I283" s="48"/>
      <c r="J283" s="48"/>
      <c r="L283" s="65"/>
    </row>
    <row r="284" spans="5:12">
      <c r="E284" s="49">
        <v>45049.673611109552</v>
      </c>
      <c r="F284" s="56">
        <v>0</v>
      </c>
      <c r="G284" s="48"/>
      <c r="H284" s="48"/>
      <c r="I284" s="48"/>
      <c r="J284" s="48"/>
      <c r="L284" s="65"/>
    </row>
    <row r="285" spans="5:12">
      <c r="E285" s="49">
        <v>45049.677083331771</v>
      </c>
      <c r="F285" s="56">
        <v>0</v>
      </c>
      <c r="G285" s="48"/>
      <c r="H285" s="48"/>
      <c r="I285" s="48"/>
      <c r="J285" s="48"/>
      <c r="L285" s="65"/>
    </row>
    <row r="286" spans="5:12">
      <c r="E286" s="49">
        <v>45049.68055555399</v>
      </c>
      <c r="F286" s="56">
        <v>0</v>
      </c>
      <c r="G286" s="48"/>
      <c r="H286" s="48"/>
      <c r="I286" s="48"/>
      <c r="J286" s="48"/>
      <c r="L286" s="65"/>
    </row>
    <row r="287" spans="5:12">
      <c r="E287" s="49">
        <v>45049.684027776209</v>
      </c>
      <c r="F287" s="56">
        <v>0</v>
      </c>
      <c r="G287" s="48"/>
      <c r="H287" s="48"/>
      <c r="I287" s="48"/>
      <c r="J287" s="48"/>
      <c r="L287" s="65"/>
    </row>
    <row r="288" spans="5:12">
      <c r="E288" s="49">
        <v>45049.687499998428</v>
      </c>
      <c r="F288" s="56">
        <v>0</v>
      </c>
      <c r="G288" s="48"/>
      <c r="H288" s="48"/>
      <c r="I288" s="48"/>
      <c r="J288" s="48"/>
      <c r="L288" s="65"/>
    </row>
    <row r="289" spans="5:12">
      <c r="E289" s="49">
        <v>45049.690972220647</v>
      </c>
      <c r="F289" s="56">
        <v>0</v>
      </c>
      <c r="G289" s="48"/>
      <c r="H289" s="48"/>
      <c r="I289" s="48"/>
      <c r="J289" s="48"/>
      <c r="L289" s="65"/>
    </row>
    <row r="290" spans="5:12">
      <c r="E290" s="49">
        <v>45049.694444442866</v>
      </c>
      <c r="F290" s="56">
        <v>0</v>
      </c>
      <c r="G290" s="48"/>
      <c r="H290" s="48"/>
      <c r="I290" s="48"/>
      <c r="J290" s="48"/>
      <c r="L290" s="65"/>
    </row>
    <row r="291" spans="5:12">
      <c r="E291" s="49">
        <v>45049.697916665085</v>
      </c>
      <c r="F291" s="56">
        <v>0</v>
      </c>
      <c r="G291" s="48"/>
      <c r="H291" s="48"/>
      <c r="I291" s="48"/>
      <c r="J291" s="48"/>
      <c r="L291" s="65"/>
    </row>
    <row r="292" spans="5:12">
      <c r="E292" s="49">
        <v>45049.701388887304</v>
      </c>
      <c r="F292" s="56">
        <v>0</v>
      </c>
      <c r="G292" s="48"/>
      <c r="H292" s="48"/>
      <c r="I292" s="48"/>
      <c r="J292" s="48"/>
      <c r="L292" s="65"/>
    </row>
    <row r="293" spans="5:12">
      <c r="E293" s="49">
        <v>45049.704861109523</v>
      </c>
      <c r="F293" s="56">
        <v>0</v>
      </c>
      <c r="G293" s="48"/>
      <c r="H293" s="48"/>
      <c r="I293" s="48"/>
      <c r="J293" s="48"/>
      <c r="L293" s="65"/>
    </row>
    <row r="294" spans="5:12">
      <c r="E294" s="49">
        <v>45049.708333331742</v>
      </c>
      <c r="F294" s="56">
        <v>0</v>
      </c>
      <c r="G294" s="48"/>
      <c r="H294" s="48"/>
      <c r="I294" s="48"/>
      <c r="J294" s="48"/>
      <c r="L294" s="65"/>
    </row>
    <row r="295" spans="5:12">
      <c r="E295" s="49">
        <v>45049.711805553961</v>
      </c>
      <c r="F295" s="56">
        <v>0</v>
      </c>
      <c r="G295" s="48"/>
      <c r="H295" s="48"/>
      <c r="I295" s="48"/>
      <c r="J295" s="48"/>
      <c r="L295" s="65"/>
    </row>
    <row r="296" spans="5:12">
      <c r="E296" s="49">
        <v>45049.71527777618</v>
      </c>
      <c r="F296" s="56">
        <v>0</v>
      </c>
      <c r="G296" s="48"/>
      <c r="H296" s="48"/>
      <c r="I296" s="48"/>
      <c r="J296" s="48"/>
      <c r="L296" s="65"/>
    </row>
    <row r="297" spans="5:12">
      <c r="E297" s="49">
        <v>45049.718749998399</v>
      </c>
      <c r="F297" s="56">
        <v>0</v>
      </c>
      <c r="G297" s="48"/>
      <c r="H297" s="48"/>
      <c r="I297" s="48"/>
      <c r="J297" s="48"/>
      <c r="L297" s="65"/>
    </row>
    <row r="298" spans="5:12">
      <c r="E298" s="49">
        <v>45049.722222220618</v>
      </c>
      <c r="F298" s="56">
        <v>0</v>
      </c>
      <c r="G298" s="48"/>
      <c r="H298" s="48"/>
      <c r="I298" s="48"/>
      <c r="J298" s="48"/>
      <c r="L298" s="65"/>
    </row>
    <row r="299" spans="5:12">
      <c r="E299" s="49">
        <v>45049.725694442837</v>
      </c>
      <c r="F299" s="56">
        <v>0</v>
      </c>
      <c r="G299" s="48"/>
      <c r="H299" s="48"/>
      <c r="I299" s="48"/>
      <c r="J299" s="48"/>
      <c r="L299" s="65"/>
    </row>
    <row r="300" spans="5:12">
      <c r="E300" s="49">
        <v>45049.729166665056</v>
      </c>
      <c r="F300" s="56">
        <v>0</v>
      </c>
      <c r="G300" s="48"/>
      <c r="H300" s="48"/>
      <c r="I300" s="48"/>
      <c r="J300" s="48"/>
      <c r="L300" s="65"/>
    </row>
    <row r="301" spans="5:12">
      <c r="E301" s="49">
        <v>45049.732638887275</v>
      </c>
      <c r="F301" s="56">
        <v>0</v>
      </c>
      <c r="G301" s="48"/>
      <c r="H301" s="48"/>
      <c r="I301" s="48"/>
      <c r="J301" s="48"/>
      <c r="L301" s="65"/>
    </row>
    <row r="302" spans="5:12">
      <c r="E302" s="49">
        <v>45049.736111109494</v>
      </c>
      <c r="F302" s="56">
        <v>0</v>
      </c>
      <c r="G302" s="48"/>
      <c r="H302" s="48"/>
      <c r="I302" s="48"/>
      <c r="J302" s="48"/>
      <c r="L302" s="65"/>
    </row>
    <row r="303" spans="5:12">
      <c r="E303" s="49">
        <v>45049.739583331713</v>
      </c>
      <c r="F303" s="56">
        <v>0</v>
      </c>
      <c r="G303" s="48"/>
      <c r="H303" s="48"/>
      <c r="I303" s="48"/>
      <c r="J303" s="48"/>
      <c r="L303" s="65"/>
    </row>
    <row r="304" spans="5:12">
      <c r="E304" s="49">
        <v>45049.743055553932</v>
      </c>
      <c r="F304" s="56">
        <v>0</v>
      </c>
      <c r="G304" s="48"/>
      <c r="H304" s="48"/>
      <c r="I304" s="48"/>
      <c r="J304" s="48"/>
      <c r="L304" s="65"/>
    </row>
    <row r="305" spans="5:12">
      <c r="E305" s="49">
        <v>45049.746527776151</v>
      </c>
      <c r="F305" s="56">
        <v>0</v>
      </c>
      <c r="G305" s="48"/>
      <c r="H305" s="48"/>
      <c r="I305" s="48"/>
      <c r="J305" s="48"/>
      <c r="L305" s="65"/>
    </row>
    <row r="306" spans="5:12">
      <c r="E306" s="49">
        <v>45049.74999999837</v>
      </c>
      <c r="F306" s="56">
        <v>0</v>
      </c>
      <c r="G306" s="48"/>
      <c r="H306" s="48"/>
      <c r="I306" s="48"/>
      <c r="J306" s="48"/>
      <c r="L306" s="65"/>
    </row>
    <row r="307" spans="5:12">
      <c r="E307" s="49">
        <v>45049.753472220589</v>
      </c>
      <c r="F307" s="56">
        <v>0</v>
      </c>
      <c r="G307" s="48"/>
      <c r="H307" s="48"/>
      <c r="I307" s="48"/>
      <c r="J307" s="48"/>
      <c r="L307" s="65"/>
    </row>
    <row r="308" spans="5:12">
      <c r="E308" s="49">
        <v>45049.756944442808</v>
      </c>
      <c r="F308" s="56">
        <v>0</v>
      </c>
      <c r="G308" s="48"/>
      <c r="H308" s="48"/>
      <c r="I308" s="48"/>
      <c r="J308" s="48"/>
      <c r="L308" s="65"/>
    </row>
    <row r="309" spans="5:12">
      <c r="E309" s="49">
        <v>45049.760416665027</v>
      </c>
      <c r="F309" s="56">
        <v>0</v>
      </c>
      <c r="G309" s="48"/>
      <c r="H309" s="48"/>
      <c r="I309" s="48"/>
      <c r="J309" s="48"/>
      <c r="L309" s="65"/>
    </row>
    <row r="310" spans="5:12">
      <c r="E310" s="49">
        <v>45049.763888887246</v>
      </c>
      <c r="F310" s="56">
        <v>0</v>
      </c>
      <c r="G310" s="48"/>
      <c r="H310" s="48"/>
      <c r="I310" s="48"/>
      <c r="J310" s="48"/>
      <c r="L310" s="65"/>
    </row>
    <row r="311" spans="5:12">
      <c r="E311" s="49">
        <v>45049.767361109465</v>
      </c>
      <c r="F311" s="56">
        <v>0</v>
      </c>
      <c r="G311" s="48"/>
      <c r="H311" s="48"/>
      <c r="I311" s="48"/>
      <c r="J311" s="48"/>
      <c r="L311" s="65"/>
    </row>
    <row r="312" spans="5:12">
      <c r="E312" s="49">
        <v>45049.770833331684</v>
      </c>
      <c r="F312" s="56">
        <v>0</v>
      </c>
      <c r="G312" s="48"/>
      <c r="H312" s="48"/>
      <c r="I312" s="48"/>
      <c r="J312" s="48"/>
      <c r="L312" s="65"/>
    </row>
    <row r="313" spans="5:12">
      <c r="E313" s="49">
        <v>45049.774305553903</v>
      </c>
      <c r="F313" s="56">
        <v>0</v>
      </c>
      <c r="G313" s="48"/>
      <c r="H313" s="48"/>
      <c r="I313" s="48"/>
      <c r="J313" s="48"/>
      <c r="L313" s="65"/>
    </row>
    <row r="314" spans="5:12">
      <c r="E314" s="49">
        <v>45049.777777776122</v>
      </c>
      <c r="F314" s="56">
        <v>0</v>
      </c>
      <c r="G314" s="48"/>
      <c r="H314" s="48"/>
      <c r="I314" s="48"/>
      <c r="J314" s="48"/>
      <c r="L314" s="65"/>
    </row>
    <row r="315" spans="5:12">
      <c r="E315" s="49">
        <v>45049.781249998341</v>
      </c>
      <c r="F315" s="56">
        <v>0</v>
      </c>
      <c r="G315" s="48"/>
      <c r="H315" s="48"/>
      <c r="I315" s="48"/>
      <c r="J315" s="48"/>
      <c r="L315" s="65"/>
    </row>
    <row r="316" spans="5:12">
      <c r="E316" s="49">
        <v>45049.78472222056</v>
      </c>
      <c r="F316" s="56">
        <v>0</v>
      </c>
      <c r="G316" s="48"/>
      <c r="H316" s="48"/>
      <c r="I316" s="48"/>
      <c r="J316" s="48"/>
      <c r="L316" s="65"/>
    </row>
    <row r="317" spans="5:12">
      <c r="E317" s="49">
        <v>45049.788194442779</v>
      </c>
      <c r="F317" s="56">
        <v>0</v>
      </c>
      <c r="G317" s="48"/>
      <c r="H317" s="48"/>
      <c r="I317" s="48"/>
      <c r="J317" s="48"/>
      <c r="L317" s="65"/>
    </row>
    <row r="318" spans="5:12">
      <c r="E318" s="49">
        <v>45049.791666664998</v>
      </c>
      <c r="F318" s="56">
        <v>0</v>
      </c>
      <c r="G318" s="48"/>
      <c r="H318" s="48"/>
      <c r="I318" s="48"/>
      <c r="J318" s="48"/>
      <c r="L318" s="65"/>
    </row>
    <row r="319" spans="5:12">
      <c r="E319" s="49">
        <v>45049.795138887217</v>
      </c>
      <c r="F319" s="56">
        <v>0</v>
      </c>
      <c r="G319" s="48"/>
      <c r="H319" s="48"/>
      <c r="I319" s="48"/>
      <c r="J319" s="48"/>
      <c r="L319" s="65"/>
    </row>
    <row r="320" spans="5:12">
      <c r="E320" s="49">
        <v>45049.798611109436</v>
      </c>
      <c r="F320" s="56">
        <v>0</v>
      </c>
      <c r="G320" s="48"/>
      <c r="H320" s="48"/>
      <c r="I320" s="48"/>
      <c r="J320" s="48"/>
      <c r="L320" s="65"/>
    </row>
    <row r="321" spans="5:12">
      <c r="E321" s="49">
        <v>45049.802083331655</v>
      </c>
      <c r="F321" s="56">
        <v>0</v>
      </c>
      <c r="G321" s="48"/>
      <c r="H321" s="48"/>
      <c r="I321" s="48"/>
      <c r="J321" s="48"/>
      <c r="L321" s="65"/>
    </row>
    <row r="322" spans="5:12">
      <c r="E322" s="49">
        <v>45049.805555553874</v>
      </c>
      <c r="F322" s="56">
        <v>0</v>
      </c>
      <c r="G322" s="48"/>
      <c r="H322" s="48"/>
      <c r="I322" s="48"/>
      <c r="J322" s="48"/>
      <c r="L322" s="65"/>
    </row>
    <row r="323" spans="5:12">
      <c r="E323" s="49">
        <v>45049.809027776093</v>
      </c>
      <c r="F323" s="56">
        <v>0</v>
      </c>
      <c r="G323" s="48"/>
      <c r="H323" s="48"/>
      <c r="I323" s="48"/>
      <c r="J323" s="48"/>
      <c r="L323" s="65"/>
    </row>
    <row r="324" spans="5:12">
      <c r="E324" s="49">
        <v>45049.812499998312</v>
      </c>
      <c r="F324" s="56">
        <v>0</v>
      </c>
      <c r="G324" s="48"/>
      <c r="H324" s="48"/>
      <c r="I324" s="48"/>
      <c r="J324" s="48"/>
      <c r="L324" s="65"/>
    </row>
    <row r="325" spans="5:12">
      <c r="E325" s="49">
        <v>45049.815972220531</v>
      </c>
      <c r="F325" s="56">
        <v>0</v>
      </c>
      <c r="G325" s="48"/>
      <c r="H325" s="48"/>
      <c r="I325" s="48"/>
      <c r="J325" s="48"/>
      <c r="L325" s="65"/>
    </row>
    <row r="326" spans="5:12">
      <c r="E326" s="49">
        <v>45049.81944444275</v>
      </c>
      <c r="F326" s="56">
        <v>0</v>
      </c>
      <c r="G326" s="48"/>
      <c r="H326" s="48"/>
      <c r="I326" s="48"/>
      <c r="J326" s="48"/>
      <c r="L326" s="65"/>
    </row>
    <row r="327" spans="5:12">
      <c r="E327" s="49">
        <v>45049.822916664969</v>
      </c>
      <c r="F327" s="56">
        <v>0</v>
      </c>
      <c r="G327" s="48"/>
      <c r="H327" s="48"/>
      <c r="I327" s="48"/>
      <c r="J327" s="48"/>
      <c r="L327" s="65"/>
    </row>
    <row r="328" spans="5:12">
      <c r="E328" s="49">
        <v>45049.826388887188</v>
      </c>
      <c r="F328" s="56">
        <v>0</v>
      </c>
      <c r="G328" s="48"/>
      <c r="H328" s="48"/>
      <c r="I328" s="48"/>
      <c r="J328" s="48"/>
      <c r="L328" s="65"/>
    </row>
    <row r="329" spans="5:12">
      <c r="E329" s="49">
        <v>45049.829861109407</v>
      </c>
      <c r="F329" s="56">
        <v>0</v>
      </c>
      <c r="G329" s="48"/>
      <c r="H329" s="48"/>
      <c r="I329" s="48"/>
      <c r="J329" s="48"/>
      <c r="L329" s="65"/>
    </row>
    <row r="330" spans="5:12">
      <c r="E330" s="49">
        <v>45049.833333331626</v>
      </c>
      <c r="F330" s="56">
        <v>0</v>
      </c>
      <c r="G330" s="48"/>
      <c r="H330" s="48"/>
      <c r="I330" s="48"/>
      <c r="J330" s="48"/>
      <c r="L330" s="65"/>
    </row>
    <row r="331" spans="5:12">
      <c r="E331" s="49">
        <v>45049.836805553845</v>
      </c>
      <c r="F331" s="56">
        <v>0</v>
      </c>
      <c r="G331" s="48"/>
      <c r="H331" s="48"/>
      <c r="I331" s="48"/>
      <c r="J331" s="48"/>
      <c r="L331" s="65"/>
    </row>
    <row r="332" spans="5:12">
      <c r="E332" s="49">
        <v>45049.840277776064</v>
      </c>
      <c r="F332" s="56">
        <v>0</v>
      </c>
      <c r="G332" s="48"/>
      <c r="H332" s="48"/>
      <c r="I332" s="48"/>
      <c r="J332" s="48"/>
      <c r="L332" s="65"/>
    </row>
    <row r="333" spans="5:12">
      <c r="E333" s="49">
        <v>45049.843749998283</v>
      </c>
      <c r="F333" s="56">
        <v>0</v>
      </c>
      <c r="G333" s="48"/>
      <c r="H333" s="48"/>
      <c r="I333" s="48"/>
      <c r="J333" s="48"/>
      <c r="L333" s="65"/>
    </row>
    <row r="334" spans="5:12">
      <c r="E334" s="49">
        <v>45049.847222220502</v>
      </c>
      <c r="F334" s="56">
        <v>0</v>
      </c>
      <c r="G334" s="48"/>
      <c r="H334" s="48"/>
      <c r="I334" s="48"/>
      <c r="J334" s="48"/>
      <c r="L334" s="65"/>
    </row>
    <row r="335" spans="5:12">
      <c r="E335" s="49">
        <v>45049.850694442721</v>
      </c>
      <c r="F335" s="56">
        <v>0</v>
      </c>
      <c r="G335" s="48"/>
      <c r="H335" s="48"/>
      <c r="I335" s="48"/>
      <c r="J335" s="48"/>
      <c r="L335" s="65"/>
    </row>
    <row r="336" spans="5:12">
      <c r="E336" s="49">
        <v>45049.85416666494</v>
      </c>
      <c r="F336" s="56">
        <v>0</v>
      </c>
      <c r="G336" s="48"/>
      <c r="H336" s="48"/>
      <c r="I336" s="48"/>
      <c r="J336" s="48"/>
      <c r="L336" s="65"/>
    </row>
    <row r="337" spans="5:12">
      <c r="E337" s="49">
        <v>45049.857638887159</v>
      </c>
      <c r="F337" s="56">
        <v>0</v>
      </c>
      <c r="G337" s="48"/>
      <c r="H337" s="48"/>
      <c r="I337" s="48"/>
      <c r="J337" s="48"/>
      <c r="L337" s="65"/>
    </row>
    <row r="338" spans="5:12">
      <c r="E338" s="49">
        <v>45049.861111109378</v>
      </c>
      <c r="F338" s="56">
        <v>0</v>
      </c>
      <c r="G338" s="48"/>
      <c r="H338" s="48"/>
      <c r="I338" s="48"/>
      <c r="J338" s="48"/>
      <c r="L338" s="65"/>
    </row>
    <row r="339" spans="5:12">
      <c r="E339" s="49">
        <v>45049.864583331597</v>
      </c>
      <c r="F339" s="56">
        <v>0</v>
      </c>
      <c r="G339" s="48"/>
      <c r="H339" s="48"/>
      <c r="I339" s="48"/>
      <c r="J339" s="48"/>
      <c r="L339" s="65"/>
    </row>
    <row r="340" spans="5:12">
      <c r="E340" s="49">
        <v>45049.868055553816</v>
      </c>
      <c r="F340" s="56">
        <v>0</v>
      </c>
      <c r="G340" s="48"/>
      <c r="H340" s="48"/>
      <c r="I340" s="48"/>
      <c r="J340" s="48"/>
      <c r="L340" s="65"/>
    </row>
    <row r="341" spans="5:12">
      <c r="E341" s="49">
        <v>45049.871527776035</v>
      </c>
      <c r="F341" s="56">
        <v>0</v>
      </c>
      <c r="G341" s="48"/>
      <c r="H341" s="48"/>
      <c r="I341" s="48"/>
      <c r="J341" s="48"/>
      <c r="L341" s="65"/>
    </row>
    <row r="342" spans="5:12">
      <c r="E342" s="49">
        <v>45049.874999998254</v>
      </c>
      <c r="F342" s="56">
        <v>0</v>
      </c>
      <c r="G342" s="48"/>
      <c r="H342" s="48"/>
      <c r="I342" s="48"/>
      <c r="J342" s="48"/>
      <c r="L342" s="65"/>
    </row>
    <row r="343" spans="5:12">
      <c r="E343" s="49">
        <v>45049.878472220473</v>
      </c>
      <c r="F343" s="56">
        <v>0</v>
      </c>
      <c r="G343" s="48"/>
      <c r="H343" s="48"/>
      <c r="I343" s="48"/>
      <c r="J343" s="48"/>
      <c r="L343" s="65"/>
    </row>
    <row r="344" spans="5:12">
      <c r="E344" s="49">
        <v>45049.881944442692</v>
      </c>
      <c r="F344" s="56">
        <v>0</v>
      </c>
      <c r="G344" s="48"/>
      <c r="H344" s="48"/>
      <c r="I344" s="48"/>
      <c r="J344" s="48"/>
      <c r="L344" s="65"/>
    </row>
    <row r="345" spans="5:12">
      <c r="E345" s="49">
        <v>45049.885416664911</v>
      </c>
      <c r="F345" s="56">
        <v>0</v>
      </c>
      <c r="G345" s="48"/>
      <c r="H345" s="48"/>
      <c r="I345" s="48"/>
      <c r="J345" s="48"/>
      <c r="L345" s="65"/>
    </row>
    <row r="346" spans="5:12">
      <c r="E346" s="49">
        <v>45049.88888888713</v>
      </c>
      <c r="F346" s="56">
        <v>0</v>
      </c>
      <c r="G346" s="48"/>
      <c r="H346" s="48"/>
      <c r="I346" s="48"/>
      <c r="J346" s="48"/>
      <c r="L346" s="65"/>
    </row>
    <row r="347" spans="5:12">
      <c r="E347" s="49">
        <v>45049.892361109349</v>
      </c>
      <c r="F347" s="56">
        <v>0</v>
      </c>
      <c r="G347" s="48"/>
      <c r="H347" s="48"/>
      <c r="I347" s="48"/>
      <c r="J347" s="48"/>
      <c r="L347" s="65"/>
    </row>
    <row r="348" spans="5:12">
      <c r="E348" s="49">
        <v>45049.895833331568</v>
      </c>
      <c r="F348" s="56">
        <v>0</v>
      </c>
      <c r="G348" s="48"/>
      <c r="H348" s="48"/>
      <c r="I348" s="48"/>
      <c r="J348" s="48"/>
      <c r="L348" s="65"/>
    </row>
    <row r="349" spans="5:12">
      <c r="E349" s="49">
        <v>45049.899305553787</v>
      </c>
      <c r="F349" s="56">
        <v>0</v>
      </c>
      <c r="G349" s="48"/>
      <c r="H349" s="48"/>
      <c r="I349" s="48"/>
      <c r="J349" s="48"/>
      <c r="L349" s="65"/>
    </row>
    <row r="350" spans="5:12">
      <c r="E350" s="49">
        <v>45049.902777776006</v>
      </c>
      <c r="F350" s="56">
        <v>0</v>
      </c>
      <c r="G350" s="48"/>
      <c r="H350" s="48"/>
      <c r="I350" s="48"/>
      <c r="J350" s="48"/>
      <c r="L350" s="65"/>
    </row>
    <row r="351" spans="5:12">
      <c r="E351" s="49">
        <v>45049.906249998225</v>
      </c>
      <c r="F351" s="56">
        <v>0</v>
      </c>
      <c r="G351" s="48"/>
      <c r="H351" s="48"/>
      <c r="I351" s="48"/>
      <c r="J351" s="48"/>
      <c r="L351" s="65"/>
    </row>
    <row r="352" spans="5:12">
      <c r="E352" s="49">
        <v>45049.909722220444</v>
      </c>
      <c r="F352" s="56">
        <v>0</v>
      </c>
      <c r="G352" s="48"/>
      <c r="H352" s="48"/>
      <c r="I352" s="48"/>
      <c r="J352" s="48"/>
      <c r="L352" s="65"/>
    </row>
    <row r="353" spans="5:12">
      <c r="E353" s="49">
        <v>45049.913194442663</v>
      </c>
      <c r="F353" s="56">
        <v>0</v>
      </c>
      <c r="G353" s="48"/>
      <c r="H353" s="48"/>
      <c r="I353" s="48"/>
      <c r="J353" s="48"/>
      <c r="L353" s="65"/>
    </row>
    <row r="354" spans="5:12">
      <c r="E354" s="49">
        <v>45049.916666664882</v>
      </c>
      <c r="F354" s="56">
        <v>0</v>
      </c>
      <c r="G354" s="48"/>
      <c r="H354" s="48"/>
      <c r="I354" s="48"/>
      <c r="J354" s="48"/>
      <c r="L354" s="65"/>
    </row>
    <row r="355" spans="5:12">
      <c r="E355" s="49">
        <v>45049.920138887101</v>
      </c>
      <c r="F355" s="56">
        <v>0</v>
      </c>
      <c r="G355" s="48"/>
      <c r="H355" s="48"/>
      <c r="I355" s="48"/>
      <c r="J355" s="48"/>
      <c r="L355" s="65"/>
    </row>
    <row r="356" spans="5:12">
      <c r="E356" s="49">
        <v>45049.92361110932</v>
      </c>
      <c r="F356" s="56">
        <v>0</v>
      </c>
      <c r="G356" s="48"/>
      <c r="H356" s="48"/>
      <c r="I356" s="48"/>
      <c r="J356" s="48"/>
      <c r="L356" s="65"/>
    </row>
    <row r="357" spans="5:12">
      <c r="E357" s="49">
        <v>45049.927083331539</v>
      </c>
      <c r="F357" s="56">
        <v>0</v>
      </c>
      <c r="G357" s="48"/>
      <c r="H357" s="48"/>
      <c r="I357" s="48"/>
      <c r="J357" s="48"/>
      <c r="L357" s="65"/>
    </row>
    <row r="358" spans="5:12">
      <c r="E358" s="49">
        <v>45049.930555553758</v>
      </c>
      <c r="F358" s="56">
        <v>0</v>
      </c>
      <c r="G358" s="48"/>
      <c r="H358" s="48"/>
      <c r="I358" s="48"/>
      <c r="J358" s="48"/>
      <c r="L358" s="65"/>
    </row>
    <row r="359" spans="5:12">
      <c r="E359" s="49">
        <v>45049.934027775977</v>
      </c>
      <c r="F359" s="56">
        <v>0</v>
      </c>
      <c r="G359" s="48"/>
      <c r="H359" s="48"/>
      <c r="I359" s="48"/>
      <c r="J359" s="48"/>
      <c r="L359" s="65"/>
    </row>
    <row r="360" spans="5:12">
      <c r="E360" s="49">
        <v>45049.937499998196</v>
      </c>
      <c r="F360" s="56">
        <v>0</v>
      </c>
      <c r="G360" s="48"/>
      <c r="H360" s="48"/>
      <c r="I360" s="48"/>
      <c r="J360" s="48"/>
      <c r="L360" s="65"/>
    </row>
    <row r="361" spans="5:12">
      <c r="E361" s="49">
        <v>45049.940972220415</v>
      </c>
      <c r="F361" s="56">
        <v>0</v>
      </c>
      <c r="G361" s="48"/>
      <c r="H361" s="48"/>
      <c r="I361" s="48"/>
      <c r="J361" s="48"/>
      <c r="L361" s="65"/>
    </row>
    <row r="362" spans="5:12">
      <c r="E362" s="49">
        <v>45049.944444442634</v>
      </c>
      <c r="F362" s="56">
        <v>0</v>
      </c>
      <c r="G362" s="48"/>
      <c r="H362" s="48"/>
      <c r="I362" s="48"/>
      <c r="J362" s="48"/>
      <c r="L362" s="65"/>
    </row>
    <row r="363" spans="5:12">
      <c r="E363" s="49">
        <v>45049.947916664853</v>
      </c>
      <c r="F363" s="56">
        <v>0</v>
      </c>
      <c r="G363" s="48"/>
      <c r="H363" s="48"/>
      <c r="I363" s="48"/>
      <c r="J363" s="48"/>
      <c r="L363" s="65"/>
    </row>
    <row r="364" spans="5:12">
      <c r="E364" s="49">
        <v>45049.951388887072</v>
      </c>
      <c r="F364" s="56">
        <v>0</v>
      </c>
      <c r="G364" s="48"/>
      <c r="H364" s="48"/>
      <c r="I364" s="48"/>
      <c r="J364" s="48"/>
      <c r="L364" s="65"/>
    </row>
    <row r="365" spans="5:12">
      <c r="E365" s="49">
        <v>45049.954861109291</v>
      </c>
      <c r="F365" s="56">
        <v>0</v>
      </c>
      <c r="G365" s="48"/>
      <c r="H365" s="48"/>
      <c r="I365" s="48"/>
      <c r="J365" s="48"/>
      <c r="L365" s="65"/>
    </row>
    <row r="366" spans="5:12">
      <c r="E366" s="49">
        <v>45049.958333331509</v>
      </c>
      <c r="F366" s="56">
        <v>0</v>
      </c>
      <c r="G366" s="48"/>
      <c r="H366" s="48"/>
      <c r="I366" s="48"/>
      <c r="J366" s="48"/>
      <c r="L366" s="65"/>
    </row>
    <row r="367" spans="5:12">
      <c r="E367" s="49">
        <v>45049.961805553728</v>
      </c>
      <c r="F367" s="56">
        <v>0</v>
      </c>
      <c r="G367" s="48"/>
      <c r="H367" s="48"/>
      <c r="I367" s="48"/>
      <c r="J367" s="48"/>
      <c r="L367" s="65"/>
    </row>
    <row r="368" spans="5:12">
      <c r="E368" s="49">
        <v>45049.965277775947</v>
      </c>
      <c r="F368" s="56">
        <v>0</v>
      </c>
      <c r="G368" s="48"/>
      <c r="H368" s="48"/>
      <c r="I368" s="48"/>
      <c r="J368" s="48"/>
      <c r="L368" s="65"/>
    </row>
    <row r="369" spans="5:12">
      <c r="E369" s="49">
        <v>45049.968749998166</v>
      </c>
      <c r="F369" s="56">
        <v>0</v>
      </c>
      <c r="G369" s="48"/>
      <c r="H369" s="48"/>
      <c r="I369" s="48"/>
      <c r="J369" s="48"/>
      <c r="L369" s="65"/>
    </row>
    <row r="370" spans="5:12">
      <c r="E370" s="49">
        <v>45049.972222220385</v>
      </c>
      <c r="F370" s="56">
        <v>0</v>
      </c>
      <c r="G370" s="48"/>
      <c r="H370" s="48"/>
      <c r="I370" s="48"/>
      <c r="J370" s="48"/>
      <c r="L370" s="65"/>
    </row>
    <row r="371" spans="5:12">
      <c r="E371" s="49">
        <v>45049.975694442604</v>
      </c>
      <c r="F371" s="56">
        <v>0</v>
      </c>
      <c r="G371" s="48"/>
      <c r="H371" s="48"/>
      <c r="I371" s="48"/>
      <c r="J371" s="48"/>
      <c r="L371" s="65"/>
    </row>
    <row r="372" spans="5:12">
      <c r="E372" s="49">
        <v>45049.979166664823</v>
      </c>
      <c r="F372" s="56">
        <v>0</v>
      </c>
      <c r="G372" s="48"/>
      <c r="H372" s="48"/>
      <c r="I372" s="48"/>
      <c r="J372" s="48"/>
      <c r="L372" s="65"/>
    </row>
    <row r="373" spans="5:12">
      <c r="E373" s="49">
        <v>45049.982638887042</v>
      </c>
      <c r="F373" s="56">
        <v>0</v>
      </c>
      <c r="G373" s="48"/>
      <c r="H373" s="48"/>
      <c r="I373" s="48"/>
      <c r="J373" s="48"/>
      <c r="L373" s="65"/>
    </row>
    <row r="374" spans="5:12">
      <c r="E374" s="49">
        <v>45049.986111109261</v>
      </c>
      <c r="F374" s="56">
        <v>0</v>
      </c>
      <c r="G374" s="48"/>
      <c r="H374" s="48"/>
      <c r="I374" s="48"/>
      <c r="J374" s="48"/>
      <c r="L374" s="65"/>
    </row>
    <row r="375" spans="5:12">
      <c r="E375" s="49">
        <v>45049.98958333148</v>
      </c>
      <c r="F375" s="56">
        <v>0</v>
      </c>
      <c r="G375" s="48"/>
      <c r="H375" s="48"/>
      <c r="I375" s="48"/>
      <c r="J375" s="48"/>
      <c r="L375" s="65"/>
    </row>
    <row r="376" spans="5:12">
      <c r="E376" s="49">
        <v>45049.993055553699</v>
      </c>
      <c r="F376" s="56">
        <v>0</v>
      </c>
      <c r="G376" s="48"/>
      <c r="H376" s="48"/>
      <c r="I376" s="48"/>
      <c r="J376" s="48"/>
      <c r="L376" s="65"/>
    </row>
    <row r="377" spans="5:12">
      <c r="E377" s="49">
        <v>45049.996527775918</v>
      </c>
      <c r="F377" s="56">
        <v>0</v>
      </c>
      <c r="G377" s="48"/>
      <c r="H377" s="48"/>
      <c r="I377" s="48"/>
      <c r="J377" s="48"/>
      <c r="L377" s="65"/>
    </row>
    <row r="378" spans="5:12">
      <c r="E378" s="49">
        <v>45049.999999998137</v>
      </c>
      <c r="F378" s="56">
        <v>0</v>
      </c>
      <c r="G378" s="48"/>
      <c r="H378" s="48"/>
      <c r="I378" s="48"/>
      <c r="J378" s="48"/>
      <c r="L378" s="65"/>
    </row>
    <row r="379" spans="5:12">
      <c r="E379" s="49">
        <v>45050.003472220356</v>
      </c>
      <c r="F379" s="56">
        <v>0</v>
      </c>
      <c r="G379" s="48"/>
      <c r="H379" s="48"/>
      <c r="I379" s="48"/>
      <c r="J379" s="48"/>
      <c r="L379" s="65"/>
    </row>
    <row r="380" spans="5:12">
      <c r="E380" s="49">
        <v>45050.006944442575</v>
      </c>
      <c r="F380" s="56">
        <v>0</v>
      </c>
      <c r="G380" s="48"/>
      <c r="H380" s="48"/>
      <c r="I380" s="48"/>
      <c r="J380" s="48"/>
      <c r="L380" s="65"/>
    </row>
    <row r="381" spans="5:12">
      <c r="E381" s="49">
        <v>45050.010416664794</v>
      </c>
      <c r="F381" s="56">
        <v>0</v>
      </c>
      <c r="G381" s="48"/>
      <c r="H381" s="48"/>
      <c r="I381" s="48"/>
      <c r="J381" s="48"/>
      <c r="L381" s="65"/>
    </row>
    <row r="382" spans="5:12">
      <c r="E382" s="49">
        <v>45050.013888887013</v>
      </c>
      <c r="F382" s="56">
        <v>0</v>
      </c>
      <c r="G382" s="48"/>
      <c r="H382" s="48"/>
      <c r="I382" s="48"/>
      <c r="J382" s="48"/>
      <c r="L382" s="65"/>
    </row>
    <row r="383" spans="5:12">
      <c r="E383" s="49">
        <v>45050.017361109232</v>
      </c>
      <c r="F383" s="56">
        <v>0</v>
      </c>
      <c r="G383" s="48"/>
      <c r="H383" s="48"/>
      <c r="I383" s="48"/>
      <c r="J383" s="48"/>
      <c r="L383" s="65"/>
    </row>
    <row r="384" spans="5:12">
      <c r="E384" s="49">
        <v>45050.020833331451</v>
      </c>
      <c r="F384" s="56">
        <v>0</v>
      </c>
      <c r="G384" s="48"/>
      <c r="H384" s="48"/>
      <c r="I384" s="48"/>
      <c r="J384" s="48"/>
      <c r="L384" s="65"/>
    </row>
    <row r="385" spans="5:12">
      <c r="E385" s="49">
        <v>45050.02430555367</v>
      </c>
      <c r="F385" s="56">
        <v>0</v>
      </c>
      <c r="G385" s="48"/>
      <c r="H385" s="48"/>
      <c r="I385" s="48"/>
      <c r="J385" s="48"/>
      <c r="L385" s="65"/>
    </row>
    <row r="386" spans="5:12">
      <c r="E386" s="49">
        <v>45050.027777775889</v>
      </c>
      <c r="F386" s="56">
        <v>0</v>
      </c>
      <c r="G386" s="48"/>
      <c r="H386" s="48"/>
      <c r="I386" s="48"/>
      <c r="J386" s="48"/>
      <c r="L386" s="65"/>
    </row>
    <row r="387" spans="5:12">
      <c r="E387" s="49">
        <v>45050.031249998108</v>
      </c>
      <c r="F387" s="56">
        <v>0</v>
      </c>
      <c r="G387" s="48"/>
      <c r="H387" s="48"/>
      <c r="I387" s="48"/>
      <c r="J387" s="48"/>
      <c r="L387" s="65"/>
    </row>
    <row r="388" spans="5:12">
      <c r="E388" s="49">
        <v>45050.034722220327</v>
      </c>
      <c r="F388" s="56">
        <v>0</v>
      </c>
      <c r="G388" s="48"/>
      <c r="H388" s="48"/>
      <c r="I388" s="48"/>
      <c r="J388" s="48"/>
      <c r="L388" s="65"/>
    </row>
    <row r="389" spans="5:12">
      <c r="E389" s="49">
        <v>45050.038194442546</v>
      </c>
      <c r="F389" s="56">
        <v>0</v>
      </c>
      <c r="G389" s="48"/>
      <c r="H389" s="48"/>
      <c r="I389" s="48"/>
      <c r="J389" s="48"/>
      <c r="L389" s="65"/>
    </row>
    <row r="390" spans="5:12">
      <c r="E390" s="49">
        <v>45050.041666664765</v>
      </c>
      <c r="F390" s="56">
        <v>0</v>
      </c>
      <c r="G390" s="48"/>
      <c r="H390" s="48"/>
      <c r="I390" s="48"/>
      <c r="J390" s="48"/>
      <c r="L390" s="65"/>
    </row>
    <row r="391" spans="5:12">
      <c r="E391" s="49">
        <v>45050.045138886984</v>
      </c>
      <c r="F391" s="56">
        <v>0</v>
      </c>
      <c r="G391" s="48"/>
      <c r="H391" s="48"/>
      <c r="I391" s="48"/>
      <c r="J391" s="48"/>
      <c r="L391" s="65"/>
    </row>
    <row r="392" spans="5:12">
      <c r="E392" s="49">
        <v>45050.048611109203</v>
      </c>
      <c r="F392" s="56">
        <v>0</v>
      </c>
      <c r="G392" s="48"/>
      <c r="H392" s="48"/>
      <c r="I392" s="48"/>
      <c r="J392" s="48"/>
      <c r="L392" s="65"/>
    </row>
    <row r="393" spans="5:12">
      <c r="E393" s="49">
        <v>45050.052083331422</v>
      </c>
      <c r="F393" s="56">
        <v>0</v>
      </c>
      <c r="G393" s="48"/>
      <c r="H393" s="48"/>
      <c r="I393" s="48"/>
      <c r="J393" s="48"/>
      <c r="L393" s="65"/>
    </row>
    <row r="394" spans="5:12">
      <c r="E394" s="49">
        <v>45050.055555553641</v>
      </c>
      <c r="F394" s="56">
        <v>0</v>
      </c>
      <c r="G394" s="48"/>
      <c r="H394" s="48"/>
      <c r="I394" s="48"/>
      <c r="J394" s="48"/>
      <c r="L394" s="65"/>
    </row>
    <row r="395" spans="5:12">
      <c r="E395" s="49">
        <v>45050.05902777586</v>
      </c>
      <c r="F395" s="56">
        <v>0</v>
      </c>
      <c r="G395" s="48"/>
      <c r="H395" s="48"/>
      <c r="I395" s="48"/>
      <c r="J395" s="48"/>
      <c r="L395" s="65"/>
    </row>
    <row r="396" spans="5:12">
      <c r="E396" s="49">
        <v>45050.062499998079</v>
      </c>
      <c r="F396" s="56">
        <v>0</v>
      </c>
      <c r="G396" s="48"/>
      <c r="H396" s="48"/>
      <c r="I396" s="48"/>
      <c r="J396" s="48"/>
      <c r="L396" s="65"/>
    </row>
    <row r="397" spans="5:12">
      <c r="E397" s="49">
        <v>45050.065972220298</v>
      </c>
      <c r="F397" s="56">
        <v>0</v>
      </c>
      <c r="G397" s="48"/>
      <c r="H397" s="48"/>
      <c r="I397" s="48"/>
      <c r="J397" s="48"/>
      <c r="L397" s="65"/>
    </row>
    <row r="398" spans="5:12">
      <c r="E398" s="49">
        <v>45050.069444442517</v>
      </c>
      <c r="F398" s="56">
        <v>0</v>
      </c>
      <c r="G398" s="48"/>
      <c r="H398" s="48"/>
      <c r="I398" s="48"/>
      <c r="J398" s="48"/>
      <c r="L398" s="65"/>
    </row>
    <row r="399" spans="5:12">
      <c r="E399" s="49">
        <v>45050.072916664736</v>
      </c>
      <c r="F399" s="56">
        <v>0</v>
      </c>
      <c r="G399" s="48"/>
      <c r="H399" s="48"/>
      <c r="I399" s="48"/>
      <c r="J399" s="48"/>
      <c r="L399" s="65"/>
    </row>
    <row r="400" spans="5:12">
      <c r="E400" s="49">
        <v>45050.076388886955</v>
      </c>
      <c r="F400" s="56">
        <v>0</v>
      </c>
      <c r="G400" s="48"/>
      <c r="H400" s="48"/>
      <c r="I400" s="48"/>
      <c r="J400" s="48"/>
      <c r="L400" s="65"/>
    </row>
    <row r="401" spans="5:12">
      <c r="E401" s="49">
        <v>45050.079861109174</v>
      </c>
      <c r="F401" s="56">
        <v>0</v>
      </c>
      <c r="G401" s="48"/>
      <c r="H401" s="48"/>
      <c r="I401" s="48"/>
      <c r="J401" s="48"/>
      <c r="L401" s="65"/>
    </row>
    <row r="402" spans="5:12">
      <c r="E402" s="49">
        <v>45050.083333331393</v>
      </c>
      <c r="F402" s="56">
        <v>0</v>
      </c>
      <c r="G402" s="48"/>
      <c r="H402" s="48"/>
      <c r="I402" s="48"/>
      <c r="J402" s="48"/>
      <c r="L402" s="65"/>
    </row>
    <row r="403" spans="5:12">
      <c r="E403" s="49">
        <v>45050.086805553612</v>
      </c>
      <c r="F403" s="56">
        <v>0</v>
      </c>
      <c r="G403" s="48"/>
      <c r="H403" s="48"/>
      <c r="I403" s="48"/>
      <c r="J403" s="48"/>
      <c r="L403" s="65"/>
    </row>
    <row r="404" spans="5:12">
      <c r="E404" s="49">
        <v>45050.090277775831</v>
      </c>
      <c r="F404" s="56">
        <v>0</v>
      </c>
      <c r="G404" s="48"/>
      <c r="H404" s="48"/>
      <c r="I404" s="48"/>
      <c r="J404" s="48"/>
      <c r="L404" s="65"/>
    </row>
    <row r="405" spans="5:12">
      <c r="E405" s="49">
        <v>45050.09374999805</v>
      </c>
      <c r="F405" s="56">
        <v>0</v>
      </c>
      <c r="G405" s="48"/>
      <c r="H405" s="48"/>
      <c r="I405" s="48"/>
      <c r="J405" s="48"/>
      <c r="L405" s="65"/>
    </row>
    <row r="406" spans="5:12">
      <c r="E406" s="49">
        <v>45050.097222220269</v>
      </c>
      <c r="F406" s="56">
        <v>0</v>
      </c>
      <c r="G406" s="48"/>
      <c r="H406" s="48"/>
      <c r="I406" s="48"/>
      <c r="J406" s="48"/>
      <c r="L406" s="65"/>
    </row>
    <row r="407" spans="5:12">
      <c r="E407" s="49">
        <v>45050.100694442488</v>
      </c>
      <c r="F407" s="56">
        <v>0</v>
      </c>
      <c r="G407" s="48"/>
      <c r="H407" s="48"/>
      <c r="I407" s="48"/>
      <c r="J407" s="48"/>
      <c r="L407" s="65"/>
    </row>
    <row r="408" spans="5:12">
      <c r="E408" s="49">
        <v>45050.104166664707</v>
      </c>
      <c r="F408" s="56">
        <v>0</v>
      </c>
      <c r="G408" s="48"/>
      <c r="H408" s="48"/>
      <c r="I408" s="48"/>
      <c r="J408" s="48"/>
      <c r="L408" s="65"/>
    </row>
    <row r="409" spans="5:12">
      <c r="E409" s="49">
        <v>45050.107638886926</v>
      </c>
      <c r="F409" s="56">
        <v>0</v>
      </c>
      <c r="G409" s="48"/>
      <c r="H409" s="48"/>
      <c r="I409" s="48"/>
      <c r="J409" s="48"/>
      <c r="L409" s="65"/>
    </row>
    <row r="410" spans="5:12">
      <c r="E410" s="49">
        <v>45050.111111109145</v>
      </c>
      <c r="F410" s="56">
        <v>0</v>
      </c>
      <c r="G410" s="48"/>
      <c r="H410" s="48"/>
      <c r="I410" s="48"/>
      <c r="J410" s="48"/>
      <c r="L410" s="65"/>
    </row>
    <row r="411" spans="5:12">
      <c r="E411" s="49">
        <v>45050.114583331364</v>
      </c>
      <c r="F411" s="56">
        <v>0</v>
      </c>
      <c r="G411" s="48"/>
      <c r="H411" s="48"/>
      <c r="I411" s="48"/>
      <c r="J411" s="48"/>
      <c r="L411" s="65"/>
    </row>
    <row r="412" spans="5:12">
      <c r="E412" s="49">
        <v>45050.118055553583</v>
      </c>
      <c r="F412" s="56">
        <v>0</v>
      </c>
      <c r="G412" s="48"/>
      <c r="H412" s="48"/>
      <c r="I412" s="48"/>
      <c r="J412" s="48"/>
      <c r="L412" s="65"/>
    </row>
    <row r="413" spans="5:12">
      <c r="E413" s="49">
        <v>45050.121527775802</v>
      </c>
      <c r="F413" s="56">
        <v>0</v>
      </c>
      <c r="G413" s="48"/>
      <c r="H413" s="48"/>
      <c r="I413" s="48"/>
      <c r="J413" s="48"/>
      <c r="L413" s="65"/>
    </row>
    <row r="414" spans="5:12">
      <c r="E414" s="49">
        <v>45050.124999998021</v>
      </c>
      <c r="F414" s="56">
        <v>0</v>
      </c>
      <c r="G414" s="48"/>
      <c r="H414" s="48"/>
      <c r="I414" s="48"/>
      <c r="J414" s="48"/>
      <c r="L414" s="65"/>
    </row>
    <row r="415" spans="5:12">
      <c r="E415" s="49">
        <v>45050.12847222024</v>
      </c>
      <c r="F415" s="56">
        <v>0</v>
      </c>
      <c r="G415" s="48"/>
      <c r="H415" s="48"/>
      <c r="I415" s="48"/>
      <c r="J415" s="48"/>
      <c r="L415" s="65"/>
    </row>
    <row r="416" spans="5:12">
      <c r="E416" s="49">
        <v>45050.131944442459</v>
      </c>
      <c r="F416" s="56">
        <v>0</v>
      </c>
      <c r="G416" s="48"/>
      <c r="H416" s="48"/>
      <c r="I416" s="48"/>
      <c r="J416" s="48"/>
      <c r="L416" s="65"/>
    </row>
    <row r="417" spans="5:12">
      <c r="E417" s="49">
        <v>45050.135416664678</v>
      </c>
      <c r="F417" s="56">
        <v>0</v>
      </c>
      <c r="G417" s="48"/>
      <c r="H417" s="48"/>
      <c r="I417" s="48"/>
      <c r="J417" s="48"/>
      <c r="L417" s="65"/>
    </row>
    <row r="418" spans="5:12">
      <c r="E418" s="49">
        <v>45050.138888886897</v>
      </c>
      <c r="F418" s="56">
        <v>0</v>
      </c>
      <c r="G418" s="48"/>
      <c r="H418" s="48"/>
      <c r="I418" s="48"/>
      <c r="J418" s="48"/>
      <c r="L418" s="65"/>
    </row>
    <row r="419" spans="5:12">
      <c r="E419" s="49">
        <v>45050.142361109116</v>
      </c>
      <c r="F419" s="56">
        <v>0</v>
      </c>
      <c r="G419" s="48"/>
      <c r="H419" s="48"/>
      <c r="I419" s="48"/>
      <c r="J419" s="48"/>
      <c r="L419" s="65"/>
    </row>
    <row r="420" spans="5:12">
      <c r="E420" s="49">
        <v>45050.145833331335</v>
      </c>
      <c r="F420" s="56">
        <v>0</v>
      </c>
      <c r="G420" s="48"/>
      <c r="H420" s="48"/>
      <c r="I420" s="48"/>
      <c r="J420" s="48"/>
      <c r="L420" s="65"/>
    </row>
    <row r="421" spans="5:12">
      <c r="E421" s="49">
        <v>45050.149305553554</v>
      </c>
      <c r="F421" s="56">
        <v>0</v>
      </c>
      <c r="G421" s="48"/>
      <c r="H421" s="48"/>
      <c r="I421" s="48"/>
      <c r="J421" s="48"/>
      <c r="L421" s="65"/>
    </row>
    <row r="422" spans="5:12">
      <c r="E422" s="49">
        <v>45050.152777775773</v>
      </c>
      <c r="F422" s="56">
        <v>0</v>
      </c>
      <c r="G422" s="48"/>
      <c r="H422" s="48"/>
      <c r="I422" s="48"/>
      <c r="J422" s="48"/>
      <c r="L422" s="65"/>
    </row>
    <row r="423" spans="5:12">
      <c r="E423" s="49">
        <v>45050.156249997992</v>
      </c>
      <c r="F423" s="56">
        <v>0</v>
      </c>
      <c r="G423" s="48"/>
      <c r="H423" s="48"/>
      <c r="I423" s="48"/>
      <c r="J423" s="48"/>
      <c r="L423" s="65"/>
    </row>
    <row r="424" spans="5:12">
      <c r="E424" s="49">
        <v>45050.159722220211</v>
      </c>
      <c r="F424" s="56">
        <v>0</v>
      </c>
      <c r="G424" s="48"/>
      <c r="H424" s="48"/>
      <c r="I424" s="48"/>
      <c r="J424" s="48"/>
      <c r="L424" s="65"/>
    </row>
    <row r="425" spans="5:12">
      <c r="E425" s="49">
        <v>45050.16319444243</v>
      </c>
      <c r="F425" s="56">
        <v>0</v>
      </c>
      <c r="G425" s="48"/>
      <c r="H425" s="48"/>
      <c r="I425" s="48"/>
      <c r="J425" s="48"/>
      <c r="L425" s="65"/>
    </row>
    <row r="426" spans="5:12">
      <c r="E426" s="49">
        <v>45050.166666664649</v>
      </c>
      <c r="F426" s="56">
        <v>0</v>
      </c>
      <c r="G426" s="48"/>
      <c r="H426" s="48"/>
      <c r="I426" s="48"/>
      <c r="J426" s="48"/>
      <c r="L426" s="65"/>
    </row>
    <row r="427" spans="5:12">
      <c r="E427" s="49">
        <v>45050.170138886868</v>
      </c>
      <c r="F427" s="56">
        <v>0</v>
      </c>
      <c r="G427" s="48"/>
      <c r="H427" s="48"/>
      <c r="I427" s="48"/>
      <c r="J427" s="48"/>
      <c r="L427" s="65"/>
    </row>
    <row r="428" spans="5:12">
      <c r="E428" s="49">
        <v>45050.173611109087</v>
      </c>
      <c r="F428" s="56">
        <v>0</v>
      </c>
      <c r="G428" s="48"/>
      <c r="H428" s="48"/>
      <c r="I428" s="48"/>
      <c r="J428" s="48"/>
      <c r="L428" s="65"/>
    </row>
    <row r="429" spans="5:12">
      <c r="E429" s="49">
        <v>45050.177083331306</v>
      </c>
      <c r="F429" s="56">
        <v>0</v>
      </c>
      <c r="G429" s="48"/>
      <c r="H429" s="48"/>
      <c r="I429" s="48"/>
      <c r="J429" s="48"/>
      <c r="L429" s="65"/>
    </row>
    <row r="430" spans="5:12">
      <c r="E430" s="49">
        <v>45050.180555553525</v>
      </c>
      <c r="F430" s="56">
        <v>0</v>
      </c>
      <c r="G430" s="48"/>
      <c r="H430" s="48"/>
      <c r="I430" s="48"/>
      <c r="J430" s="48"/>
      <c r="L430" s="65"/>
    </row>
    <row r="431" spans="5:12">
      <c r="E431" s="49">
        <v>45050.184027775744</v>
      </c>
      <c r="F431" s="56">
        <v>0</v>
      </c>
      <c r="G431" s="48"/>
      <c r="H431" s="48"/>
      <c r="I431" s="48"/>
      <c r="J431" s="48"/>
      <c r="L431" s="65"/>
    </row>
    <row r="432" spans="5:12">
      <c r="E432" s="49">
        <v>45050.187499997963</v>
      </c>
      <c r="F432" s="56">
        <v>0</v>
      </c>
      <c r="G432" s="48"/>
      <c r="H432" s="48"/>
      <c r="I432" s="48"/>
      <c r="J432" s="48"/>
      <c r="L432" s="65"/>
    </row>
    <row r="433" spans="5:12">
      <c r="E433" s="49">
        <v>45050.190972220182</v>
      </c>
      <c r="F433" s="56">
        <v>0</v>
      </c>
      <c r="G433" s="48"/>
      <c r="H433" s="48"/>
      <c r="I433" s="48"/>
      <c r="J433" s="48"/>
      <c r="L433" s="65"/>
    </row>
    <row r="434" spans="5:12">
      <c r="E434" s="49">
        <v>45050.194444442401</v>
      </c>
      <c r="F434" s="56">
        <v>0</v>
      </c>
      <c r="G434" s="48"/>
      <c r="H434" s="48"/>
      <c r="I434" s="48"/>
      <c r="J434" s="48"/>
      <c r="L434" s="65"/>
    </row>
    <row r="435" spans="5:12">
      <c r="E435" s="49">
        <v>45050.19791666462</v>
      </c>
      <c r="F435" s="56">
        <v>0</v>
      </c>
      <c r="G435" s="48"/>
      <c r="H435" s="48"/>
      <c r="I435" s="48"/>
      <c r="J435" s="48"/>
      <c r="L435" s="65"/>
    </row>
    <row r="436" spans="5:12">
      <c r="E436" s="49">
        <v>45050.201388886839</v>
      </c>
      <c r="F436" s="56">
        <v>0</v>
      </c>
      <c r="G436" s="48"/>
      <c r="H436" s="48"/>
      <c r="I436" s="48"/>
      <c r="J436" s="48"/>
      <c r="L436" s="65"/>
    </row>
    <row r="437" spans="5:12">
      <c r="E437" s="49">
        <v>45050.204861109058</v>
      </c>
      <c r="F437" s="56">
        <v>0</v>
      </c>
      <c r="G437" s="48"/>
      <c r="H437" s="48"/>
      <c r="I437" s="48"/>
      <c r="J437" s="48"/>
      <c r="L437" s="65"/>
    </row>
    <row r="438" spans="5:12">
      <c r="E438" s="49">
        <v>45050.208333331277</v>
      </c>
      <c r="F438" s="56">
        <v>0</v>
      </c>
      <c r="G438" s="48"/>
      <c r="H438" s="48"/>
      <c r="I438" s="48"/>
      <c r="J438" s="48"/>
      <c r="L438" s="65"/>
    </row>
    <row r="439" spans="5:12">
      <c r="E439" s="49">
        <v>45050.211805553496</v>
      </c>
      <c r="F439" s="56">
        <v>0</v>
      </c>
      <c r="G439" s="48"/>
      <c r="H439" s="48"/>
      <c r="I439" s="48"/>
      <c r="J439" s="48"/>
      <c r="L439" s="65"/>
    </row>
    <row r="440" spans="5:12">
      <c r="E440" s="49">
        <v>45050.215277775715</v>
      </c>
      <c r="F440" s="56">
        <v>0</v>
      </c>
      <c r="G440" s="48"/>
      <c r="H440" s="48"/>
      <c r="I440" s="48"/>
      <c r="J440" s="48"/>
      <c r="L440" s="65"/>
    </row>
    <row r="441" spans="5:12">
      <c r="E441" s="49">
        <v>45050.218749997934</v>
      </c>
      <c r="F441" s="56">
        <v>0</v>
      </c>
      <c r="G441" s="48"/>
      <c r="H441" s="48"/>
      <c r="I441" s="48"/>
      <c r="J441" s="48"/>
      <c r="L441" s="65"/>
    </row>
    <row r="442" spans="5:12">
      <c r="E442" s="49">
        <v>45050.222222220153</v>
      </c>
      <c r="F442" s="56">
        <v>0</v>
      </c>
      <c r="G442" s="48"/>
      <c r="H442" s="48"/>
      <c r="I442" s="48"/>
      <c r="J442" s="48"/>
      <c r="L442" s="65"/>
    </row>
    <row r="443" spans="5:12">
      <c r="E443" s="49">
        <v>45050.225694442372</v>
      </c>
      <c r="F443" s="56">
        <v>0</v>
      </c>
      <c r="G443" s="48"/>
      <c r="H443" s="48"/>
      <c r="I443" s="48"/>
      <c r="J443" s="48"/>
      <c r="L443" s="65"/>
    </row>
    <row r="444" spans="5:12">
      <c r="E444" s="49">
        <v>45050.229166664591</v>
      </c>
      <c r="F444" s="56">
        <v>0</v>
      </c>
      <c r="G444" s="48"/>
      <c r="H444" s="48"/>
      <c r="I444" s="48"/>
      <c r="J444" s="48"/>
      <c r="L444" s="65"/>
    </row>
    <row r="445" spans="5:12">
      <c r="E445" s="49">
        <v>45050.23263888681</v>
      </c>
      <c r="F445" s="56">
        <v>0</v>
      </c>
      <c r="G445" s="48"/>
      <c r="H445" s="48"/>
      <c r="I445" s="48"/>
      <c r="J445" s="48"/>
      <c r="L445" s="65"/>
    </row>
    <row r="446" spans="5:12">
      <c r="E446" s="49">
        <v>45050.236111109029</v>
      </c>
      <c r="F446" s="56">
        <v>0</v>
      </c>
      <c r="G446" s="48"/>
      <c r="H446" s="48"/>
      <c r="I446" s="48"/>
      <c r="J446" s="48"/>
      <c r="L446" s="65"/>
    </row>
    <row r="447" spans="5:12">
      <c r="E447" s="49">
        <v>45050.239583331248</v>
      </c>
      <c r="F447" s="56">
        <v>0</v>
      </c>
      <c r="G447" s="48"/>
      <c r="H447" s="48"/>
      <c r="I447" s="48"/>
      <c r="J447" s="48"/>
      <c r="L447" s="65"/>
    </row>
    <row r="448" spans="5:12">
      <c r="E448" s="49">
        <v>45050.243055553467</v>
      </c>
      <c r="F448" s="56">
        <v>0</v>
      </c>
      <c r="G448" s="48"/>
      <c r="H448" s="48"/>
      <c r="I448" s="48"/>
      <c r="J448" s="48"/>
      <c r="L448" s="65"/>
    </row>
    <row r="449" spans="5:12">
      <c r="E449" s="49">
        <v>45050.246527775686</v>
      </c>
      <c r="F449" s="56">
        <v>0</v>
      </c>
      <c r="G449" s="48"/>
      <c r="H449" s="48"/>
      <c r="I449" s="48"/>
      <c r="J449" s="48"/>
      <c r="L449" s="65"/>
    </row>
    <row r="450" spans="5:12">
      <c r="E450" s="49">
        <v>45050.249999997905</v>
      </c>
      <c r="F450" s="56">
        <v>0</v>
      </c>
      <c r="G450" s="48"/>
      <c r="H450" s="48"/>
      <c r="I450" s="48"/>
      <c r="J450" s="48"/>
      <c r="L450" s="65"/>
    </row>
    <row r="451" spans="5:12">
      <c r="E451" s="49">
        <v>45050.253472220124</v>
      </c>
      <c r="F451" s="56">
        <v>0</v>
      </c>
      <c r="G451" s="48"/>
      <c r="H451" s="48"/>
      <c r="I451" s="48"/>
      <c r="J451" s="48"/>
      <c r="L451" s="65"/>
    </row>
    <row r="452" spans="5:12">
      <c r="E452" s="49">
        <v>45050.256944442343</v>
      </c>
      <c r="F452" s="56">
        <v>0</v>
      </c>
      <c r="G452" s="48"/>
      <c r="H452" s="48"/>
      <c r="I452" s="48"/>
      <c r="J452" s="48"/>
      <c r="L452" s="65"/>
    </row>
    <row r="453" spans="5:12">
      <c r="E453" s="49">
        <v>45050.260416664561</v>
      </c>
      <c r="F453" s="56">
        <v>0</v>
      </c>
      <c r="G453" s="48"/>
      <c r="H453" s="48"/>
      <c r="I453" s="48"/>
      <c r="J453" s="48"/>
      <c r="L453" s="65"/>
    </row>
    <row r="454" spans="5:12">
      <c r="E454" s="49">
        <v>45050.26388888678</v>
      </c>
      <c r="F454" s="56">
        <v>0</v>
      </c>
      <c r="G454" s="48"/>
      <c r="H454" s="48"/>
      <c r="I454" s="48"/>
      <c r="J454" s="48"/>
      <c r="L454" s="65"/>
    </row>
    <row r="455" spans="5:12">
      <c r="E455" s="49">
        <v>45050.267361108999</v>
      </c>
      <c r="F455" s="56">
        <v>0</v>
      </c>
      <c r="G455" s="48"/>
      <c r="H455" s="48"/>
      <c r="I455" s="48"/>
      <c r="J455" s="48"/>
      <c r="L455" s="65"/>
    </row>
    <row r="456" spans="5:12">
      <c r="E456" s="49">
        <v>45050.270833331218</v>
      </c>
      <c r="F456" s="56">
        <v>0</v>
      </c>
      <c r="G456" s="48"/>
      <c r="H456" s="48"/>
      <c r="I456" s="48"/>
      <c r="J456" s="48"/>
      <c r="L456" s="65"/>
    </row>
    <row r="457" spans="5:12">
      <c r="E457" s="49">
        <v>45050.274305553437</v>
      </c>
      <c r="F457" s="56">
        <v>0</v>
      </c>
      <c r="G457" s="48"/>
      <c r="H457" s="48"/>
      <c r="I457" s="48"/>
      <c r="J457" s="48"/>
      <c r="L457" s="65"/>
    </row>
    <row r="458" spans="5:12">
      <c r="E458" s="49">
        <v>45050.277777775656</v>
      </c>
      <c r="F458" s="56">
        <v>0</v>
      </c>
      <c r="G458" s="48"/>
      <c r="H458" s="48"/>
      <c r="I458" s="48"/>
      <c r="J458" s="48"/>
      <c r="L458" s="65"/>
    </row>
    <row r="459" spans="5:12">
      <c r="E459" s="49">
        <v>45050.281249997875</v>
      </c>
      <c r="F459" s="56">
        <v>0</v>
      </c>
      <c r="G459" s="48"/>
      <c r="H459" s="48"/>
      <c r="I459" s="48"/>
      <c r="J459" s="48"/>
      <c r="L459" s="65"/>
    </row>
    <row r="460" spans="5:12">
      <c r="E460" s="49">
        <v>45050.284722220094</v>
      </c>
      <c r="F460" s="56">
        <v>0</v>
      </c>
      <c r="G460" s="48"/>
      <c r="H460" s="48"/>
      <c r="I460" s="48"/>
      <c r="J460" s="48"/>
      <c r="L460" s="65"/>
    </row>
    <row r="461" spans="5:12">
      <c r="E461" s="49">
        <v>45050.288194442313</v>
      </c>
      <c r="F461" s="56">
        <v>0</v>
      </c>
      <c r="G461" s="48"/>
      <c r="H461" s="48"/>
      <c r="I461" s="48"/>
      <c r="J461" s="48"/>
      <c r="L461" s="65"/>
    </row>
    <row r="462" spans="5:12">
      <c r="E462" s="49">
        <v>45050.291666664532</v>
      </c>
      <c r="F462" s="56">
        <v>0</v>
      </c>
      <c r="G462" s="48"/>
      <c r="H462" s="48"/>
      <c r="I462" s="48"/>
      <c r="J462" s="48"/>
      <c r="L462" s="65"/>
    </row>
    <row r="463" spans="5:12">
      <c r="E463" s="49">
        <v>45050.295138886751</v>
      </c>
      <c r="F463" s="56">
        <v>0</v>
      </c>
      <c r="G463" s="48"/>
      <c r="H463" s="48"/>
      <c r="I463" s="48"/>
      <c r="J463" s="48"/>
      <c r="L463" s="65"/>
    </row>
    <row r="464" spans="5:12">
      <c r="E464" s="49">
        <v>45050.29861110897</v>
      </c>
      <c r="F464" s="56">
        <v>0</v>
      </c>
      <c r="G464" s="48"/>
      <c r="H464" s="48"/>
      <c r="I464" s="48"/>
      <c r="J464" s="48"/>
      <c r="L464" s="65"/>
    </row>
    <row r="465" spans="5:12">
      <c r="E465" s="49">
        <v>45050.302083331189</v>
      </c>
      <c r="F465" s="56">
        <v>0</v>
      </c>
      <c r="G465" s="48"/>
      <c r="H465" s="48"/>
      <c r="I465" s="48"/>
      <c r="J465" s="48"/>
      <c r="L465" s="65"/>
    </row>
    <row r="466" spans="5:12">
      <c r="E466" s="49">
        <v>45050.305555553408</v>
      </c>
      <c r="F466" s="56">
        <v>0</v>
      </c>
      <c r="G466" s="48"/>
      <c r="H466" s="48"/>
      <c r="I466" s="48"/>
      <c r="J466" s="48"/>
      <c r="L466" s="65"/>
    </row>
    <row r="467" spans="5:12">
      <c r="E467" s="49">
        <v>45050.309027775627</v>
      </c>
      <c r="F467" s="56">
        <v>0</v>
      </c>
      <c r="G467" s="48"/>
      <c r="H467" s="48"/>
      <c r="I467" s="48"/>
      <c r="J467" s="48"/>
      <c r="L467" s="65"/>
    </row>
    <row r="468" spans="5:12">
      <c r="E468" s="49">
        <v>45050.312499997846</v>
      </c>
      <c r="F468" s="56">
        <v>0</v>
      </c>
      <c r="G468" s="48"/>
      <c r="H468" s="48"/>
      <c r="I468" s="48"/>
      <c r="J468" s="48"/>
      <c r="L468" s="65"/>
    </row>
    <row r="469" spans="5:12">
      <c r="E469" s="49">
        <v>45050.315972220065</v>
      </c>
      <c r="F469" s="56">
        <v>0</v>
      </c>
      <c r="G469" s="48"/>
      <c r="H469" s="48"/>
      <c r="I469" s="48"/>
      <c r="J469" s="48"/>
      <c r="L469" s="65"/>
    </row>
    <row r="470" spans="5:12">
      <c r="E470" s="49">
        <v>45050.319444442284</v>
      </c>
      <c r="F470" s="56">
        <v>0</v>
      </c>
      <c r="G470" s="48"/>
      <c r="H470" s="48"/>
      <c r="I470" s="48"/>
      <c r="J470" s="48"/>
      <c r="L470" s="65"/>
    </row>
    <row r="471" spans="5:12">
      <c r="E471" s="49">
        <v>45050.322916664503</v>
      </c>
      <c r="F471" s="56">
        <v>0</v>
      </c>
      <c r="G471" s="48"/>
      <c r="H471" s="48"/>
      <c r="I471" s="48"/>
      <c r="J471" s="48"/>
      <c r="L471" s="65"/>
    </row>
    <row r="472" spans="5:12">
      <c r="E472" s="49">
        <v>45050.326388886722</v>
      </c>
      <c r="F472" s="56">
        <v>0</v>
      </c>
      <c r="G472" s="48"/>
      <c r="H472" s="48"/>
      <c r="I472" s="48"/>
      <c r="J472" s="48"/>
      <c r="L472" s="65"/>
    </row>
    <row r="473" spans="5:12">
      <c r="E473" s="49">
        <v>45050.329861108941</v>
      </c>
      <c r="F473" s="56">
        <v>0</v>
      </c>
      <c r="G473" s="48"/>
      <c r="H473" s="48"/>
      <c r="I473" s="48"/>
      <c r="J473" s="48"/>
      <c r="L473" s="65"/>
    </row>
    <row r="474" spans="5:12">
      <c r="E474" s="49">
        <v>45050.33333333116</v>
      </c>
      <c r="F474" s="56">
        <v>0</v>
      </c>
      <c r="G474" s="48"/>
      <c r="H474" s="48"/>
      <c r="I474" s="48"/>
      <c r="J474" s="48"/>
      <c r="L474" s="65"/>
    </row>
    <row r="475" spans="5:12">
      <c r="E475" s="49">
        <v>45050.336805553379</v>
      </c>
      <c r="F475" s="56">
        <v>0</v>
      </c>
      <c r="G475" s="48"/>
      <c r="H475" s="48"/>
      <c r="I475" s="48"/>
      <c r="J475" s="48"/>
      <c r="L475" s="65"/>
    </row>
    <row r="476" spans="5:12">
      <c r="E476" s="49">
        <v>45050.340277775598</v>
      </c>
      <c r="F476" s="56">
        <v>0</v>
      </c>
      <c r="G476" s="48"/>
      <c r="H476" s="48"/>
      <c r="I476" s="48"/>
      <c r="J476" s="48"/>
      <c r="L476" s="65"/>
    </row>
    <row r="477" spans="5:12">
      <c r="E477" s="49">
        <v>45050.343749997817</v>
      </c>
      <c r="F477" s="56">
        <v>0</v>
      </c>
      <c r="G477" s="48"/>
      <c r="H477" s="48"/>
      <c r="I477" s="48"/>
      <c r="J477" s="48"/>
      <c r="L477" s="65"/>
    </row>
    <row r="478" spans="5:12">
      <c r="E478" s="49">
        <v>45050.347222220036</v>
      </c>
      <c r="F478" s="56">
        <v>0</v>
      </c>
      <c r="G478" s="48"/>
      <c r="H478" s="48"/>
      <c r="I478" s="48"/>
      <c r="J478" s="48"/>
      <c r="L478" s="65"/>
    </row>
    <row r="479" spans="5:12">
      <c r="E479" s="49">
        <v>45050.350694442255</v>
      </c>
      <c r="F479" s="56">
        <v>0</v>
      </c>
      <c r="G479" s="48"/>
      <c r="H479" s="48"/>
      <c r="I479" s="48"/>
      <c r="J479" s="48"/>
      <c r="L479" s="65"/>
    </row>
    <row r="480" spans="5:12">
      <c r="E480" s="49">
        <v>45050.354166664474</v>
      </c>
      <c r="F480" s="56">
        <v>0</v>
      </c>
      <c r="G480" s="48"/>
      <c r="H480" s="48"/>
      <c r="I480" s="48"/>
      <c r="J480" s="48"/>
      <c r="L480" s="65"/>
    </row>
    <row r="481" spans="5:12">
      <c r="E481" s="49">
        <v>45050.357638886693</v>
      </c>
      <c r="F481" s="56">
        <v>0</v>
      </c>
      <c r="G481" s="48"/>
      <c r="H481" s="48"/>
      <c r="I481" s="48"/>
      <c r="J481" s="48"/>
      <c r="L481" s="65"/>
    </row>
    <row r="482" spans="5:12">
      <c r="E482" s="49">
        <v>45050.361111108912</v>
      </c>
      <c r="F482" s="56">
        <v>0</v>
      </c>
      <c r="G482" s="48"/>
      <c r="H482" s="48"/>
      <c r="I482" s="48"/>
      <c r="J482" s="48"/>
      <c r="L482" s="65"/>
    </row>
    <row r="483" spans="5:12">
      <c r="E483" s="49">
        <v>45050.364583331131</v>
      </c>
      <c r="F483" s="56">
        <v>0</v>
      </c>
      <c r="G483" s="48"/>
      <c r="H483" s="48"/>
      <c r="I483" s="48"/>
      <c r="J483" s="48"/>
      <c r="L483" s="65"/>
    </row>
    <row r="484" spans="5:12">
      <c r="E484" s="49">
        <v>45050.36805555335</v>
      </c>
      <c r="F484" s="56">
        <v>0</v>
      </c>
      <c r="G484" s="48"/>
      <c r="H484" s="48"/>
      <c r="I484" s="48"/>
      <c r="J484" s="48"/>
      <c r="L484" s="65"/>
    </row>
    <row r="485" spans="5:12">
      <c r="E485" s="49">
        <v>45050.371527775569</v>
      </c>
      <c r="F485" s="56">
        <v>0</v>
      </c>
      <c r="G485" s="48"/>
      <c r="H485" s="48"/>
      <c r="I485" s="48"/>
      <c r="J485" s="48"/>
      <c r="L485" s="65"/>
    </row>
    <row r="486" spans="5:12">
      <c r="E486" s="49">
        <v>45050.374999997788</v>
      </c>
      <c r="F486" s="56">
        <v>0</v>
      </c>
      <c r="G486" s="48"/>
      <c r="H486" s="48"/>
      <c r="I486" s="48"/>
      <c r="J486" s="48"/>
      <c r="L486" s="65"/>
    </row>
    <row r="487" spans="5:12">
      <c r="E487" s="49">
        <v>45050.378472220007</v>
      </c>
      <c r="F487" s="56">
        <v>0</v>
      </c>
      <c r="G487" s="48"/>
      <c r="H487" s="48"/>
      <c r="I487" s="48"/>
      <c r="J487" s="48"/>
      <c r="L487" s="65"/>
    </row>
    <row r="488" spans="5:12">
      <c r="E488" s="49">
        <v>45050.381944442226</v>
      </c>
      <c r="F488" s="56">
        <v>0</v>
      </c>
      <c r="G488" s="48"/>
      <c r="H488" s="48"/>
      <c r="I488" s="48"/>
      <c r="J488" s="48"/>
      <c r="L488" s="65"/>
    </row>
    <row r="489" spans="5:12">
      <c r="E489" s="49">
        <v>45050.385416664445</v>
      </c>
      <c r="F489" s="56">
        <v>0</v>
      </c>
      <c r="G489" s="48"/>
      <c r="H489" s="48"/>
      <c r="I489" s="48"/>
      <c r="J489" s="48"/>
      <c r="L489" s="65"/>
    </row>
    <row r="490" spans="5:12">
      <c r="E490" s="49">
        <v>45050.388888886664</v>
      </c>
      <c r="F490" s="56">
        <v>0</v>
      </c>
      <c r="G490" s="48"/>
      <c r="H490" s="48"/>
      <c r="I490" s="48"/>
      <c r="J490" s="48"/>
      <c r="L490" s="65"/>
    </row>
    <row r="491" spans="5:12">
      <c r="E491" s="49">
        <v>45050.392361108883</v>
      </c>
      <c r="F491" s="56">
        <v>0</v>
      </c>
      <c r="G491" s="48"/>
      <c r="H491" s="48"/>
      <c r="I491" s="48"/>
      <c r="J491" s="48"/>
      <c r="L491" s="65"/>
    </row>
    <row r="492" spans="5:12">
      <c r="E492" s="49">
        <v>45050.395833331102</v>
      </c>
      <c r="F492" s="56">
        <v>0</v>
      </c>
      <c r="G492" s="48"/>
      <c r="H492" s="48"/>
      <c r="I492" s="48"/>
      <c r="J492" s="48"/>
      <c r="L492" s="65"/>
    </row>
    <row r="493" spans="5:12">
      <c r="E493" s="49">
        <v>45050.399305553321</v>
      </c>
      <c r="F493" s="56">
        <v>0</v>
      </c>
      <c r="G493" s="48"/>
      <c r="H493" s="48"/>
      <c r="I493" s="48"/>
      <c r="J493" s="48"/>
      <c r="L493" s="65"/>
    </row>
    <row r="494" spans="5:12">
      <c r="E494" s="49">
        <v>45050.40277777554</v>
      </c>
      <c r="F494" s="56">
        <v>0</v>
      </c>
      <c r="G494" s="48"/>
      <c r="H494" s="48"/>
      <c r="I494" s="48"/>
      <c r="J494" s="48"/>
      <c r="L494" s="65"/>
    </row>
    <row r="495" spans="5:12">
      <c r="E495" s="49">
        <v>45050.406249997759</v>
      </c>
      <c r="F495" s="56">
        <v>0</v>
      </c>
      <c r="G495" s="48"/>
      <c r="H495" s="48"/>
      <c r="I495" s="48"/>
      <c r="J495" s="48"/>
      <c r="L495" s="65"/>
    </row>
    <row r="496" spans="5:12">
      <c r="E496" s="49">
        <v>45050.409722219978</v>
      </c>
      <c r="F496" s="56">
        <v>0</v>
      </c>
      <c r="G496" s="48"/>
      <c r="H496" s="48"/>
      <c r="I496" s="48"/>
      <c r="J496" s="48"/>
      <c r="L496" s="65"/>
    </row>
    <row r="497" spans="5:12">
      <c r="E497" s="49">
        <v>45050.413194442197</v>
      </c>
      <c r="F497" s="56">
        <v>0</v>
      </c>
      <c r="G497" s="48"/>
      <c r="H497" s="48"/>
      <c r="I497" s="48"/>
      <c r="J497" s="48"/>
      <c r="L497" s="65"/>
    </row>
    <row r="498" spans="5:12">
      <c r="E498" s="49">
        <v>45050.416666664416</v>
      </c>
      <c r="F498" s="56">
        <v>0</v>
      </c>
      <c r="G498" s="48"/>
      <c r="H498" s="48"/>
      <c r="I498" s="48"/>
      <c r="J498" s="48"/>
      <c r="L498" s="65"/>
    </row>
    <row r="499" spans="5:12">
      <c r="E499" s="49">
        <v>45050.420138886635</v>
      </c>
      <c r="F499" s="56">
        <v>0</v>
      </c>
      <c r="G499" s="48"/>
      <c r="H499" s="48"/>
      <c r="I499" s="48"/>
      <c r="J499" s="48"/>
      <c r="L499" s="65"/>
    </row>
    <row r="500" spans="5:12">
      <c r="E500" s="49">
        <v>45050.423611108854</v>
      </c>
      <c r="F500" s="56">
        <v>0</v>
      </c>
      <c r="G500" s="48"/>
      <c r="H500" s="48"/>
      <c r="I500" s="48"/>
      <c r="J500" s="48"/>
      <c r="L500" s="65"/>
    </row>
    <row r="501" spans="5:12">
      <c r="E501" s="49">
        <v>45050.427083331073</v>
      </c>
      <c r="F501" s="56">
        <v>0</v>
      </c>
      <c r="G501" s="48"/>
      <c r="H501" s="48"/>
      <c r="I501" s="48"/>
      <c r="J501" s="48"/>
      <c r="L501" s="65"/>
    </row>
    <row r="502" spans="5:12">
      <c r="E502" s="49">
        <v>45050.430555553292</v>
      </c>
      <c r="F502" s="56">
        <v>0</v>
      </c>
      <c r="G502" s="48"/>
      <c r="H502" s="48"/>
      <c r="I502" s="48"/>
      <c r="J502" s="48"/>
      <c r="L502" s="65"/>
    </row>
    <row r="503" spans="5:12">
      <c r="E503" s="49">
        <v>45050.434027775511</v>
      </c>
      <c r="F503" s="56">
        <v>0</v>
      </c>
      <c r="G503" s="48"/>
      <c r="H503" s="48"/>
      <c r="I503" s="48"/>
      <c r="J503" s="48"/>
      <c r="L503" s="65"/>
    </row>
    <row r="504" spans="5:12">
      <c r="E504" s="49">
        <v>45050.43749999773</v>
      </c>
      <c r="F504" s="56">
        <v>0</v>
      </c>
      <c r="G504" s="48"/>
      <c r="H504" s="48"/>
      <c r="I504" s="48"/>
      <c r="J504" s="48"/>
      <c r="L504" s="65"/>
    </row>
    <row r="505" spans="5:12">
      <c r="E505" s="49">
        <v>45050.440972219949</v>
      </c>
      <c r="F505" s="56">
        <v>0</v>
      </c>
      <c r="G505" s="48"/>
      <c r="H505" s="48"/>
      <c r="I505" s="48"/>
      <c r="J505" s="48"/>
      <c r="L505" s="65"/>
    </row>
    <row r="506" spans="5:12">
      <c r="E506" s="49">
        <v>45050.444444442168</v>
      </c>
      <c r="F506" s="56">
        <v>0</v>
      </c>
      <c r="G506" s="48"/>
      <c r="H506" s="48"/>
      <c r="I506" s="48"/>
      <c r="J506" s="48"/>
      <c r="L506" s="65"/>
    </row>
    <row r="507" spans="5:12">
      <c r="E507" s="49">
        <v>45050.447916664387</v>
      </c>
      <c r="F507" s="56">
        <v>0</v>
      </c>
      <c r="G507" s="48"/>
      <c r="H507" s="48"/>
      <c r="I507" s="48"/>
      <c r="J507" s="48"/>
      <c r="L507" s="65"/>
    </row>
    <row r="508" spans="5:12">
      <c r="E508" s="49">
        <v>45050.451388886606</v>
      </c>
      <c r="F508" s="56">
        <v>0</v>
      </c>
      <c r="G508" s="48"/>
      <c r="H508" s="48"/>
      <c r="I508" s="48"/>
      <c r="J508" s="48"/>
      <c r="L508" s="65"/>
    </row>
    <row r="509" spans="5:12">
      <c r="E509" s="49">
        <v>45050.454861108825</v>
      </c>
      <c r="F509" s="56">
        <v>0</v>
      </c>
      <c r="G509" s="48"/>
      <c r="H509" s="48"/>
      <c r="I509" s="48"/>
      <c r="J509" s="48"/>
      <c r="L509" s="65"/>
    </row>
    <row r="510" spans="5:12">
      <c r="E510" s="49">
        <v>45050.458333331044</v>
      </c>
      <c r="F510" s="56">
        <v>0</v>
      </c>
      <c r="G510" s="48"/>
      <c r="H510" s="48"/>
      <c r="I510" s="48"/>
      <c r="J510" s="48"/>
      <c r="L510" s="65"/>
    </row>
    <row r="511" spans="5:12">
      <c r="E511" s="49">
        <v>45050.461805553263</v>
      </c>
      <c r="F511" s="56">
        <v>0</v>
      </c>
      <c r="G511" s="48"/>
      <c r="H511" s="48"/>
      <c r="I511" s="48"/>
      <c r="J511" s="48"/>
      <c r="L511" s="65"/>
    </row>
    <row r="512" spans="5:12">
      <c r="E512" s="49">
        <v>45050.465277775482</v>
      </c>
      <c r="F512" s="56">
        <v>0</v>
      </c>
      <c r="G512" s="48"/>
      <c r="H512" s="48"/>
      <c r="I512" s="48"/>
      <c r="J512" s="48"/>
      <c r="L512" s="65"/>
    </row>
    <row r="513" spans="5:12">
      <c r="E513" s="49">
        <v>45050.468749997701</v>
      </c>
      <c r="F513" s="56">
        <v>0</v>
      </c>
      <c r="G513" s="48"/>
      <c r="H513" s="48"/>
      <c r="I513" s="48"/>
      <c r="J513" s="48"/>
      <c r="L513" s="65"/>
    </row>
    <row r="514" spans="5:12">
      <c r="E514" s="49">
        <v>45050.47222221992</v>
      </c>
      <c r="F514" s="56">
        <v>0</v>
      </c>
      <c r="G514" s="48"/>
      <c r="H514" s="48"/>
      <c r="I514" s="48"/>
      <c r="J514" s="48"/>
      <c r="L514" s="65"/>
    </row>
    <row r="515" spans="5:12">
      <c r="E515" s="49">
        <v>45050.475694442139</v>
      </c>
      <c r="F515" s="56">
        <v>0</v>
      </c>
      <c r="G515" s="48"/>
      <c r="H515" s="48"/>
      <c r="I515" s="48"/>
      <c r="J515" s="48"/>
      <c r="L515" s="65"/>
    </row>
    <row r="516" spans="5:12">
      <c r="E516" s="49">
        <v>45050.479166664358</v>
      </c>
      <c r="F516" s="56">
        <v>0</v>
      </c>
      <c r="G516" s="48"/>
      <c r="H516" s="48"/>
      <c r="I516" s="48"/>
      <c r="J516" s="48"/>
      <c r="L516" s="65"/>
    </row>
    <row r="517" spans="5:12">
      <c r="E517" s="49">
        <v>45050.482638886577</v>
      </c>
      <c r="F517" s="56">
        <v>0</v>
      </c>
      <c r="G517" s="48"/>
      <c r="H517" s="48"/>
      <c r="I517" s="48"/>
      <c r="J517" s="48"/>
      <c r="L517" s="65"/>
    </row>
    <row r="518" spans="5:12">
      <c r="E518" s="49">
        <v>45050.486111108796</v>
      </c>
      <c r="F518" s="56">
        <v>0</v>
      </c>
      <c r="G518" s="48"/>
      <c r="H518" s="48"/>
      <c r="I518" s="48"/>
      <c r="J518" s="48"/>
      <c r="L518" s="65"/>
    </row>
    <row r="519" spans="5:12">
      <c r="E519" s="49">
        <v>45050.489583331015</v>
      </c>
      <c r="F519" s="56">
        <v>0</v>
      </c>
      <c r="G519" s="48"/>
      <c r="H519" s="48"/>
      <c r="I519" s="48"/>
      <c r="J519" s="48"/>
      <c r="L519" s="65"/>
    </row>
    <row r="520" spans="5:12">
      <c r="E520" s="49">
        <v>45050.493055553234</v>
      </c>
      <c r="F520" s="56">
        <v>0</v>
      </c>
      <c r="G520" s="48"/>
      <c r="H520" s="48"/>
      <c r="I520" s="48"/>
      <c r="J520" s="48"/>
      <c r="L520" s="65"/>
    </row>
    <row r="521" spans="5:12">
      <c r="E521" s="49">
        <v>45050.496527775453</v>
      </c>
      <c r="F521" s="56">
        <v>0</v>
      </c>
      <c r="G521" s="48"/>
      <c r="H521" s="48"/>
      <c r="I521" s="48"/>
      <c r="J521" s="48"/>
      <c r="L521" s="65"/>
    </row>
    <row r="522" spans="5:12">
      <c r="E522" s="49">
        <v>45050.499999997672</v>
      </c>
      <c r="F522" s="56">
        <v>0</v>
      </c>
      <c r="G522" s="48"/>
      <c r="H522" s="48"/>
      <c r="I522" s="48"/>
      <c r="J522" s="48"/>
      <c r="L522" s="65"/>
    </row>
    <row r="523" spans="5:12">
      <c r="E523" s="49">
        <v>45050.503472219891</v>
      </c>
      <c r="F523" s="56">
        <v>0</v>
      </c>
      <c r="G523" s="48"/>
      <c r="H523" s="48"/>
      <c r="I523" s="48"/>
      <c r="J523" s="48"/>
      <c r="L523" s="65"/>
    </row>
    <row r="524" spans="5:12">
      <c r="E524" s="49">
        <v>45050.50694444211</v>
      </c>
      <c r="F524" s="56">
        <v>0</v>
      </c>
      <c r="G524" s="48"/>
      <c r="H524" s="48"/>
      <c r="I524" s="48"/>
      <c r="J524" s="48"/>
      <c r="L524" s="65"/>
    </row>
    <row r="525" spans="5:12">
      <c r="E525" s="49">
        <v>45050.510416664329</v>
      </c>
      <c r="F525" s="56">
        <v>0</v>
      </c>
      <c r="G525" s="48"/>
      <c r="H525" s="48"/>
      <c r="I525" s="48"/>
      <c r="J525" s="48"/>
      <c r="L525" s="65"/>
    </row>
    <row r="526" spans="5:12">
      <c r="E526" s="49">
        <v>45050.513888886548</v>
      </c>
      <c r="F526" s="56">
        <v>0</v>
      </c>
      <c r="G526" s="48"/>
      <c r="H526" s="48"/>
      <c r="I526" s="48"/>
      <c r="J526" s="48"/>
      <c r="L526" s="65"/>
    </row>
    <row r="527" spans="5:12">
      <c r="E527" s="49">
        <v>45050.517361108767</v>
      </c>
      <c r="F527" s="56">
        <v>0</v>
      </c>
      <c r="G527" s="48"/>
      <c r="H527" s="48"/>
      <c r="I527" s="48"/>
      <c r="J527" s="48"/>
      <c r="L527" s="65"/>
    </row>
    <row r="528" spans="5:12">
      <c r="E528" s="49">
        <v>45050.520833330986</v>
      </c>
      <c r="F528" s="56">
        <v>0</v>
      </c>
      <c r="G528" s="48"/>
      <c r="H528" s="48"/>
      <c r="I528" s="48"/>
      <c r="J528" s="48"/>
      <c r="L528" s="65"/>
    </row>
    <row r="529" spans="5:12">
      <c r="E529" s="49">
        <v>45050.524305553205</v>
      </c>
      <c r="F529" s="56">
        <v>0</v>
      </c>
      <c r="G529" s="48"/>
      <c r="H529" s="48"/>
      <c r="I529" s="48"/>
      <c r="J529" s="48"/>
      <c r="L529" s="65"/>
    </row>
    <row r="530" spans="5:12">
      <c r="E530" s="49">
        <v>45050.527777775424</v>
      </c>
      <c r="F530" s="56">
        <v>0</v>
      </c>
      <c r="G530" s="48"/>
      <c r="H530" s="48"/>
      <c r="I530" s="48"/>
      <c r="J530" s="48"/>
      <c r="L530" s="65"/>
    </row>
    <row r="531" spans="5:12">
      <c r="E531" s="49">
        <v>45050.531249997643</v>
      </c>
      <c r="F531" s="56">
        <v>0</v>
      </c>
      <c r="G531" s="48"/>
      <c r="H531" s="48"/>
      <c r="I531" s="48"/>
      <c r="J531" s="48"/>
      <c r="L531" s="65"/>
    </row>
    <row r="532" spans="5:12">
      <c r="E532" s="49">
        <v>45050.534722219862</v>
      </c>
      <c r="F532" s="56">
        <v>0</v>
      </c>
      <c r="G532" s="48"/>
      <c r="H532" s="48"/>
      <c r="I532" s="48"/>
      <c r="J532" s="48"/>
      <c r="L532" s="65"/>
    </row>
    <row r="533" spans="5:12">
      <c r="E533" s="49">
        <v>45050.538194442081</v>
      </c>
      <c r="F533" s="56">
        <v>0</v>
      </c>
      <c r="G533" s="48"/>
      <c r="H533" s="48"/>
      <c r="I533" s="48"/>
      <c r="J533" s="48"/>
      <c r="L533" s="65"/>
    </row>
    <row r="534" spans="5:12">
      <c r="E534" s="49">
        <v>45050.5416666643</v>
      </c>
      <c r="F534" s="56">
        <v>0</v>
      </c>
      <c r="G534" s="48"/>
      <c r="H534" s="48"/>
      <c r="I534" s="48"/>
      <c r="J534" s="48"/>
      <c r="L534" s="65"/>
    </row>
    <row r="535" spans="5:12">
      <c r="E535" s="49">
        <v>45050.545138886519</v>
      </c>
      <c r="F535" s="56">
        <v>0</v>
      </c>
      <c r="G535" s="48"/>
      <c r="H535" s="48"/>
      <c r="I535" s="48"/>
      <c r="J535" s="48"/>
      <c r="L535" s="65"/>
    </row>
    <row r="536" spans="5:12">
      <c r="E536" s="49">
        <v>45050.548611108738</v>
      </c>
      <c r="F536" s="56">
        <v>0</v>
      </c>
      <c r="G536" s="48"/>
      <c r="H536" s="48"/>
      <c r="I536" s="48"/>
      <c r="J536" s="48"/>
      <c r="L536" s="65"/>
    </row>
    <row r="537" spans="5:12">
      <c r="E537" s="49">
        <v>45050.552083330957</v>
      </c>
      <c r="F537" s="56">
        <v>0</v>
      </c>
      <c r="G537" s="48"/>
      <c r="H537" s="48"/>
      <c r="I537" s="48"/>
      <c r="J537" s="48"/>
      <c r="L537" s="65"/>
    </row>
    <row r="538" spans="5:12">
      <c r="E538" s="49">
        <v>45050.555555553176</v>
      </c>
      <c r="F538" s="56">
        <v>0</v>
      </c>
      <c r="G538" s="48"/>
      <c r="H538" s="48"/>
      <c r="I538" s="48"/>
      <c r="J538" s="48"/>
      <c r="L538" s="65"/>
    </row>
    <row r="539" spans="5:12">
      <c r="E539" s="49">
        <v>45050.559027775394</v>
      </c>
      <c r="F539" s="56">
        <v>0</v>
      </c>
      <c r="G539" s="48"/>
      <c r="H539" s="48"/>
      <c r="I539" s="48"/>
      <c r="J539" s="48"/>
      <c r="L539" s="65"/>
    </row>
    <row r="540" spans="5:12">
      <c r="E540" s="49">
        <v>45050.562499997613</v>
      </c>
      <c r="F540" s="56">
        <v>0</v>
      </c>
      <c r="G540" s="48"/>
      <c r="H540" s="48"/>
      <c r="I540" s="48"/>
      <c r="J540" s="48"/>
      <c r="L540" s="65"/>
    </row>
    <row r="541" spans="5:12">
      <c r="E541" s="49">
        <v>45050.565972219832</v>
      </c>
      <c r="F541" s="56">
        <v>0</v>
      </c>
      <c r="G541" s="48"/>
      <c r="H541" s="48"/>
      <c r="I541" s="48"/>
      <c r="J541" s="48"/>
      <c r="L541" s="65"/>
    </row>
    <row r="542" spans="5:12">
      <c r="E542" s="49">
        <v>45050.569444442051</v>
      </c>
      <c r="F542" s="56">
        <v>0</v>
      </c>
      <c r="G542" s="48"/>
      <c r="H542" s="48"/>
      <c r="I542" s="48"/>
      <c r="J542" s="48"/>
      <c r="L542" s="65"/>
    </row>
    <row r="543" spans="5:12">
      <c r="E543" s="49">
        <v>45050.57291666427</v>
      </c>
      <c r="F543" s="56">
        <v>0</v>
      </c>
      <c r="G543" s="48"/>
      <c r="H543" s="48"/>
      <c r="I543" s="48"/>
      <c r="J543" s="48"/>
      <c r="L543" s="65"/>
    </row>
    <row r="544" spans="5:12">
      <c r="E544" s="49">
        <v>45050.576388886489</v>
      </c>
      <c r="F544" s="56">
        <v>0</v>
      </c>
      <c r="G544" s="48"/>
      <c r="H544" s="48"/>
      <c r="I544" s="48"/>
      <c r="J544" s="48"/>
      <c r="L544" s="65"/>
    </row>
    <row r="545" spans="5:12">
      <c r="E545" s="49">
        <v>45050.579861108708</v>
      </c>
      <c r="F545" s="56">
        <v>0</v>
      </c>
      <c r="G545" s="48"/>
      <c r="H545" s="48"/>
      <c r="I545" s="48"/>
      <c r="J545" s="48"/>
      <c r="L545" s="65"/>
    </row>
    <row r="546" spans="5:12">
      <c r="E546" s="49">
        <v>45050.583333330927</v>
      </c>
      <c r="F546" s="56">
        <v>0</v>
      </c>
      <c r="G546" s="48"/>
      <c r="H546" s="48"/>
      <c r="I546" s="48"/>
      <c r="J546" s="48"/>
      <c r="L546" s="65"/>
    </row>
    <row r="547" spans="5:12">
      <c r="E547" s="49">
        <v>45050.586805553146</v>
      </c>
      <c r="F547" s="56">
        <v>0</v>
      </c>
      <c r="G547" s="48"/>
      <c r="H547" s="48"/>
      <c r="I547" s="48"/>
      <c r="J547" s="48"/>
      <c r="L547" s="65"/>
    </row>
    <row r="548" spans="5:12">
      <c r="E548" s="49">
        <v>45050.590277775365</v>
      </c>
      <c r="F548" s="56">
        <v>0</v>
      </c>
      <c r="G548" s="48"/>
      <c r="H548" s="48"/>
      <c r="I548" s="48"/>
      <c r="J548" s="48"/>
      <c r="L548" s="65"/>
    </row>
    <row r="549" spans="5:12">
      <c r="E549" s="49">
        <v>45050.593749997584</v>
      </c>
      <c r="F549" s="56">
        <v>0</v>
      </c>
      <c r="G549" s="48"/>
      <c r="H549" s="48"/>
      <c r="I549" s="48"/>
      <c r="J549" s="48"/>
      <c r="L549" s="65"/>
    </row>
    <row r="550" spans="5:12">
      <c r="E550" s="49">
        <v>45050.597222219803</v>
      </c>
      <c r="F550" s="56">
        <v>0</v>
      </c>
      <c r="G550" s="48"/>
      <c r="H550" s="48"/>
      <c r="I550" s="48"/>
      <c r="J550" s="48"/>
      <c r="L550" s="65"/>
    </row>
    <row r="551" spans="5:12">
      <c r="E551" s="49">
        <v>45050.600694442022</v>
      </c>
      <c r="F551" s="56">
        <v>0</v>
      </c>
      <c r="G551" s="48"/>
      <c r="H551" s="48"/>
      <c r="I551" s="48"/>
      <c r="J551" s="48"/>
      <c r="L551" s="65"/>
    </row>
    <row r="552" spans="5:12">
      <c r="E552" s="49">
        <v>45050.604166664241</v>
      </c>
      <c r="F552" s="56">
        <v>0</v>
      </c>
      <c r="G552" s="48"/>
      <c r="H552" s="48"/>
      <c r="I552" s="48"/>
      <c r="J552" s="48"/>
      <c r="L552" s="65"/>
    </row>
    <row r="553" spans="5:12">
      <c r="E553" s="49">
        <v>45050.60763888646</v>
      </c>
      <c r="F553" s="56">
        <v>0</v>
      </c>
      <c r="G553" s="48"/>
      <c r="H553" s="48"/>
      <c r="I553" s="48"/>
      <c r="J553" s="48"/>
      <c r="L553" s="65"/>
    </row>
    <row r="554" spans="5:12">
      <c r="E554" s="49">
        <v>45050.611111108679</v>
      </c>
      <c r="F554" s="56">
        <v>0</v>
      </c>
      <c r="G554" s="48"/>
      <c r="H554" s="48"/>
      <c r="I554" s="48"/>
      <c r="J554" s="48"/>
      <c r="L554" s="65"/>
    </row>
    <row r="555" spans="5:12">
      <c r="E555" s="49">
        <v>45050.614583330898</v>
      </c>
      <c r="F555" s="56">
        <v>0</v>
      </c>
      <c r="G555" s="48"/>
      <c r="H555" s="48"/>
      <c r="I555" s="48"/>
      <c r="J555" s="48"/>
      <c r="L555" s="65"/>
    </row>
    <row r="556" spans="5:12">
      <c r="E556" s="49">
        <v>45050.618055553117</v>
      </c>
      <c r="F556" s="56">
        <v>0</v>
      </c>
      <c r="G556" s="48"/>
      <c r="H556" s="48"/>
      <c r="I556" s="48"/>
      <c r="J556" s="48"/>
      <c r="L556" s="65"/>
    </row>
    <row r="557" spans="5:12">
      <c r="E557" s="49">
        <v>45050.621527775336</v>
      </c>
      <c r="F557" s="56">
        <v>0</v>
      </c>
      <c r="G557" s="48"/>
      <c r="H557" s="48"/>
      <c r="I557" s="48"/>
      <c r="J557" s="48"/>
      <c r="L557" s="65"/>
    </row>
    <row r="558" spans="5:12">
      <c r="E558" s="49">
        <v>45050.624999997555</v>
      </c>
      <c r="F558" s="56">
        <v>0</v>
      </c>
      <c r="G558" s="48"/>
      <c r="H558" s="48"/>
      <c r="I558" s="48"/>
      <c r="J558" s="48"/>
      <c r="L558" s="65"/>
    </row>
    <row r="559" spans="5:12">
      <c r="E559" s="49">
        <v>45050.628472219774</v>
      </c>
      <c r="F559" s="56">
        <v>0</v>
      </c>
      <c r="G559" s="48"/>
      <c r="H559" s="48"/>
      <c r="I559" s="48"/>
      <c r="J559" s="48"/>
      <c r="L559" s="65"/>
    </row>
    <row r="560" spans="5:12">
      <c r="E560" s="49">
        <v>45050.631944441993</v>
      </c>
      <c r="F560" s="56">
        <v>0</v>
      </c>
      <c r="G560" s="48"/>
      <c r="H560" s="48"/>
      <c r="I560" s="48"/>
      <c r="J560" s="48"/>
      <c r="L560" s="65"/>
    </row>
    <row r="561" spans="5:12">
      <c r="E561" s="49">
        <v>45050.635416664212</v>
      </c>
      <c r="F561" s="56">
        <v>0</v>
      </c>
      <c r="G561" s="48"/>
      <c r="H561" s="48"/>
      <c r="I561" s="48"/>
      <c r="J561" s="48"/>
      <c r="L561" s="65"/>
    </row>
    <row r="562" spans="5:12">
      <c r="E562" s="49">
        <v>45050.638888886431</v>
      </c>
      <c r="F562" s="56">
        <v>0</v>
      </c>
      <c r="G562" s="48"/>
      <c r="H562" s="48"/>
      <c r="I562" s="48"/>
      <c r="J562" s="48"/>
      <c r="L562" s="65"/>
    </row>
    <row r="563" spans="5:12">
      <c r="E563" s="49">
        <v>45050.64236110865</v>
      </c>
      <c r="F563" s="56">
        <v>0</v>
      </c>
      <c r="G563" s="48"/>
      <c r="H563" s="48"/>
      <c r="I563" s="48"/>
      <c r="J563" s="48"/>
      <c r="L563" s="65"/>
    </row>
    <row r="564" spans="5:12">
      <c r="E564" s="49">
        <v>45050.645833330869</v>
      </c>
      <c r="F564" s="56">
        <v>0</v>
      </c>
      <c r="G564" s="48"/>
      <c r="H564" s="48"/>
      <c r="I564" s="48"/>
      <c r="J564" s="48"/>
      <c r="L564" s="65"/>
    </row>
    <row r="565" spans="5:12">
      <c r="E565" s="49">
        <v>45050.649305553088</v>
      </c>
      <c r="F565" s="56">
        <v>0</v>
      </c>
      <c r="G565" s="48"/>
      <c r="H565" s="48"/>
      <c r="I565" s="48"/>
      <c r="J565" s="48"/>
      <c r="L565" s="65"/>
    </row>
    <row r="566" spans="5:12">
      <c r="E566" s="49">
        <v>45050.652777775307</v>
      </c>
      <c r="F566" s="56">
        <v>0</v>
      </c>
      <c r="G566" s="48"/>
      <c r="H566" s="48"/>
      <c r="I566" s="48"/>
      <c r="J566" s="48"/>
      <c r="L566" s="65"/>
    </row>
    <row r="567" spans="5:12">
      <c r="E567" s="49">
        <v>45050.656249997526</v>
      </c>
      <c r="F567" s="56">
        <v>0</v>
      </c>
      <c r="G567" s="48"/>
      <c r="H567" s="48"/>
      <c r="I567" s="48"/>
      <c r="J567" s="48"/>
      <c r="L567" s="65"/>
    </row>
    <row r="568" spans="5:12">
      <c r="E568" s="49">
        <v>45050.659722219745</v>
      </c>
      <c r="F568" s="56">
        <v>0</v>
      </c>
      <c r="G568" s="48"/>
      <c r="H568" s="48"/>
      <c r="I568" s="48"/>
      <c r="J568" s="48"/>
      <c r="L568" s="65"/>
    </row>
    <row r="569" spans="5:12">
      <c r="E569" s="49">
        <v>45050.663194441964</v>
      </c>
      <c r="F569" s="56">
        <v>0</v>
      </c>
      <c r="G569" s="48"/>
      <c r="H569" s="48"/>
      <c r="I569" s="48"/>
      <c r="J569" s="48"/>
      <c r="L569" s="65"/>
    </row>
    <row r="570" spans="5:12">
      <c r="E570" s="49">
        <v>45050.666666664183</v>
      </c>
      <c r="F570" s="56">
        <v>0</v>
      </c>
      <c r="G570" s="48"/>
      <c r="H570" s="48"/>
      <c r="I570" s="48"/>
      <c r="J570" s="48"/>
      <c r="L570" s="65"/>
    </row>
    <row r="571" spans="5:12">
      <c r="E571" s="49">
        <v>45050.670138886402</v>
      </c>
      <c r="F571" s="56">
        <v>0</v>
      </c>
      <c r="G571" s="48"/>
      <c r="H571" s="48"/>
      <c r="I571" s="48"/>
      <c r="J571" s="48"/>
      <c r="L571" s="65"/>
    </row>
    <row r="572" spans="5:12">
      <c r="E572" s="49">
        <v>45050.673611108621</v>
      </c>
      <c r="F572" s="56">
        <v>0</v>
      </c>
      <c r="G572" s="48"/>
      <c r="H572" s="48"/>
      <c r="I572" s="48"/>
      <c r="J572" s="48"/>
      <c r="L572" s="65"/>
    </row>
    <row r="573" spans="5:12">
      <c r="E573" s="49">
        <v>45050.67708333084</v>
      </c>
      <c r="F573" s="56">
        <v>0</v>
      </c>
      <c r="G573" s="48"/>
      <c r="H573" s="48"/>
      <c r="I573" s="48"/>
      <c r="J573" s="48"/>
      <c r="L573" s="65"/>
    </row>
    <row r="574" spans="5:12">
      <c r="E574" s="49">
        <v>45050.680555553059</v>
      </c>
      <c r="F574" s="56">
        <v>0</v>
      </c>
      <c r="G574" s="48"/>
      <c r="H574" s="48"/>
      <c r="I574" s="48"/>
      <c r="J574" s="48"/>
      <c r="L574" s="65"/>
    </row>
    <row r="575" spans="5:12">
      <c r="E575" s="49">
        <v>45050.684027775278</v>
      </c>
      <c r="F575" s="56">
        <v>0</v>
      </c>
      <c r="G575" s="48"/>
      <c r="H575" s="48"/>
      <c r="I575" s="48"/>
      <c r="J575" s="48"/>
      <c r="L575" s="65"/>
    </row>
    <row r="576" spans="5:12">
      <c r="E576" s="49">
        <v>45050.687499997497</v>
      </c>
      <c r="F576" s="56">
        <v>0</v>
      </c>
      <c r="G576" s="48"/>
      <c r="H576" s="48"/>
      <c r="I576" s="48"/>
      <c r="J576" s="48"/>
      <c r="L576" s="65"/>
    </row>
    <row r="577" spans="5:12">
      <c r="E577" s="49">
        <v>45050.690972219716</v>
      </c>
      <c r="F577" s="56">
        <v>0</v>
      </c>
      <c r="G577" s="48"/>
      <c r="H577" s="48"/>
      <c r="I577" s="48"/>
      <c r="J577" s="48"/>
      <c r="L577" s="65"/>
    </row>
    <row r="578" spans="5:12">
      <c r="E578" s="49">
        <v>45050.694444441935</v>
      </c>
      <c r="F578" s="56">
        <v>0</v>
      </c>
      <c r="G578" s="48"/>
      <c r="H578" s="48"/>
      <c r="I578" s="48"/>
      <c r="J578" s="48"/>
      <c r="L578" s="65"/>
    </row>
    <row r="579" spans="5:12">
      <c r="E579" s="49">
        <v>45050.697916664154</v>
      </c>
      <c r="F579" s="56">
        <v>0</v>
      </c>
      <c r="G579" s="48"/>
      <c r="H579" s="48"/>
      <c r="I579" s="48"/>
      <c r="J579" s="48"/>
      <c r="L579" s="65"/>
    </row>
    <row r="580" spans="5:12">
      <c r="E580" s="49">
        <v>45050.701388886373</v>
      </c>
      <c r="F580" s="56">
        <v>0</v>
      </c>
      <c r="G580" s="48"/>
      <c r="H580" s="48"/>
      <c r="I580" s="48"/>
      <c r="J580" s="48"/>
      <c r="L580" s="65"/>
    </row>
    <row r="581" spans="5:12">
      <c r="E581" s="49">
        <v>45050.704861108592</v>
      </c>
      <c r="F581" s="56">
        <v>0</v>
      </c>
      <c r="G581" s="48"/>
      <c r="H581" s="48"/>
      <c r="I581" s="48"/>
      <c r="J581" s="48"/>
      <c r="L581" s="65"/>
    </row>
    <row r="582" spans="5:12">
      <c r="E582" s="49">
        <v>45050.708333330811</v>
      </c>
      <c r="F582" s="56">
        <v>0</v>
      </c>
      <c r="G582" s="48"/>
      <c r="H582" s="48"/>
      <c r="I582" s="48"/>
      <c r="J582" s="48"/>
      <c r="L582" s="65"/>
    </row>
    <row r="583" spans="5:12">
      <c r="E583" s="49">
        <v>45050.71180555303</v>
      </c>
      <c r="F583" s="56">
        <v>0</v>
      </c>
      <c r="G583" s="48"/>
      <c r="H583" s="48"/>
      <c r="I583" s="48"/>
      <c r="J583" s="48"/>
      <c r="L583" s="65"/>
    </row>
    <row r="584" spans="5:12">
      <c r="E584" s="49">
        <v>45050.715277775249</v>
      </c>
      <c r="F584" s="56">
        <v>0</v>
      </c>
      <c r="G584" s="48"/>
      <c r="H584" s="48"/>
      <c r="I584" s="48"/>
      <c r="J584" s="48"/>
      <c r="L584" s="65"/>
    </row>
    <row r="585" spans="5:12">
      <c r="E585" s="49">
        <v>45050.718749997468</v>
      </c>
      <c r="F585" s="56">
        <v>0</v>
      </c>
      <c r="G585" s="48"/>
      <c r="H585" s="48"/>
      <c r="I585" s="48"/>
      <c r="J585" s="48"/>
      <c r="L585" s="65"/>
    </row>
    <row r="586" spans="5:12">
      <c r="E586" s="49">
        <v>45050.722222219687</v>
      </c>
      <c r="F586" s="56">
        <v>0</v>
      </c>
      <c r="G586" s="48"/>
      <c r="H586" s="48"/>
      <c r="I586" s="48"/>
      <c r="J586" s="48"/>
      <c r="L586" s="65"/>
    </row>
    <row r="587" spans="5:12">
      <c r="E587" s="49">
        <v>45050.725694441906</v>
      </c>
      <c r="F587" s="56">
        <v>0</v>
      </c>
      <c r="G587" s="48"/>
      <c r="H587" s="48"/>
      <c r="I587" s="48"/>
      <c r="J587" s="48"/>
      <c r="L587" s="65"/>
    </row>
    <row r="588" spans="5:12">
      <c r="E588" s="49">
        <v>45050.729166664125</v>
      </c>
      <c r="F588" s="56">
        <v>0</v>
      </c>
      <c r="G588" s="48"/>
      <c r="H588" s="48"/>
      <c r="I588" s="48"/>
      <c r="J588" s="48"/>
      <c r="L588" s="65"/>
    </row>
    <row r="589" spans="5:12">
      <c r="E589" s="49">
        <v>45050.732638886344</v>
      </c>
      <c r="F589" s="56">
        <v>0</v>
      </c>
      <c r="G589" s="48"/>
      <c r="H589" s="48"/>
      <c r="I589" s="48"/>
      <c r="J589" s="48"/>
      <c r="L589" s="65"/>
    </row>
    <row r="590" spans="5:12">
      <c r="E590" s="49">
        <v>45050.736111108563</v>
      </c>
      <c r="F590" s="56">
        <v>0</v>
      </c>
      <c r="G590" s="48"/>
      <c r="H590" s="48"/>
      <c r="I590" s="48"/>
      <c r="J590" s="48"/>
      <c r="L590" s="65"/>
    </row>
    <row r="591" spans="5:12">
      <c r="E591" s="49">
        <v>45050.739583330782</v>
      </c>
      <c r="F591" s="56">
        <v>0</v>
      </c>
      <c r="G591" s="48"/>
      <c r="H591" s="48"/>
      <c r="I591" s="48"/>
      <c r="J591" s="48"/>
      <c r="L591" s="65"/>
    </row>
    <row r="592" spans="5:12">
      <c r="E592" s="49">
        <v>45050.743055553001</v>
      </c>
      <c r="F592" s="56">
        <v>0</v>
      </c>
      <c r="G592" s="48"/>
      <c r="H592" s="48"/>
      <c r="I592" s="48"/>
      <c r="J592" s="48"/>
      <c r="L592" s="65"/>
    </row>
    <row r="593" spans="5:12">
      <c r="E593" s="49">
        <v>45050.74652777522</v>
      </c>
      <c r="F593" s="56">
        <v>0</v>
      </c>
      <c r="G593" s="48"/>
      <c r="H593" s="48"/>
      <c r="I593" s="48"/>
      <c r="J593" s="48"/>
      <c r="L593" s="65"/>
    </row>
    <row r="594" spans="5:12">
      <c r="E594" s="49">
        <v>45050.749999997439</v>
      </c>
      <c r="F594" s="56">
        <v>0</v>
      </c>
      <c r="G594" s="48"/>
      <c r="H594" s="48"/>
      <c r="I594" s="48"/>
      <c r="J594" s="48"/>
      <c r="L594" s="65"/>
    </row>
    <row r="595" spans="5:12">
      <c r="E595" s="49">
        <v>45050.753472219658</v>
      </c>
      <c r="F595" s="56">
        <v>0</v>
      </c>
      <c r="G595" s="48"/>
      <c r="H595" s="48"/>
      <c r="I595" s="48"/>
      <c r="J595" s="48"/>
      <c r="L595" s="65"/>
    </row>
    <row r="596" spans="5:12">
      <c r="E596" s="49">
        <v>45050.756944441877</v>
      </c>
      <c r="F596" s="56">
        <v>0</v>
      </c>
      <c r="G596" s="48"/>
      <c r="H596" s="48"/>
      <c r="I596" s="48"/>
      <c r="J596" s="48"/>
      <c r="L596" s="65"/>
    </row>
    <row r="597" spans="5:12">
      <c r="E597" s="49">
        <v>45050.760416664096</v>
      </c>
      <c r="F597" s="56">
        <v>0</v>
      </c>
      <c r="G597" s="48"/>
      <c r="H597" s="48"/>
      <c r="I597" s="48"/>
      <c r="J597" s="48"/>
      <c r="L597" s="65"/>
    </row>
    <row r="598" spans="5:12">
      <c r="E598" s="49">
        <v>45050.763888886315</v>
      </c>
      <c r="F598" s="56">
        <v>0</v>
      </c>
      <c r="G598" s="48"/>
      <c r="H598" s="48"/>
      <c r="I598" s="48"/>
      <c r="J598" s="48"/>
      <c r="L598" s="65"/>
    </row>
    <row r="599" spans="5:12">
      <c r="E599" s="49">
        <v>45050.767361108534</v>
      </c>
      <c r="F599" s="56">
        <v>0</v>
      </c>
      <c r="G599" s="48"/>
      <c r="H599" s="48"/>
      <c r="I599" s="48"/>
      <c r="J599" s="48"/>
      <c r="L599" s="65"/>
    </row>
    <row r="600" spans="5:12">
      <c r="E600" s="49">
        <v>45050.770833330753</v>
      </c>
      <c r="F600" s="56">
        <v>0</v>
      </c>
      <c r="G600" s="48"/>
      <c r="H600" s="48"/>
      <c r="I600" s="48"/>
      <c r="J600" s="48"/>
      <c r="L600" s="65"/>
    </row>
    <row r="601" spans="5:12">
      <c r="E601" s="49">
        <v>45050.774305552972</v>
      </c>
      <c r="F601" s="56">
        <v>0</v>
      </c>
      <c r="G601" s="48"/>
      <c r="H601" s="48"/>
      <c r="I601" s="48"/>
      <c r="J601" s="48"/>
      <c r="L601" s="65"/>
    </row>
    <row r="602" spans="5:12">
      <c r="E602" s="49">
        <v>45050.777777775191</v>
      </c>
      <c r="F602" s="56">
        <v>0</v>
      </c>
      <c r="G602" s="48"/>
      <c r="H602" s="48"/>
      <c r="I602" s="48"/>
      <c r="J602" s="48"/>
      <c r="L602" s="65"/>
    </row>
    <row r="603" spans="5:12">
      <c r="E603" s="49">
        <v>45050.78124999741</v>
      </c>
      <c r="F603" s="56">
        <v>0</v>
      </c>
      <c r="G603" s="48"/>
      <c r="H603" s="48"/>
      <c r="I603" s="48"/>
      <c r="J603" s="48"/>
      <c r="L603" s="65"/>
    </row>
    <row r="604" spans="5:12">
      <c r="E604" s="49">
        <v>45050.784722219629</v>
      </c>
      <c r="F604" s="56">
        <v>0</v>
      </c>
      <c r="G604" s="48"/>
      <c r="H604" s="48"/>
      <c r="I604" s="48"/>
      <c r="J604" s="48"/>
      <c r="L604" s="65"/>
    </row>
    <row r="605" spans="5:12">
      <c r="E605" s="49">
        <v>45050.788194441848</v>
      </c>
      <c r="F605" s="56">
        <v>0</v>
      </c>
      <c r="G605" s="48"/>
      <c r="H605" s="48"/>
      <c r="I605" s="48"/>
      <c r="J605" s="48"/>
      <c r="L605" s="65"/>
    </row>
    <row r="606" spans="5:12">
      <c r="E606" s="49">
        <v>45050.791666664067</v>
      </c>
      <c r="F606" s="56">
        <v>0</v>
      </c>
      <c r="G606" s="48"/>
      <c r="H606" s="48"/>
      <c r="I606" s="48"/>
      <c r="J606" s="48"/>
      <c r="L606" s="65"/>
    </row>
    <row r="607" spans="5:12">
      <c r="E607" s="49">
        <v>45050.795138886286</v>
      </c>
      <c r="F607" s="56">
        <v>0</v>
      </c>
      <c r="G607" s="48"/>
      <c r="H607" s="48"/>
      <c r="I607" s="48"/>
      <c r="J607" s="48"/>
      <c r="L607" s="65"/>
    </row>
    <row r="608" spans="5:12">
      <c r="E608" s="49">
        <v>45050.798611108505</v>
      </c>
      <c r="F608" s="56">
        <v>0</v>
      </c>
      <c r="G608" s="48"/>
      <c r="H608" s="48"/>
      <c r="I608" s="48"/>
      <c r="J608" s="48"/>
      <c r="L608" s="65"/>
    </row>
    <row r="609" spans="5:12">
      <c r="E609" s="49">
        <v>45050.802083330724</v>
      </c>
      <c r="F609" s="56">
        <v>0</v>
      </c>
      <c r="G609" s="48"/>
      <c r="H609" s="48"/>
      <c r="I609" s="48"/>
      <c r="J609" s="48"/>
      <c r="L609" s="65"/>
    </row>
    <row r="610" spans="5:12">
      <c r="E610" s="49">
        <v>45050.805555552943</v>
      </c>
      <c r="F610" s="56">
        <v>0</v>
      </c>
      <c r="G610" s="48"/>
      <c r="H610" s="48"/>
      <c r="I610" s="48"/>
      <c r="J610" s="48"/>
      <c r="L610" s="65"/>
    </row>
    <row r="611" spans="5:12">
      <c r="E611" s="49">
        <v>45050.809027775162</v>
      </c>
      <c r="F611" s="56">
        <v>0</v>
      </c>
      <c r="G611" s="48"/>
      <c r="H611" s="48"/>
      <c r="I611" s="48"/>
      <c r="J611" s="48"/>
      <c r="L611" s="65"/>
    </row>
    <row r="612" spans="5:12">
      <c r="E612" s="49">
        <v>45050.812499997381</v>
      </c>
      <c r="F612" s="56">
        <v>0</v>
      </c>
      <c r="G612" s="48"/>
      <c r="H612" s="48"/>
      <c r="I612" s="48"/>
      <c r="J612" s="48"/>
      <c r="L612" s="65"/>
    </row>
    <row r="613" spans="5:12">
      <c r="E613" s="49">
        <v>45050.8159722196</v>
      </c>
      <c r="F613" s="56">
        <v>0</v>
      </c>
      <c r="G613" s="48"/>
      <c r="H613" s="48"/>
      <c r="I613" s="48"/>
      <c r="J613" s="48"/>
      <c r="L613" s="65"/>
    </row>
    <row r="614" spans="5:12">
      <c r="E614" s="49">
        <v>45050.819444441819</v>
      </c>
      <c r="F614" s="56">
        <v>0</v>
      </c>
      <c r="G614" s="48"/>
      <c r="H614" s="48"/>
      <c r="I614" s="48"/>
      <c r="J614" s="48"/>
      <c r="L614" s="65"/>
    </row>
    <row r="615" spans="5:12">
      <c r="E615" s="49">
        <v>45050.822916664038</v>
      </c>
      <c r="F615" s="56">
        <v>0</v>
      </c>
      <c r="G615" s="48"/>
      <c r="H615" s="48"/>
      <c r="I615" s="48"/>
      <c r="J615" s="48"/>
      <c r="L615" s="65"/>
    </row>
    <row r="616" spans="5:12">
      <c r="E616" s="49">
        <v>45050.826388886257</v>
      </c>
      <c r="F616" s="56">
        <v>0</v>
      </c>
      <c r="G616" s="48"/>
      <c r="H616" s="48"/>
      <c r="I616" s="48"/>
      <c r="J616" s="48"/>
      <c r="L616" s="65"/>
    </row>
    <row r="617" spans="5:12">
      <c r="E617" s="49">
        <v>45050.829861108476</v>
      </c>
      <c r="F617" s="56">
        <v>0</v>
      </c>
      <c r="G617" s="48"/>
      <c r="H617" s="48"/>
      <c r="I617" s="48"/>
      <c r="J617" s="48"/>
      <c r="L617" s="65"/>
    </row>
    <row r="618" spans="5:12">
      <c r="E618" s="49">
        <v>45050.833333330695</v>
      </c>
      <c r="F618" s="56">
        <v>0</v>
      </c>
      <c r="G618" s="48"/>
      <c r="H618" s="48"/>
      <c r="I618" s="48"/>
      <c r="J618" s="48"/>
      <c r="L618" s="65"/>
    </row>
    <row r="619" spans="5:12">
      <c r="E619" s="49">
        <v>45050.836805552914</v>
      </c>
      <c r="F619" s="56">
        <v>0</v>
      </c>
      <c r="G619" s="48"/>
      <c r="H619" s="48"/>
      <c r="I619" s="48"/>
      <c r="J619" s="48"/>
      <c r="L619" s="65"/>
    </row>
    <row r="620" spans="5:12">
      <c r="E620" s="49">
        <v>45050.840277775133</v>
      </c>
      <c r="F620" s="56">
        <v>0</v>
      </c>
      <c r="G620" s="48"/>
      <c r="H620" s="48"/>
      <c r="I620" s="48"/>
      <c r="J620" s="48"/>
      <c r="L620" s="65"/>
    </row>
    <row r="621" spans="5:12">
      <c r="E621" s="49">
        <v>45050.843749997352</v>
      </c>
      <c r="F621" s="56">
        <v>0</v>
      </c>
      <c r="G621" s="48"/>
      <c r="H621" s="48"/>
      <c r="I621" s="48"/>
      <c r="J621" s="48"/>
      <c r="L621" s="65"/>
    </row>
    <row r="622" spans="5:12">
      <c r="E622" s="49">
        <v>45050.847222219571</v>
      </c>
      <c r="F622" s="56">
        <v>0</v>
      </c>
      <c r="G622" s="48"/>
      <c r="H622" s="48"/>
      <c r="I622" s="48"/>
      <c r="J622" s="48"/>
      <c r="L622" s="65"/>
    </row>
    <row r="623" spans="5:12">
      <c r="E623" s="49">
        <v>45050.85069444179</v>
      </c>
      <c r="F623" s="56">
        <v>0</v>
      </c>
      <c r="G623" s="48"/>
      <c r="H623" s="48"/>
      <c r="I623" s="48"/>
      <c r="J623" s="48"/>
      <c r="L623" s="65"/>
    </row>
    <row r="624" spans="5:12">
      <c r="E624" s="49">
        <v>45050.854166664009</v>
      </c>
      <c r="F624" s="56">
        <v>0</v>
      </c>
      <c r="G624" s="48"/>
      <c r="H624" s="48"/>
      <c r="I624" s="48"/>
      <c r="J624" s="48"/>
      <c r="L624" s="65"/>
    </row>
    <row r="625" spans="5:12">
      <c r="E625" s="49">
        <v>45050.857638886228</v>
      </c>
      <c r="F625" s="56">
        <v>0</v>
      </c>
      <c r="G625" s="48"/>
      <c r="H625" s="48"/>
      <c r="I625" s="48"/>
      <c r="J625" s="48"/>
      <c r="L625" s="65"/>
    </row>
    <row r="626" spans="5:12">
      <c r="E626" s="49">
        <v>45050.861111108446</v>
      </c>
      <c r="F626" s="56">
        <v>0</v>
      </c>
      <c r="G626" s="48"/>
      <c r="H626" s="48"/>
      <c r="I626" s="48"/>
      <c r="J626" s="48"/>
      <c r="L626" s="65"/>
    </row>
    <row r="627" spans="5:12">
      <c r="E627" s="49">
        <v>45050.864583330665</v>
      </c>
      <c r="F627" s="56">
        <v>0</v>
      </c>
      <c r="G627" s="48"/>
      <c r="H627" s="48"/>
      <c r="I627" s="48"/>
      <c r="J627" s="48"/>
      <c r="L627" s="65"/>
    </row>
    <row r="628" spans="5:12">
      <c r="E628" s="49">
        <v>45050.868055552884</v>
      </c>
      <c r="F628" s="56">
        <v>0</v>
      </c>
      <c r="G628" s="48"/>
      <c r="H628" s="48"/>
      <c r="I628" s="48"/>
      <c r="J628" s="48"/>
      <c r="L628" s="65"/>
    </row>
    <row r="629" spans="5:12">
      <c r="E629" s="49">
        <v>45050.871527775103</v>
      </c>
      <c r="F629" s="56">
        <v>0</v>
      </c>
      <c r="G629" s="48"/>
      <c r="H629" s="48"/>
      <c r="I629" s="48"/>
      <c r="J629" s="48"/>
      <c r="L629" s="65"/>
    </row>
    <row r="630" spans="5:12">
      <c r="E630" s="49">
        <v>45050.874999997322</v>
      </c>
      <c r="F630" s="56">
        <v>0</v>
      </c>
      <c r="G630" s="48"/>
      <c r="H630" s="48"/>
      <c r="I630" s="48"/>
      <c r="J630" s="48"/>
      <c r="L630" s="65"/>
    </row>
    <row r="631" spans="5:12">
      <c r="E631" s="49">
        <v>45050.878472219541</v>
      </c>
      <c r="F631" s="56">
        <v>0</v>
      </c>
      <c r="G631" s="48"/>
      <c r="H631" s="48"/>
      <c r="I631" s="48"/>
      <c r="J631" s="48"/>
      <c r="L631" s="65"/>
    </row>
    <row r="632" spans="5:12">
      <c r="E632" s="49">
        <v>45050.88194444176</v>
      </c>
      <c r="F632" s="56">
        <v>0</v>
      </c>
      <c r="G632" s="48"/>
      <c r="H632" s="48"/>
      <c r="I632" s="48"/>
      <c r="J632" s="48"/>
      <c r="L632" s="65"/>
    </row>
    <row r="633" spans="5:12">
      <c r="E633" s="49">
        <v>45050.885416663979</v>
      </c>
      <c r="F633" s="56">
        <v>0</v>
      </c>
      <c r="G633" s="48"/>
      <c r="H633" s="48"/>
      <c r="I633" s="48"/>
      <c r="J633" s="48"/>
      <c r="L633" s="65"/>
    </row>
    <row r="634" spans="5:12">
      <c r="E634" s="49">
        <v>45050.888888886198</v>
      </c>
      <c r="F634" s="56">
        <v>0</v>
      </c>
      <c r="G634" s="48"/>
      <c r="H634" s="48"/>
      <c r="I634" s="48"/>
      <c r="J634" s="48"/>
      <c r="L634" s="65"/>
    </row>
    <row r="635" spans="5:12">
      <c r="E635" s="49">
        <v>45050.892361108417</v>
      </c>
      <c r="F635" s="56">
        <v>0</v>
      </c>
      <c r="G635" s="48"/>
      <c r="H635" s="48"/>
      <c r="I635" s="48"/>
      <c r="J635" s="48"/>
      <c r="L635" s="65"/>
    </row>
    <row r="636" spans="5:12">
      <c r="E636" s="49">
        <v>45050.895833330636</v>
      </c>
      <c r="F636" s="56">
        <v>0</v>
      </c>
      <c r="G636" s="48"/>
      <c r="H636" s="48"/>
      <c r="I636" s="48"/>
      <c r="J636" s="48"/>
      <c r="L636" s="65"/>
    </row>
    <row r="637" spans="5:12">
      <c r="E637" s="49">
        <v>45050.899305552855</v>
      </c>
      <c r="F637" s="56">
        <v>0</v>
      </c>
      <c r="G637" s="48"/>
      <c r="H637" s="48"/>
      <c r="I637" s="48"/>
      <c r="J637" s="48"/>
      <c r="L637" s="65"/>
    </row>
    <row r="638" spans="5:12">
      <c r="E638" s="49">
        <v>45050.902777775074</v>
      </c>
      <c r="F638" s="56">
        <v>0</v>
      </c>
      <c r="G638" s="48"/>
      <c r="H638" s="48"/>
      <c r="I638" s="48"/>
      <c r="J638" s="48"/>
      <c r="L638" s="65"/>
    </row>
    <row r="639" spans="5:12">
      <c r="E639" s="49">
        <v>45050.906249997293</v>
      </c>
      <c r="F639" s="56">
        <v>0</v>
      </c>
      <c r="G639" s="48"/>
      <c r="H639" s="48"/>
      <c r="I639" s="48"/>
      <c r="J639" s="48"/>
      <c r="L639" s="65"/>
    </row>
    <row r="640" spans="5:12">
      <c r="E640" s="49">
        <v>45050.909722219512</v>
      </c>
      <c r="F640" s="56">
        <v>0</v>
      </c>
      <c r="G640" s="48"/>
      <c r="H640" s="48"/>
      <c r="I640" s="48"/>
      <c r="J640" s="48"/>
      <c r="L640" s="65"/>
    </row>
    <row r="641" spans="5:12">
      <c r="E641" s="49">
        <v>45050.913194441731</v>
      </c>
      <c r="F641" s="56">
        <v>0</v>
      </c>
      <c r="G641" s="48"/>
      <c r="H641" s="48"/>
      <c r="I641" s="48"/>
      <c r="J641" s="48"/>
      <c r="L641" s="65"/>
    </row>
    <row r="642" spans="5:12">
      <c r="E642" s="49">
        <v>45050.91666666395</v>
      </c>
      <c r="F642" s="56">
        <v>0</v>
      </c>
      <c r="G642" s="48"/>
      <c r="H642" s="48"/>
      <c r="I642" s="48"/>
      <c r="J642" s="48"/>
      <c r="L642" s="65"/>
    </row>
    <row r="643" spans="5:12">
      <c r="E643" s="49">
        <v>45050.920138886169</v>
      </c>
      <c r="F643" s="56">
        <v>0</v>
      </c>
      <c r="G643" s="48"/>
      <c r="H643" s="48"/>
      <c r="I643" s="48"/>
      <c r="J643" s="48"/>
      <c r="L643" s="65"/>
    </row>
    <row r="644" spans="5:12">
      <c r="E644" s="49">
        <v>45050.923611108388</v>
      </c>
      <c r="F644" s="56">
        <v>0</v>
      </c>
      <c r="G644" s="48"/>
      <c r="H644" s="48"/>
      <c r="I644" s="48"/>
      <c r="J644" s="48"/>
      <c r="L644" s="65"/>
    </row>
    <row r="645" spans="5:12">
      <c r="E645" s="49">
        <v>45050.927083330607</v>
      </c>
      <c r="F645" s="56">
        <v>0</v>
      </c>
      <c r="G645" s="48"/>
      <c r="H645" s="48"/>
      <c r="I645" s="48"/>
      <c r="J645" s="48"/>
      <c r="L645" s="65"/>
    </row>
    <row r="646" spans="5:12">
      <c r="E646" s="49">
        <v>45050.930555552826</v>
      </c>
      <c r="F646" s="56">
        <v>0</v>
      </c>
      <c r="G646" s="48"/>
      <c r="H646" s="48"/>
      <c r="I646" s="48"/>
      <c r="J646" s="48"/>
      <c r="L646" s="65"/>
    </row>
    <row r="647" spans="5:12">
      <c r="E647" s="49">
        <v>45050.934027775045</v>
      </c>
      <c r="F647" s="56">
        <v>0</v>
      </c>
      <c r="G647" s="48"/>
      <c r="H647" s="48"/>
      <c r="I647" s="48"/>
      <c r="J647" s="48"/>
      <c r="L647" s="65"/>
    </row>
    <row r="648" spans="5:12">
      <c r="E648" s="49">
        <v>45050.937499997264</v>
      </c>
      <c r="F648" s="56">
        <v>0</v>
      </c>
      <c r="G648" s="48"/>
      <c r="H648" s="48"/>
      <c r="I648" s="48"/>
      <c r="J648" s="48"/>
      <c r="L648" s="65"/>
    </row>
    <row r="649" spans="5:12">
      <c r="E649" s="49">
        <v>45050.940972219483</v>
      </c>
      <c r="F649" s="56">
        <v>0</v>
      </c>
      <c r="G649" s="48"/>
      <c r="H649" s="48"/>
      <c r="I649" s="48"/>
      <c r="J649" s="48"/>
      <c r="L649" s="65"/>
    </row>
    <row r="650" spans="5:12">
      <c r="E650" s="49">
        <v>45050.944444441702</v>
      </c>
      <c r="F650" s="56">
        <v>0</v>
      </c>
      <c r="G650" s="48"/>
      <c r="H650" s="48"/>
      <c r="I650" s="48"/>
      <c r="J650" s="48"/>
      <c r="L650" s="65"/>
    </row>
    <row r="651" spans="5:12">
      <c r="E651" s="49">
        <v>45050.947916663921</v>
      </c>
      <c r="F651" s="56">
        <v>0</v>
      </c>
      <c r="G651" s="48"/>
      <c r="H651" s="48"/>
      <c r="I651" s="48"/>
      <c r="J651" s="48"/>
      <c r="L651" s="65"/>
    </row>
    <row r="652" spans="5:12">
      <c r="E652" s="49">
        <v>45050.95138888614</v>
      </c>
      <c r="F652" s="56">
        <v>0</v>
      </c>
      <c r="G652" s="48"/>
      <c r="H652" s="48"/>
      <c r="I652" s="48"/>
      <c r="J652" s="48"/>
      <c r="L652" s="65"/>
    </row>
    <row r="653" spans="5:12">
      <c r="E653" s="49">
        <v>45050.954861108359</v>
      </c>
      <c r="F653" s="56">
        <v>0</v>
      </c>
      <c r="G653" s="48"/>
      <c r="H653" s="48"/>
      <c r="I653" s="48"/>
      <c r="J653" s="48"/>
      <c r="L653" s="65"/>
    </row>
    <row r="654" spans="5:12">
      <c r="E654" s="49">
        <v>45050.958333330578</v>
      </c>
      <c r="F654" s="56">
        <v>0</v>
      </c>
      <c r="G654" s="48"/>
      <c r="H654" s="48"/>
      <c r="I654" s="48"/>
      <c r="J654" s="48"/>
      <c r="L654" s="65"/>
    </row>
    <row r="655" spans="5:12">
      <c r="E655" s="49">
        <v>45050.961805552797</v>
      </c>
      <c r="F655" s="56">
        <v>0</v>
      </c>
      <c r="G655" s="48"/>
      <c r="H655" s="48"/>
      <c r="I655" s="48"/>
      <c r="J655" s="48"/>
      <c r="L655" s="65"/>
    </row>
    <row r="656" spans="5:12">
      <c r="E656" s="49">
        <v>45050.965277775016</v>
      </c>
      <c r="F656" s="56">
        <v>0</v>
      </c>
      <c r="G656" s="48"/>
      <c r="H656" s="48"/>
      <c r="I656" s="48"/>
      <c r="J656" s="48"/>
      <c r="L656" s="65"/>
    </row>
    <row r="657" spans="5:12">
      <c r="E657" s="49">
        <v>45050.968749997235</v>
      </c>
      <c r="F657" s="56">
        <v>0</v>
      </c>
      <c r="G657" s="48"/>
      <c r="H657" s="48"/>
      <c r="I657" s="48"/>
      <c r="J657" s="48"/>
      <c r="L657" s="65"/>
    </row>
    <row r="658" spans="5:12">
      <c r="E658" s="49">
        <v>45050.972222219454</v>
      </c>
      <c r="F658" s="56">
        <v>0</v>
      </c>
      <c r="G658" s="48"/>
      <c r="H658" s="48"/>
      <c r="I658" s="48"/>
      <c r="J658" s="48"/>
      <c r="L658" s="65"/>
    </row>
    <row r="659" spans="5:12">
      <c r="E659" s="49">
        <v>45050.975694441673</v>
      </c>
      <c r="F659" s="56">
        <v>0</v>
      </c>
      <c r="G659" s="48"/>
      <c r="H659" s="48"/>
      <c r="I659" s="48"/>
      <c r="J659" s="48"/>
      <c r="L659" s="65"/>
    </row>
    <row r="660" spans="5:12">
      <c r="E660" s="49">
        <v>45050.979166663892</v>
      </c>
      <c r="F660" s="56">
        <v>0</v>
      </c>
      <c r="G660" s="48"/>
      <c r="H660" s="48"/>
      <c r="I660" s="48"/>
      <c r="J660" s="48"/>
      <c r="L660" s="65"/>
    </row>
    <row r="661" spans="5:12">
      <c r="E661" s="49">
        <v>45050.982638886111</v>
      </c>
      <c r="F661" s="56">
        <v>0</v>
      </c>
      <c r="G661" s="48"/>
      <c r="H661" s="48"/>
      <c r="I661" s="48"/>
      <c r="J661" s="48"/>
      <c r="L661" s="65"/>
    </row>
    <row r="662" spans="5:12">
      <c r="E662" s="49">
        <v>45050.98611110833</v>
      </c>
      <c r="F662" s="56">
        <v>0</v>
      </c>
      <c r="G662" s="48"/>
      <c r="H662" s="48"/>
      <c r="I662" s="48"/>
      <c r="J662" s="48"/>
      <c r="L662" s="65"/>
    </row>
    <row r="663" spans="5:12">
      <c r="E663" s="49">
        <v>45050.989583330549</v>
      </c>
      <c r="F663" s="56">
        <v>0</v>
      </c>
      <c r="G663" s="48"/>
      <c r="H663" s="48"/>
      <c r="I663" s="48"/>
      <c r="J663" s="48"/>
      <c r="L663" s="65"/>
    </row>
    <row r="664" spans="5:12">
      <c r="E664" s="49">
        <v>45050.993055552768</v>
      </c>
      <c r="F664" s="56">
        <v>0</v>
      </c>
      <c r="G664" s="48"/>
      <c r="H664" s="48"/>
      <c r="I664" s="48"/>
      <c r="J664" s="48"/>
      <c r="L664" s="65"/>
    </row>
    <row r="665" spans="5:12">
      <c r="E665" s="49">
        <v>45050.996527774987</v>
      </c>
      <c r="F665" s="56">
        <v>0</v>
      </c>
      <c r="G665" s="48"/>
      <c r="H665" s="48"/>
      <c r="I665" s="48"/>
      <c r="J665" s="48"/>
      <c r="L665" s="65"/>
    </row>
    <row r="666" spans="5:12">
      <c r="E666" s="49">
        <v>45050.999999997206</v>
      </c>
      <c r="F666" s="56">
        <v>0</v>
      </c>
      <c r="G666" s="48"/>
      <c r="H666" s="48"/>
      <c r="I666" s="48"/>
      <c r="J666" s="48"/>
      <c r="L666" s="65"/>
    </row>
    <row r="667" spans="5:12">
      <c r="E667" s="49">
        <v>45051.003472219425</v>
      </c>
      <c r="F667" s="56">
        <v>0</v>
      </c>
      <c r="G667" s="48"/>
      <c r="H667" s="48"/>
      <c r="I667" s="48"/>
      <c r="J667" s="48"/>
      <c r="L667" s="65"/>
    </row>
    <row r="668" spans="5:12">
      <c r="E668" s="49">
        <v>45051.006944441644</v>
      </c>
      <c r="F668" s="56">
        <v>0</v>
      </c>
      <c r="G668" s="48"/>
      <c r="H668" s="48"/>
      <c r="I668" s="48"/>
      <c r="J668" s="48"/>
      <c r="L668" s="65"/>
    </row>
    <row r="669" spans="5:12">
      <c r="E669" s="49">
        <v>45051.010416663863</v>
      </c>
      <c r="F669" s="56">
        <v>0</v>
      </c>
      <c r="G669" s="48"/>
      <c r="H669" s="48"/>
      <c r="I669" s="48"/>
      <c r="J669" s="48"/>
      <c r="L669" s="65"/>
    </row>
    <row r="670" spans="5:12">
      <c r="E670" s="49">
        <v>45051.013888886082</v>
      </c>
      <c r="F670" s="56">
        <v>0</v>
      </c>
      <c r="G670" s="48"/>
      <c r="H670" s="48"/>
      <c r="I670" s="48"/>
      <c r="J670" s="48"/>
      <c r="L670" s="65"/>
    </row>
    <row r="671" spans="5:12">
      <c r="E671" s="49">
        <v>45051.017361108301</v>
      </c>
      <c r="F671" s="56">
        <v>0</v>
      </c>
      <c r="G671" s="48"/>
      <c r="H671" s="48"/>
      <c r="I671" s="48"/>
      <c r="J671" s="48"/>
      <c r="L671" s="65"/>
    </row>
    <row r="672" spans="5:12">
      <c r="E672" s="49">
        <v>45051.02083333052</v>
      </c>
      <c r="F672" s="56">
        <v>0</v>
      </c>
      <c r="G672" s="48"/>
      <c r="H672" s="48"/>
      <c r="I672" s="48"/>
      <c r="J672" s="48"/>
      <c r="L672" s="65"/>
    </row>
    <row r="673" spans="5:12">
      <c r="E673" s="49">
        <v>45051.024305552739</v>
      </c>
      <c r="F673" s="56">
        <v>0</v>
      </c>
      <c r="G673" s="48"/>
      <c r="H673" s="48"/>
      <c r="I673" s="48"/>
      <c r="J673" s="48"/>
      <c r="L673" s="65"/>
    </row>
    <row r="674" spans="5:12">
      <c r="E674" s="49">
        <v>45051.027777774958</v>
      </c>
      <c r="F674" s="56">
        <v>0</v>
      </c>
      <c r="G674" s="48"/>
      <c r="H674" s="48"/>
      <c r="I674" s="48"/>
      <c r="J674" s="48"/>
      <c r="L674" s="65"/>
    </row>
    <row r="675" spans="5:12">
      <c r="E675" s="49">
        <v>45051.031249997177</v>
      </c>
      <c r="F675" s="56">
        <v>0</v>
      </c>
      <c r="G675" s="48"/>
      <c r="H675" s="48"/>
      <c r="I675" s="48"/>
      <c r="J675" s="48"/>
      <c r="L675" s="65"/>
    </row>
    <row r="676" spans="5:12">
      <c r="E676" s="49">
        <v>45051.034722219396</v>
      </c>
      <c r="F676" s="56">
        <v>0</v>
      </c>
      <c r="G676" s="48"/>
      <c r="H676" s="48"/>
      <c r="I676" s="48"/>
      <c r="J676" s="48"/>
      <c r="L676" s="65"/>
    </row>
    <row r="677" spans="5:12">
      <c r="E677" s="49">
        <v>45051.038194441615</v>
      </c>
      <c r="F677" s="56">
        <v>0</v>
      </c>
      <c r="G677" s="48"/>
      <c r="H677" s="48"/>
      <c r="I677" s="48"/>
      <c r="J677" s="48"/>
      <c r="L677" s="65"/>
    </row>
    <row r="678" spans="5:12">
      <c r="E678" s="49">
        <v>45051.041666663834</v>
      </c>
      <c r="F678" s="56">
        <v>0</v>
      </c>
      <c r="G678" s="48"/>
      <c r="H678" s="48"/>
      <c r="I678" s="48"/>
      <c r="J678" s="48"/>
      <c r="L678" s="65"/>
    </row>
    <row r="679" spans="5:12">
      <c r="E679" s="49">
        <v>45051.045138886053</v>
      </c>
      <c r="F679" s="56">
        <v>0</v>
      </c>
      <c r="G679" s="48"/>
      <c r="H679" s="48"/>
      <c r="I679" s="48"/>
      <c r="J679" s="48"/>
      <c r="L679" s="65"/>
    </row>
    <row r="680" spans="5:12">
      <c r="E680" s="49">
        <v>45051.048611108272</v>
      </c>
      <c r="F680" s="56">
        <v>0</v>
      </c>
      <c r="G680" s="48"/>
      <c r="H680" s="48"/>
      <c r="I680" s="48"/>
      <c r="J680" s="48"/>
      <c r="L680" s="65"/>
    </row>
    <row r="681" spans="5:12">
      <c r="E681" s="49">
        <v>45051.052083330491</v>
      </c>
      <c r="F681" s="56">
        <v>0</v>
      </c>
      <c r="G681" s="48"/>
      <c r="H681" s="48"/>
      <c r="I681" s="48"/>
      <c r="J681" s="48"/>
      <c r="L681" s="65"/>
    </row>
    <row r="682" spans="5:12">
      <c r="E682" s="49">
        <v>45051.05555555271</v>
      </c>
      <c r="F682" s="56">
        <v>0</v>
      </c>
      <c r="G682" s="48"/>
      <c r="H682" s="48"/>
      <c r="I682" s="48"/>
      <c r="J682" s="48"/>
      <c r="L682" s="65"/>
    </row>
    <row r="683" spans="5:12">
      <c r="E683" s="49">
        <v>45051.059027774929</v>
      </c>
      <c r="F683" s="56">
        <v>0</v>
      </c>
      <c r="G683" s="48"/>
      <c r="H683" s="48"/>
      <c r="I683" s="48"/>
      <c r="J683" s="48"/>
      <c r="L683" s="65"/>
    </row>
    <row r="684" spans="5:12">
      <c r="E684" s="49">
        <v>45051.062499997148</v>
      </c>
      <c r="F684" s="56">
        <v>0</v>
      </c>
      <c r="G684" s="48"/>
      <c r="H684" s="48"/>
      <c r="I684" s="48"/>
      <c r="J684" s="48"/>
      <c r="L684" s="65"/>
    </row>
    <row r="685" spans="5:12">
      <c r="E685" s="49">
        <v>45051.065972219367</v>
      </c>
      <c r="F685" s="56">
        <v>0</v>
      </c>
      <c r="G685" s="48"/>
      <c r="H685" s="48"/>
      <c r="I685" s="48"/>
      <c r="J685" s="48"/>
      <c r="L685" s="65"/>
    </row>
    <row r="686" spans="5:12">
      <c r="E686" s="49">
        <v>45051.069444441586</v>
      </c>
      <c r="F686" s="56">
        <v>0</v>
      </c>
      <c r="G686" s="48"/>
      <c r="H686" s="48"/>
      <c r="I686" s="48"/>
      <c r="J686" s="48"/>
      <c r="L686" s="65"/>
    </row>
    <row r="687" spans="5:12">
      <c r="E687" s="49">
        <v>45051.072916663805</v>
      </c>
      <c r="F687" s="56">
        <v>0</v>
      </c>
      <c r="G687" s="48"/>
      <c r="H687" s="48"/>
      <c r="I687" s="48"/>
      <c r="J687" s="48"/>
      <c r="L687" s="65"/>
    </row>
    <row r="688" spans="5:12">
      <c r="E688" s="49">
        <v>45051.076388886024</v>
      </c>
      <c r="F688" s="56">
        <v>0</v>
      </c>
      <c r="G688" s="48"/>
      <c r="H688" s="48"/>
      <c r="I688" s="48"/>
      <c r="J688" s="48"/>
      <c r="L688" s="65"/>
    </row>
    <row r="689" spans="5:12">
      <c r="E689" s="49">
        <v>45051.079861108243</v>
      </c>
      <c r="F689" s="56">
        <v>0</v>
      </c>
      <c r="G689" s="48"/>
      <c r="H689" s="48"/>
      <c r="I689" s="48"/>
      <c r="J689" s="48"/>
      <c r="L689" s="65"/>
    </row>
    <row r="690" spans="5:12">
      <c r="E690" s="49">
        <v>45051.083333330462</v>
      </c>
      <c r="F690" s="56">
        <v>0</v>
      </c>
      <c r="G690" s="48"/>
      <c r="H690" s="48"/>
      <c r="I690" s="48"/>
      <c r="J690" s="48"/>
      <c r="L690" s="65"/>
    </row>
    <row r="691" spans="5:12">
      <c r="E691" s="49">
        <v>45051.086805552681</v>
      </c>
      <c r="F691" s="56">
        <v>0</v>
      </c>
      <c r="G691" s="48"/>
      <c r="H691" s="48"/>
      <c r="I691" s="48"/>
      <c r="J691" s="48"/>
      <c r="L691" s="65"/>
    </row>
    <row r="692" spans="5:12">
      <c r="E692" s="49">
        <v>45051.0902777749</v>
      </c>
      <c r="F692" s="56">
        <v>0</v>
      </c>
      <c r="G692" s="48"/>
      <c r="H692" s="48"/>
      <c r="I692" s="48"/>
      <c r="J692" s="48"/>
      <c r="L692" s="65"/>
    </row>
    <row r="693" spans="5:12">
      <c r="E693" s="49">
        <v>45051.093749997119</v>
      </c>
      <c r="F693" s="56">
        <v>0</v>
      </c>
      <c r="G693" s="48"/>
      <c r="H693" s="48"/>
      <c r="I693" s="48"/>
      <c r="J693" s="48"/>
      <c r="L693" s="65"/>
    </row>
    <row r="694" spans="5:12">
      <c r="E694" s="49">
        <v>45051.097222219338</v>
      </c>
      <c r="F694" s="56">
        <v>0</v>
      </c>
      <c r="G694" s="48"/>
      <c r="H694" s="48"/>
      <c r="I694" s="48"/>
      <c r="J694" s="48"/>
      <c r="L694" s="65"/>
    </row>
    <row r="695" spans="5:12">
      <c r="E695" s="49">
        <v>45051.100694441557</v>
      </c>
      <c r="F695" s="56">
        <v>0</v>
      </c>
      <c r="G695" s="48"/>
      <c r="H695" s="48"/>
      <c r="I695" s="48"/>
      <c r="J695" s="48"/>
      <c r="L695" s="65"/>
    </row>
    <row r="696" spans="5:12">
      <c r="E696" s="49">
        <v>45051.104166663776</v>
      </c>
      <c r="F696" s="56">
        <v>0</v>
      </c>
      <c r="G696" s="48"/>
      <c r="H696" s="48"/>
      <c r="I696" s="48"/>
      <c r="J696" s="48"/>
      <c r="L696" s="65"/>
    </row>
    <row r="697" spans="5:12">
      <c r="E697" s="49">
        <v>45051.107638885995</v>
      </c>
      <c r="F697" s="56">
        <v>0</v>
      </c>
      <c r="G697" s="48"/>
      <c r="H697" s="48"/>
      <c r="I697" s="48"/>
      <c r="J697" s="48"/>
      <c r="L697" s="65"/>
    </row>
    <row r="698" spans="5:12">
      <c r="E698" s="49">
        <v>45051.111111108214</v>
      </c>
      <c r="F698" s="56">
        <v>0</v>
      </c>
      <c r="G698" s="48"/>
      <c r="H698" s="48"/>
      <c r="I698" s="48"/>
      <c r="J698" s="48"/>
      <c r="L698" s="65"/>
    </row>
    <row r="699" spans="5:12">
      <c r="E699" s="49">
        <v>45051.114583330433</v>
      </c>
      <c r="F699" s="56">
        <v>0</v>
      </c>
      <c r="G699" s="48"/>
      <c r="H699" s="48"/>
      <c r="I699" s="48"/>
      <c r="J699" s="48"/>
      <c r="L699" s="65"/>
    </row>
    <row r="700" spans="5:12">
      <c r="E700" s="49">
        <v>45051.118055552652</v>
      </c>
      <c r="F700" s="56">
        <v>0</v>
      </c>
      <c r="G700" s="48"/>
      <c r="H700" s="48"/>
      <c r="I700" s="48"/>
      <c r="J700" s="48"/>
      <c r="L700" s="65"/>
    </row>
    <row r="701" spans="5:12">
      <c r="E701" s="49">
        <v>45051.121527774871</v>
      </c>
      <c r="F701" s="56">
        <v>0</v>
      </c>
      <c r="G701" s="48"/>
      <c r="H701" s="48"/>
      <c r="I701" s="48"/>
      <c r="J701" s="48"/>
      <c r="L701" s="65"/>
    </row>
    <row r="702" spans="5:12">
      <c r="E702" s="49">
        <v>45051.12499999709</v>
      </c>
      <c r="F702" s="56">
        <v>0</v>
      </c>
      <c r="G702" s="48"/>
      <c r="H702" s="48"/>
      <c r="I702" s="48"/>
      <c r="J702" s="48"/>
      <c r="L702" s="65"/>
    </row>
    <row r="703" spans="5:12">
      <c r="E703" s="49">
        <v>45051.128472219309</v>
      </c>
      <c r="F703" s="56">
        <v>0</v>
      </c>
      <c r="G703" s="48"/>
      <c r="H703" s="48"/>
      <c r="I703" s="48"/>
      <c r="J703" s="48"/>
      <c r="L703" s="65"/>
    </row>
    <row r="704" spans="5:12">
      <c r="E704" s="49">
        <v>45051.131944441528</v>
      </c>
      <c r="F704" s="56">
        <v>0</v>
      </c>
      <c r="G704" s="48"/>
      <c r="H704" s="48"/>
      <c r="I704" s="48"/>
      <c r="J704" s="48"/>
      <c r="L704" s="65"/>
    </row>
    <row r="705" spans="5:12">
      <c r="E705" s="49">
        <v>45051.135416663747</v>
      </c>
      <c r="F705" s="56">
        <v>0</v>
      </c>
      <c r="G705" s="48"/>
      <c r="H705" s="48"/>
      <c r="I705" s="48"/>
      <c r="J705" s="48"/>
      <c r="L705" s="65"/>
    </row>
    <row r="706" spans="5:12">
      <c r="E706" s="49">
        <v>45051.138888885966</v>
      </c>
      <c r="F706" s="56">
        <v>0</v>
      </c>
      <c r="G706" s="48"/>
      <c r="H706" s="48"/>
      <c r="I706" s="48"/>
      <c r="J706" s="48"/>
      <c r="L706" s="65"/>
    </row>
    <row r="707" spans="5:12">
      <c r="E707" s="49">
        <v>45051.142361108185</v>
      </c>
      <c r="F707" s="56">
        <v>0</v>
      </c>
      <c r="G707" s="48"/>
      <c r="H707" s="48"/>
      <c r="I707" s="48"/>
      <c r="J707" s="48"/>
      <c r="L707" s="65"/>
    </row>
    <row r="708" spans="5:12">
      <c r="E708" s="49">
        <v>45051.145833330404</v>
      </c>
      <c r="F708" s="56">
        <v>0</v>
      </c>
      <c r="G708" s="48"/>
      <c r="H708" s="48"/>
      <c r="I708" s="48"/>
      <c r="J708" s="48"/>
      <c r="L708" s="65"/>
    </row>
    <row r="709" spans="5:12">
      <c r="E709" s="49">
        <v>45051.149305552623</v>
      </c>
      <c r="F709" s="56">
        <v>0</v>
      </c>
      <c r="G709" s="48"/>
      <c r="H709" s="48"/>
      <c r="I709" s="48"/>
      <c r="J709" s="48"/>
      <c r="L709" s="65"/>
    </row>
    <row r="710" spans="5:12">
      <c r="E710" s="49">
        <v>45051.152777774842</v>
      </c>
      <c r="F710" s="56">
        <v>0</v>
      </c>
      <c r="G710" s="48"/>
      <c r="H710" s="48"/>
      <c r="I710" s="48"/>
      <c r="J710" s="48"/>
      <c r="L710" s="65"/>
    </row>
    <row r="711" spans="5:12">
      <c r="E711" s="49">
        <v>45051.156249997061</v>
      </c>
      <c r="F711" s="56">
        <v>0</v>
      </c>
      <c r="G711" s="48"/>
      <c r="H711" s="48"/>
      <c r="I711" s="48"/>
      <c r="J711" s="48"/>
      <c r="L711" s="65"/>
    </row>
    <row r="712" spans="5:12">
      <c r="E712" s="49">
        <v>45051.15972221928</v>
      </c>
      <c r="F712" s="56">
        <v>0</v>
      </c>
      <c r="G712" s="48"/>
      <c r="H712" s="48"/>
      <c r="I712" s="48"/>
      <c r="J712" s="48"/>
      <c r="L712" s="65"/>
    </row>
    <row r="713" spans="5:12">
      <c r="E713" s="49">
        <v>45051.163194441498</v>
      </c>
      <c r="F713" s="56">
        <v>0</v>
      </c>
      <c r="G713" s="48"/>
      <c r="H713" s="48"/>
      <c r="I713" s="48"/>
      <c r="J713" s="48"/>
      <c r="L713" s="65"/>
    </row>
    <row r="714" spans="5:12">
      <c r="E714" s="49">
        <v>45051.166666663717</v>
      </c>
      <c r="F714" s="56">
        <v>0</v>
      </c>
      <c r="G714" s="48"/>
      <c r="H714" s="48"/>
      <c r="I714" s="48"/>
      <c r="J714" s="48"/>
      <c r="L714" s="65"/>
    </row>
    <row r="715" spans="5:12">
      <c r="E715" s="49">
        <v>45051.170138885936</v>
      </c>
      <c r="F715" s="56">
        <v>0</v>
      </c>
      <c r="G715" s="48"/>
      <c r="H715" s="48"/>
      <c r="I715" s="48"/>
      <c r="J715" s="48"/>
      <c r="L715" s="65"/>
    </row>
    <row r="716" spans="5:12">
      <c r="E716" s="49">
        <v>45051.173611108155</v>
      </c>
      <c r="F716" s="56">
        <v>0</v>
      </c>
      <c r="G716" s="48"/>
      <c r="H716" s="48"/>
      <c r="I716" s="48"/>
      <c r="J716" s="48"/>
      <c r="L716" s="65"/>
    </row>
    <row r="717" spans="5:12">
      <c r="E717" s="49">
        <v>45051.177083330374</v>
      </c>
      <c r="F717" s="56">
        <v>0</v>
      </c>
      <c r="G717" s="48"/>
      <c r="H717" s="48"/>
      <c r="I717" s="48"/>
      <c r="J717" s="48"/>
      <c r="L717" s="65"/>
    </row>
    <row r="718" spans="5:12">
      <c r="E718" s="49">
        <v>45051.180555552593</v>
      </c>
      <c r="F718" s="56">
        <v>0</v>
      </c>
      <c r="G718" s="48"/>
      <c r="H718" s="48"/>
      <c r="I718" s="48"/>
      <c r="J718" s="48"/>
      <c r="L718" s="65"/>
    </row>
    <row r="719" spans="5:12">
      <c r="E719" s="49">
        <v>45051.184027774812</v>
      </c>
      <c r="F719" s="56">
        <v>0</v>
      </c>
      <c r="G719" s="48"/>
      <c r="H719" s="48"/>
      <c r="I719" s="48"/>
      <c r="J719" s="48"/>
      <c r="L719" s="65"/>
    </row>
    <row r="720" spans="5:12">
      <c r="E720" s="49">
        <v>45051.187499997031</v>
      </c>
      <c r="F720" s="56">
        <v>0</v>
      </c>
      <c r="G720" s="48"/>
      <c r="H720" s="48"/>
      <c r="I720" s="48"/>
      <c r="J720" s="48"/>
      <c r="L720" s="65"/>
    </row>
    <row r="721" spans="5:12">
      <c r="E721" s="49">
        <v>45051.19097221925</v>
      </c>
      <c r="F721" s="56">
        <v>0</v>
      </c>
      <c r="G721" s="48"/>
      <c r="H721" s="48"/>
      <c r="I721" s="48"/>
      <c r="J721" s="48"/>
      <c r="L721" s="65"/>
    </row>
    <row r="722" spans="5:12">
      <c r="E722" s="49">
        <v>45051.194444441469</v>
      </c>
      <c r="F722" s="56">
        <v>0</v>
      </c>
      <c r="G722" s="48"/>
      <c r="H722" s="48"/>
      <c r="I722" s="48"/>
      <c r="J722" s="48"/>
      <c r="L722" s="65"/>
    </row>
    <row r="723" spans="5:12">
      <c r="E723" s="49">
        <v>45051.197916663688</v>
      </c>
      <c r="F723" s="56">
        <v>0</v>
      </c>
      <c r="G723" s="48"/>
      <c r="H723" s="48"/>
      <c r="I723" s="48"/>
      <c r="J723" s="48"/>
      <c r="L723" s="65"/>
    </row>
    <row r="724" spans="5:12">
      <c r="E724" s="49">
        <v>45051.201388885907</v>
      </c>
      <c r="F724" s="56">
        <v>0</v>
      </c>
      <c r="G724" s="48"/>
      <c r="H724" s="48"/>
      <c r="I724" s="48"/>
      <c r="J724" s="48"/>
      <c r="L724" s="65"/>
    </row>
    <row r="725" spans="5:12">
      <c r="E725" s="49">
        <v>45051.204861108126</v>
      </c>
      <c r="F725" s="56">
        <v>0</v>
      </c>
      <c r="G725" s="48"/>
      <c r="H725" s="48"/>
      <c r="I725" s="48"/>
      <c r="J725" s="48"/>
      <c r="L725" s="65"/>
    </row>
    <row r="726" spans="5:12">
      <c r="E726" s="49">
        <v>45051.208333330345</v>
      </c>
      <c r="F726" s="56">
        <v>0</v>
      </c>
      <c r="G726" s="48"/>
      <c r="H726" s="48"/>
      <c r="I726" s="48"/>
      <c r="J726" s="48"/>
      <c r="L726" s="65"/>
    </row>
    <row r="727" spans="5:12">
      <c r="E727" s="49">
        <v>45051.211805552564</v>
      </c>
      <c r="F727" s="56">
        <v>0</v>
      </c>
      <c r="G727" s="48"/>
      <c r="H727" s="48"/>
      <c r="I727" s="48"/>
      <c r="J727" s="48"/>
      <c r="L727" s="65"/>
    </row>
    <row r="728" spans="5:12">
      <c r="E728" s="49">
        <v>45051.215277774783</v>
      </c>
      <c r="F728" s="56">
        <v>0</v>
      </c>
      <c r="G728" s="48"/>
      <c r="H728" s="48"/>
      <c r="I728" s="48"/>
      <c r="J728" s="48"/>
      <c r="L728" s="65"/>
    </row>
    <row r="729" spans="5:12">
      <c r="E729" s="49">
        <v>45051.218749997002</v>
      </c>
      <c r="F729" s="56">
        <v>0</v>
      </c>
      <c r="G729" s="48"/>
      <c r="H729" s="48"/>
      <c r="I729" s="48"/>
      <c r="J729" s="48"/>
      <c r="L729" s="65"/>
    </row>
    <row r="730" spans="5:12">
      <c r="E730" s="49">
        <v>45051.222222219221</v>
      </c>
      <c r="F730" s="56">
        <v>0</v>
      </c>
      <c r="G730" s="48"/>
      <c r="H730" s="48"/>
      <c r="I730" s="48"/>
      <c r="J730" s="48"/>
      <c r="L730" s="65"/>
    </row>
    <row r="731" spans="5:12">
      <c r="E731" s="49">
        <v>45051.22569444144</v>
      </c>
      <c r="F731" s="56">
        <v>0</v>
      </c>
      <c r="G731" s="48"/>
      <c r="H731" s="48"/>
      <c r="I731" s="48"/>
      <c r="J731" s="48"/>
      <c r="L731" s="65"/>
    </row>
    <row r="732" spans="5:12">
      <c r="E732" s="49">
        <v>45051.229166663659</v>
      </c>
      <c r="F732" s="56">
        <v>0</v>
      </c>
      <c r="G732" s="48"/>
      <c r="H732" s="48"/>
      <c r="I732" s="48"/>
      <c r="J732" s="48"/>
      <c r="L732" s="65"/>
    </row>
    <row r="733" spans="5:12">
      <c r="E733" s="49">
        <v>45051.232638885878</v>
      </c>
      <c r="F733" s="56">
        <v>0</v>
      </c>
      <c r="G733" s="48"/>
      <c r="H733" s="48"/>
      <c r="I733" s="48"/>
      <c r="J733" s="48"/>
      <c r="L733" s="65"/>
    </row>
    <row r="734" spans="5:12">
      <c r="E734" s="49">
        <v>45051.236111108097</v>
      </c>
      <c r="F734" s="56">
        <v>0</v>
      </c>
      <c r="G734" s="48"/>
      <c r="H734" s="48"/>
      <c r="I734" s="48"/>
      <c r="J734" s="48"/>
      <c r="L734" s="65"/>
    </row>
    <row r="735" spans="5:12">
      <c r="E735" s="49">
        <v>45051.239583330316</v>
      </c>
      <c r="F735" s="56">
        <v>0</v>
      </c>
      <c r="G735" s="48"/>
      <c r="H735" s="48"/>
      <c r="I735" s="48"/>
      <c r="J735" s="48"/>
      <c r="L735" s="65"/>
    </row>
    <row r="736" spans="5:12">
      <c r="E736" s="49">
        <v>45051.243055552535</v>
      </c>
      <c r="F736" s="56">
        <v>0</v>
      </c>
      <c r="G736" s="48"/>
      <c r="H736" s="48"/>
      <c r="I736" s="48"/>
      <c r="J736" s="48"/>
      <c r="L736" s="65"/>
    </row>
    <row r="737" spans="5:12">
      <c r="E737" s="49">
        <v>45051.246527774754</v>
      </c>
      <c r="F737" s="56">
        <v>0</v>
      </c>
      <c r="G737" s="48"/>
      <c r="H737" s="48"/>
      <c r="I737" s="48"/>
      <c r="J737" s="48"/>
      <c r="L737" s="65"/>
    </row>
    <row r="738" spans="5:12">
      <c r="E738" s="49">
        <v>45051.249999996973</v>
      </c>
      <c r="F738" s="56">
        <v>0</v>
      </c>
      <c r="G738" s="48"/>
      <c r="H738" s="48"/>
      <c r="I738" s="48"/>
      <c r="J738" s="48"/>
      <c r="L738" s="65"/>
    </row>
    <row r="739" spans="5:12">
      <c r="E739" s="49">
        <v>45051.253472219192</v>
      </c>
      <c r="F739" s="56">
        <v>0</v>
      </c>
      <c r="G739" s="48"/>
      <c r="H739" s="48"/>
      <c r="I739" s="48"/>
      <c r="J739" s="48"/>
      <c r="L739" s="65"/>
    </row>
    <row r="740" spans="5:12">
      <c r="E740" s="49">
        <v>45051.256944441411</v>
      </c>
      <c r="F740" s="56">
        <v>0</v>
      </c>
      <c r="G740" s="48"/>
      <c r="H740" s="48"/>
      <c r="I740" s="48"/>
      <c r="J740" s="48"/>
      <c r="L740" s="65"/>
    </row>
    <row r="741" spans="5:12">
      <c r="E741" s="49">
        <v>45051.26041666363</v>
      </c>
      <c r="F741" s="56">
        <v>0</v>
      </c>
      <c r="G741" s="48"/>
      <c r="H741" s="48"/>
      <c r="I741" s="48"/>
      <c r="J741" s="48"/>
      <c r="L741" s="65"/>
    </row>
    <row r="742" spans="5:12">
      <c r="E742" s="49">
        <v>45051.263888885849</v>
      </c>
      <c r="F742" s="56">
        <v>0</v>
      </c>
      <c r="G742" s="48"/>
      <c r="H742" s="48"/>
      <c r="I742" s="48"/>
      <c r="J742" s="48"/>
      <c r="L742" s="65"/>
    </row>
    <row r="743" spans="5:12">
      <c r="E743" s="49">
        <v>45051.267361108068</v>
      </c>
      <c r="F743" s="56">
        <v>0</v>
      </c>
      <c r="G743" s="48"/>
      <c r="H743" s="48"/>
      <c r="I743" s="48"/>
      <c r="J743" s="48"/>
      <c r="L743" s="65"/>
    </row>
    <row r="744" spans="5:12">
      <c r="E744" s="49">
        <v>45051.270833330287</v>
      </c>
      <c r="F744" s="56">
        <v>0</v>
      </c>
      <c r="G744" s="48"/>
      <c r="H744" s="48"/>
      <c r="I744" s="48"/>
      <c r="J744" s="48"/>
      <c r="L744" s="65"/>
    </row>
    <row r="745" spans="5:12">
      <c r="E745" s="49">
        <v>45051.274305552506</v>
      </c>
      <c r="F745" s="56">
        <v>0</v>
      </c>
      <c r="G745" s="48"/>
      <c r="H745" s="48"/>
      <c r="I745" s="48"/>
      <c r="J745" s="48"/>
      <c r="L745" s="65"/>
    </row>
    <row r="746" spans="5:12">
      <c r="E746" s="49">
        <v>45051.277777774725</v>
      </c>
      <c r="F746" s="56">
        <v>0</v>
      </c>
      <c r="G746" s="48"/>
      <c r="H746" s="48"/>
      <c r="I746" s="48"/>
      <c r="J746" s="48"/>
      <c r="L746" s="65"/>
    </row>
    <row r="747" spans="5:12">
      <c r="E747" s="49">
        <v>45051.281249996944</v>
      </c>
      <c r="F747" s="56">
        <v>0</v>
      </c>
      <c r="G747" s="48"/>
      <c r="H747" s="48"/>
      <c r="I747" s="48"/>
      <c r="J747" s="48"/>
      <c r="L747" s="65"/>
    </row>
    <row r="748" spans="5:12">
      <c r="E748" s="49">
        <v>45051.284722219163</v>
      </c>
      <c r="F748" s="56">
        <v>0</v>
      </c>
      <c r="G748" s="48"/>
      <c r="H748" s="48"/>
      <c r="I748" s="48"/>
      <c r="J748" s="48"/>
      <c r="L748" s="65"/>
    </row>
    <row r="749" spans="5:12">
      <c r="E749" s="49">
        <v>45051.288194441382</v>
      </c>
      <c r="F749" s="56">
        <v>0</v>
      </c>
      <c r="G749" s="48"/>
      <c r="H749" s="48"/>
      <c r="I749" s="48"/>
      <c r="J749" s="48"/>
      <c r="L749" s="65"/>
    </row>
    <row r="750" spans="5:12">
      <c r="E750" s="49">
        <v>45051.291666663601</v>
      </c>
      <c r="F750" s="56">
        <v>0</v>
      </c>
      <c r="G750" s="48"/>
      <c r="H750" s="48"/>
      <c r="I750" s="48"/>
      <c r="J750" s="48"/>
      <c r="L750" s="65"/>
    </row>
    <row r="751" spans="5:12">
      <c r="E751" s="49">
        <v>45051.29513888582</v>
      </c>
      <c r="F751" s="56">
        <v>0</v>
      </c>
      <c r="G751" s="48"/>
      <c r="H751" s="48"/>
      <c r="I751" s="48"/>
      <c r="J751" s="48"/>
      <c r="L751" s="65"/>
    </row>
    <row r="752" spans="5:12">
      <c r="E752" s="49">
        <v>45051.298611108039</v>
      </c>
      <c r="F752" s="56">
        <v>0</v>
      </c>
      <c r="G752" s="48"/>
      <c r="H752" s="48"/>
      <c r="I752" s="48"/>
      <c r="J752" s="48"/>
      <c r="L752" s="65"/>
    </row>
    <row r="753" spans="5:12">
      <c r="E753" s="49">
        <v>45051.302083330258</v>
      </c>
      <c r="F753" s="56">
        <v>0</v>
      </c>
      <c r="G753" s="48"/>
      <c r="H753" s="48"/>
      <c r="I753" s="48"/>
      <c r="J753" s="48"/>
      <c r="L753" s="65"/>
    </row>
    <row r="754" spans="5:12">
      <c r="E754" s="49">
        <v>45051.305555552477</v>
      </c>
      <c r="F754" s="56">
        <v>0</v>
      </c>
      <c r="G754" s="48"/>
      <c r="H754" s="48"/>
      <c r="I754" s="48"/>
      <c r="J754" s="48"/>
      <c r="L754" s="65"/>
    </row>
    <row r="755" spans="5:12">
      <c r="E755" s="49">
        <v>45051.309027774696</v>
      </c>
      <c r="F755" s="56">
        <v>0</v>
      </c>
      <c r="G755" s="48"/>
      <c r="H755" s="48"/>
      <c r="I755" s="48"/>
      <c r="J755" s="48"/>
      <c r="L755" s="65"/>
    </row>
    <row r="756" spans="5:12">
      <c r="E756" s="49">
        <v>45051.312499996915</v>
      </c>
      <c r="F756" s="56">
        <v>0</v>
      </c>
      <c r="G756" s="48"/>
      <c r="H756" s="48"/>
      <c r="I756" s="48"/>
      <c r="J756" s="48"/>
      <c r="L756" s="65"/>
    </row>
    <row r="757" spans="5:12">
      <c r="E757" s="49">
        <v>45051.315972219134</v>
      </c>
      <c r="F757" s="56">
        <v>0</v>
      </c>
      <c r="G757" s="48"/>
      <c r="H757" s="48"/>
      <c r="I757" s="48"/>
      <c r="J757" s="48"/>
      <c r="L757" s="65"/>
    </row>
    <row r="758" spans="5:12">
      <c r="E758" s="49">
        <v>45051.319444441353</v>
      </c>
      <c r="F758" s="56">
        <v>0</v>
      </c>
      <c r="G758" s="48"/>
      <c r="H758" s="48"/>
      <c r="I758" s="48"/>
      <c r="J758" s="48"/>
      <c r="L758" s="65"/>
    </row>
    <row r="759" spans="5:12">
      <c r="E759" s="49">
        <v>45051.322916663572</v>
      </c>
      <c r="F759" s="56">
        <v>0</v>
      </c>
      <c r="G759" s="48"/>
      <c r="H759" s="48"/>
      <c r="I759" s="48"/>
      <c r="J759" s="48"/>
      <c r="L759" s="65"/>
    </row>
    <row r="760" spans="5:12">
      <c r="E760" s="49">
        <v>45051.326388885791</v>
      </c>
      <c r="F760" s="56">
        <v>0</v>
      </c>
      <c r="G760" s="48"/>
      <c r="H760" s="48"/>
      <c r="I760" s="48"/>
      <c r="J760" s="48"/>
      <c r="L760" s="65"/>
    </row>
    <row r="761" spans="5:12">
      <c r="E761" s="49">
        <v>45051.32986110801</v>
      </c>
      <c r="F761" s="56">
        <v>0</v>
      </c>
      <c r="G761" s="48"/>
      <c r="H761" s="48"/>
      <c r="I761" s="48"/>
      <c r="J761" s="48"/>
      <c r="L761" s="65"/>
    </row>
    <row r="762" spans="5:12">
      <c r="E762" s="49">
        <v>45051.333333330229</v>
      </c>
      <c r="F762" s="56">
        <v>0</v>
      </c>
      <c r="G762" s="48"/>
      <c r="H762" s="48"/>
      <c r="I762" s="48"/>
      <c r="J762" s="48"/>
      <c r="L762" s="65"/>
    </row>
    <row r="763" spans="5:12">
      <c r="E763" s="49">
        <v>45051.336805552448</v>
      </c>
      <c r="F763" s="56">
        <v>0</v>
      </c>
      <c r="G763" s="48"/>
      <c r="H763" s="48"/>
      <c r="I763" s="48"/>
      <c r="J763" s="48"/>
      <c r="L763" s="65"/>
    </row>
    <row r="764" spans="5:12">
      <c r="E764" s="49">
        <v>45051.340277774667</v>
      </c>
      <c r="F764" s="56">
        <v>0</v>
      </c>
      <c r="G764" s="48"/>
      <c r="H764" s="48"/>
      <c r="I764" s="48"/>
      <c r="J764" s="48"/>
      <c r="L764" s="65"/>
    </row>
    <row r="765" spans="5:12">
      <c r="E765" s="49">
        <v>45051.343749996886</v>
      </c>
      <c r="F765" s="56">
        <v>0</v>
      </c>
      <c r="G765" s="48"/>
      <c r="H765" s="48"/>
      <c r="I765" s="48"/>
      <c r="J765" s="48"/>
      <c r="L765" s="65"/>
    </row>
    <row r="766" spans="5:12">
      <c r="E766" s="49">
        <v>45051.347222219105</v>
      </c>
      <c r="F766" s="56">
        <v>0</v>
      </c>
      <c r="G766" s="48"/>
      <c r="H766" s="48"/>
      <c r="I766" s="48"/>
      <c r="J766" s="48"/>
      <c r="L766" s="65"/>
    </row>
    <row r="767" spans="5:12">
      <c r="E767" s="49">
        <v>45051.350694441324</v>
      </c>
      <c r="F767" s="56">
        <v>0</v>
      </c>
      <c r="G767" s="48"/>
      <c r="H767" s="48"/>
      <c r="I767" s="48"/>
      <c r="J767" s="48"/>
      <c r="L767" s="65"/>
    </row>
    <row r="768" spans="5:12">
      <c r="E768" s="49">
        <v>45051.354166663543</v>
      </c>
      <c r="F768" s="56">
        <v>0</v>
      </c>
      <c r="G768" s="48"/>
      <c r="H768" s="48"/>
      <c r="I768" s="48"/>
      <c r="J768" s="48"/>
      <c r="L768" s="65"/>
    </row>
    <row r="769" spans="5:12">
      <c r="E769" s="49">
        <v>45051.357638885762</v>
      </c>
      <c r="F769" s="56">
        <v>0</v>
      </c>
      <c r="G769" s="48"/>
      <c r="H769" s="48"/>
      <c r="I769" s="48"/>
      <c r="J769" s="48"/>
      <c r="L769" s="65"/>
    </row>
    <row r="770" spans="5:12">
      <c r="E770" s="49">
        <v>45051.361111107981</v>
      </c>
      <c r="F770" s="56">
        <v>0</v>
      </c>
      <c r="G770" s="48"/>
      <c r="H770" s="48"/>
      <c r="I770" s="48"/>
      <c r="J770" s="48"/>
      <c r="L770" s="65"/>
    </row>
    <row r="771" spans="5:12">
      <c r="E771" s="49">
        <v>45051.3645833302</v>
      </c>
      <c r="F771" s="56">
        <v>0</v>
      </c>
      <c r="G771" s="48"/>
      <c r="H771" s="48"/>
      <c r="I771" s="48"/>
      <c r="J771" s="48"/>
      <c r="L771" s="65"/>
    </row>
    <row r="772" spans="5:12">
      <c r="E772" s="49">
        <v>45051.368055552419</v>
      </c>
      <c r="F772" s="56">
        <v>0</v>
      </c>
      <c r="G772" s="48"/>
      <c r="H772" s="48"/>
      <c r="I772" s="48"/>
      <c r="J772" s="48"/>
      <c r="L772" s="65"/>
    </row>
    <row r="773" spans="5:12">
      <c r="E773" s="49">
        <v>45051.371527774638</v>
      </c>
      <c r="F773" s="56">
        <v>0</v>
      </c>
      <c r="G773" s="48"/>
      <c r="H773" s="48"/>
      <c r="I773" s="48"/>
      <c r="J773" s="48"/>
      <c r="L773" s="65"/>
    </row>
    <row r="774" spans="5:12">
      <c r="E774" s="49">
        <v>45051.374999996857</v>
      </c>
      <c r="F774" s="56">
        <v>0</v>
      </c>
      <c r="G774" s="48"/>
      <c r="H774" s="48"/>
      <c r="I774" s="48"/>
      <c r="J774" s="48"/>
      <c r="L774" s="65"/>
    </row>
    <row r="775" spans="5:12">
      <c r="E775" s="49">
        <v>45051.378472219076</v>
      </c>
      <c r="F775" s="56">
        <v>0</v>
      </c>
      <c r="G775" s="48"/>
      <c r="H775" s="48"/>
      <c r="I775" s="48"/>
      <c r="J775" s="48"/>
      <c r="L775" s="65"/>
    </row>
    <row r="776" spans="5:12">
      <c r="E776" s="49">
        <v>45051.381944441295</v>
      </c>
      <c r="F776" s="56">
        <v>0</v>
      </c>
      <c r="G776" s="48"/>
      <c r="H776" s="48"/>
      <c r="I776" s="48"/>
      <c r="J776" s="48"/>
      <c r="L776" s="65"/>
    </row>
    <row r="777" spans="5:12">
      <c r="E777" s="49">
        <v>45051.385416663514</v>
      </c>
      <c r="F777" s="56">
        <v>0</v>
      </c>
      <c r="G777" s="48"/>
      <c r="H777" s="48"/>
      <c r="I777" s="48"/>
      <c r="J777" s="48"/>
      <c r="L777" s="65"/>
    </row>
    <row r="778" spans="5:12">
      <c r="E778" s="49">
        <v>45051.388888885733</v>
      </c>
      <c r="F778" s="56">
        <v>0</v>
      </c>
      <c r="G778" s="48"/>
      <c r="H778" s="48"/>
      <c r="I778" s="48"/>
      <c r="J778" s="48"/>
      <c r="L778" s="65"/>
    </row>
    <row r="779" spans="5:12">
      <c r="E779" s="49">
        <v>45051.392361107952</v>
      </c>
      <c r="F779" s="56">
        <v>0</v>
      </c>
      <c r="G779" s="48"/>
      <c r="H779" s="48"/>
      <c r="I779" s="48"/>
      <c r="J779" s="48"/>
      <c r="L779" s="65"/>
    </row>
    <row r="780" spans="5:12">
      <c r="E780" s="49">
        <v>45051.395833330171</v>
      </c>
      <c r="F780" s="56">
        <v>0</v>
      </c>
      <c r="G780" s="48"/>
      <c r="H780" s="48"/>
      <c r="I780" s="48"/>
      <c r="J780" s="48"/>
      <c r="L780" s="65"/>
    </row>
    <row r="781" spans="5:12">
      <c r="E781" s="49">
        <v>45051.39930555239</v>
      </c>
      <c r="F781" s="56">
        <v>0</v>
      </c>
      <c r="G781" s="48"/>
      <c r="H781" s="48"/>
      <c r="I781" s="48"/>
      <c r="J781" s="48"/>
      <c r="L781" s="65"/>
    </row>
    <row r="782" spans="5:12">
      <c r="E782" s="49">
        <v>45051.402777774609</v>
      </c>
      <c r="F782" s="56">
        <v>0</v>
      </c>
      <c r="G782" s="48"/>
      <c r="H782" s="48"/>
      <c r="I782" s="48"/>
      <c r="J782" s="48"/>
      <c r="L782" s="65"/>
    </row>
    <row r="783" spans="5:12">
      <c r="E783" s="49">
        <v>45051.406249996828</v>
      </c>
      <c r="F783" s="56">
        <v>0</v>
      </c>
      <c r="G783" s="48"/>
      <c r="H783" s="48"/>
      <c r="I783" s="48"/>
      <c r="J783" s="48"/>
      <c r="L783" s="65"/>
    </row>
    <row r="784" spans="5:12">
      <c r="E784" s="49">
        <v>45051.409722219047</v>
      </c>
      <c r="F784" s="56">
        <v>0</v>
      </c>
      <c r="G784" s="48"/>
      <c r="H784" s="48"/>
      <c r="I784" s="48"/>
      <c r="J784" s="48"/>
      <c r="L784" s="65"/>
    </row>
    <row r="785" spans="5:12">
      <c r="E785" s="49">
        <v>45051.413194441266</v>
      </c>
      <c r="F785" s="56">
        <v>0</v>
      </c>
      <c r="G785" s="48"/>
      <c r="H785" s="48"/>
      <c r="I785" s="48"/>
      <c r="J785" s="48"/>
      <c r="L785" s="65"/>
    </row>
    <row r="786" spans="5:12">
      <c r="E786" s="49">
        <v>45051.416666663485</v>
      </c>
      <c r="F786" s="56">
        <v>0</v>
      </c>
      <c r="G786" s="48"/>
      <c r="H786" s="48"/>
      <c r="I786" s="48"/>
      <c r="J786" s="48"/>
      <c r="L786" s="65"/>
    </row>
    <row r="787" spans="5:12">
      <c r="E787" s="49">
        <v>45051.420138885704</v>
      </c>
      <c r="F787" s="56">
        <v>0</v>
      </c>
      <c r="G787" s="48"/>
      <c r="H787" s="48"/>
      <c r="I787" s="48"/>
      <c r="J787" s="48"/>
      <c r="L787" s="65"/>
    </row>
    <row r="788" spans="5:12">
      <c r="E788" s="49">
        <v>45051.423611107923</v>
      </c>
      <c r="F788" s="56">
        <v>0</v>
      </c>
      <c r="G788" s="48"/>
      <c r="H788" s="48"/>
      <c r="I788" s="48"/>
      <c r="J788" s="48"/>
      <c r="L788" s="65"/>
    </row>
    <row r="789" spans="5:12">
      <c r="E789" s="49">
        <v>45051.427083330142</v>
      </c>
      <c r="F789" s="56">
        <v>0</v>
      </c>
      <c r="G789" s="48"/>
      <c r="H789" s="48"/>
      <c r="I789" s="48"/>
      <c r="J789" s="48"/>
      <c r="L789" s="65"/>
    </row>
    <row r="790" spans="5:12">
      <c r="E790" s="49">
        <v>45051.430555552361</v>
      </c>
      <c r="F790" s="56">
        <v>0</v>
      </c>
      <c r="G790" s="48"/>
      <c r="H790" s="48"/>
      <c r="I790" s="48"/>
      <c r="J790" s="48"/>
      <c r="L790" s="65"/>
    </row>
    <row r="791" spans="5:12">
      <c r="E791" s="49">
        <v>45051.43402777458</v>
      </c>
      <c r="F791" s="56">
        <v>0</v>
      </c>
      <c r="G791" s="48"/>
      <c r="H791" s="48"/>
      <c r="I791" s="48"/>
      <c r="J791" s="48"/>
      <c r="L791" s="65"/>
    </row>
    <row r="792" spans="5:12">
      <c r="E792" s="49">
        <v>45051.437499996799</v>
      </c>
      <c r="F792" s="56">
        <v>0</v>
      </c>
      <c r="G792" s="48"/>
      <c r="H792" s="48"/>
      <c r="I792" s="48"/>
      <c r="J792" s="48"/>
      <c r="L792" s="65"/>
    </row>
    <row r="793" spans="5:12">
      <c r="E793" s="49">
        <v>45051.440972219018</v>
      </c>
      <c r="F793" s="56">
        <v>0</v>
      </c>
      <c r="G793" s="48"/>
      <c r="H793" s="48"/>
      <c r="I793" s="48"/>
      <c r="J793" s="48"/>
      <c r="L793" s="65"/>
    </row>
    <row r="794" spans="5:12">
      <c r="E794" s="49">
        <v>45051.444444441237</v>
      </c>
      <c r="F794" s="56">
        <v>0</v>
      </c>
      <c r="G794" s="48"/>
      <c r="H794" s="48"/>
      <c r="I794" s="48"/>
      <c r="J794" s="48"/>
      <c r="L794" s="65"/>
    </row>
    <row r="795" spans="5:12">
      <c r="E795" s="49">
        <v>45051.447916663456</v>
      </c>
      <c r="F795" s="56">
        <v>0</v>
      </c>
      <c r="G795" s="48"/>
      <c r="H795" s="48"/>
      <c r="I795" s="48"/>
      <c r="J795" s="48"/>
      <c r="L795" s="65"/>
    </row>
    <row r="796" spans="5:12">
      <c r="E796" s="49">
        <v>45051.451388885675</v>
      </c>
      <c r="F796" s="56">
        <v>0</v>
      </c>
      <c r="G796" s="48"/>
      <c r="H796" s="48"/>
      <c r="I796" s="48"/>
      <c r="J796" s="48"/>
      <c r="L796" s="65"/>
    </row>
    <row r="797" spans="5:12">
      <c r="E797" s="49">
        <v>45051.454861107894</v>
      </c>
      <c r="F797" s="56">
        <v>0</v>
      </c>
      <c r="G797" s="48"/>
      <c r="H797" s="48"/>
      <c r="I797" s="48"/>
      <c r="J797" s="48"/>
      <c r="L797" s="65"/>
    </row>
    <row r="798" spans="5:12">
      <c r="E798" s="49">
        <v>45051.458333330113</v>
      </c>
      <c r="F798" s="56">
        <v>0</v>
      </c>
      <c r="G798" s="48"/>
      <c r="H798" s="48"/>
      <c r="I798" s="48"/>
      <c r="J798" s="48"/>
      <c r="L798" s="65"/>
    </row>
    <row r="799" spans="5:12">
      <c r="E799" s="49">
        <v>45051.461805552331</v>
      </c>
      <c r="F799" s="56">
        <v>0</v>
      </c>
      <c r="G799" s="48"/>
      <c r="H799" s="48"/>
      <c r="I799" s="48"/>
      <c r="J799" s="48"/>
      <c r="L799" s="65"/>
    </row>
    <row r="800" spans="5:12">
      <c r="E800" s="49">
        <v>45051.46527777455</v>
      </c>
      <c r="F800" s="56">
        <v>0</v>
      </c>
      <c r="G800" s="48"/>
      <c r="H800" s="48"/>
      <c r="I800" s="48"/>
      <c r="J800" s="48"/>
      <c r="L800" s="65"/>
    </row>
    <row r="801" spans="5:12">
      <c r="E801" s="49">
        <v>45051.468749996769</v>
      </c>
      <c r="F801" s="56">
        <v>0</v>
      </c>
      <c r="G801" s="48"/>
      <c r="H801" s="48"/>
      <c r="I801" s="48"/>
      <c r="J801" s="48"/>
      <c r="L801" s="65"/>
    </row>
    <row r="802" spans="5:12">
      <c r="E802" s="49">
        <v>45051.472222218988</v>
      </c>
      <c r="F802" s="56">
        <v>0</v>
      </c>
      <c r="G802" s="48"/>
      <c r="H802" s="48"/>
      <c r="I802" s="48"/>
      <c r="J802" s="48"/>
      <c r="L802" s="65"/>
    </row>
    <row r="803" spans="5:12">
      <c r="E803" s="49">
        <v>45051.475694441207</v>
      </c>
      <c r="F803" s="56">
        <v>0</v>
      </c>
      <c r="G803" s="48"/>
      <c r="H803" s="48"/>
      <c r="I803" s="48"/>
      <c r="J803" s="48"/>
      <c r="L803" s="65"/>
    </row>
    <row r="804" spans="5:12">
      <c r="E804" s="49">
        <v>45051.479166663426</v>
      </c>
      <c r="F804" s="56">
        <v>0</v>
      </c>
      <c r="G804" s="48"/>
      <c r="H804" s="48"/>
      <c r="I804" s="48"/>
      <c r="J804" s="48"/>
      <c r="L804" s="65"/>
    </row>
    <row r="805" spans="5:12">
      <c r="E805" s="49">
        <v>45051.482638885645</v>
      </c>
      <c r="F805" s="56">
        <v>0</v>
      </c>
      <c r="G805" s="48"/>
      <c r="H805" s="48"/>
      <c r="I805" s="48"/>
      <c r="J805" s="48"/>
      <c r="L805" s="65"/>
    </row>
    <row r="806" spans="5:12">
      <c r="E806" s="49">
        <v>45051.486111107864</v>
      </c>
      <c r="F806" s="56">
        <v>0</v>
      </c>
      <c r="G806" s="48"/>
      <c r="H806" s="48"/>
      <c r="I806" s="48"/>
      <c r="J806" s="48"/>
      <c r="L806" s="65"/>
    </row>
    <row r="807" spans="5:12">
      <c r="E807" s="49">
        <v>45051.489583330083</v>
      </c>
      <c r="F807" s="56">
        <v>0</v>
      </c>
      <c r="G807" s="48"/>
      <c r="H807" s="48"/>
      <c r="I807" s="48"/>
      <c r="J807" s="48"/>
      <c r="L807" s="65"/>
    </row>
    <row r="808" spans="5:12">
      <c r="E808" s="49">
        <v>45051.493055552302</v>
      </c>
      <c r="F808" s="56">
        <v>0</v>
      </c>
      <c r="G808" s="48"/>
      <c r="H808" s="48"/>
      <c r="I808" s="48"/>
      <c r="J808" s="48"/>
      <c r="L808" s="65"/>
    </row>
    <row r="809" spans="5:12">
      <c r="E809" s="49">
        <v>45051.496527774521</v>
      </c>
      <c r="F809" s="56">
        <v>0</v>
      </c>
      <c r="G809" s="48"/>
      <c r="H809" s="48"/>
      <c r="I809" s="48"/>
      <c r="J809" s="48"/>
      <c r="L809" s="65"/>
    </row>
    <row r="810" spans="5:12">
      <c r="E810" s="49">
        <v>45051.49999999674</v>
      </c>
      <c r="F810" s="56">
        <v>0</v>
      </c>
      <c r="G810" s="48"/>
      <c r="H810" s="48"/>
      <c r="I810" s="48"/>
      <c r="J810" s="48"/>
      <c r="L810" s="65"/>
    </row>
    <row r="811" spans="5:12">
      <c r="E811" s="49">
        <v>45051.503472218959</v>
      </c>
      <c r="F811" s="56">
        <v>0</v>
      </c>
      <c r="G811" s="48"/>
      <c r="H811" s="48"/>
      <c r="I811" s="48"/>
      <c r="J811" s="48"/>
      <c r="L811" s="65"/>
    </row>
    <row r="812" spans="5:12">
      <c r="E812" s="49">
        <v>45051.506944441178</v>
      </c>
      <c r="F812" s="56">
        <v>0</v>
      </c>
      <c r="G812" s="48"/>
      <c r="H812" s="48"/>
      <c r="I812" s="48"/>
      <c r="J812" s="48"/>
      <c r="L812" s="65"/>
    </row>
    <row r="813" spans="5:12">
      <c r="E813" s="49">
        <v>45051.510416663397</v>
      </c>
      <c r="F813" s="56">
        <v>0</v>
      </c>
      <c r="G813" s="48"/>
      <c r="H813" s="48"/>
      <c r="I813" s="48"/>
      <c r="J813" s="48"/>
      <c r="L813" s="65"/>
    </row>
    <row r="814" spans="5:12">
      <c r="E814" s="49">
        <v>45051.513888885616</v>
      </c>
      <c r="F814" s="56">
        <v>0</v>
      </c>
      <c r="G814" s="48"/>
      <c r="H814" s="48"/>
      <c r="I814" s="48"/>
      <c r="J814" s="48"/>
      <c r="L814" s="65"/>
    </row>
    <row r="815" spans="5:12">
      <c r="E815" s="49">
        <v>45051.517361107835</v>
      </c>
      <c r="F815" s="56">
        <v>0</v>
      </c>
      <c r="G815" s="48"/>
      <c r="H815" s="48"/>
      <c r="I815" s="48"/>
      <c r="J815" s="48"/>
      <c r="L815" s="65"/>
    </row>
    <row r="816" spans="5:12">
      <c r="E816" s="49">
        <v>45051.520833330054</v>
      </c>
      <c r="F816" s="56">
        <v>0</v>
      </c>
      <c r="G816" s="48"/>
      <c r="H816" s="48"/>
      <c r="I816" s="48"/>
      <c r="J816" s="48"/>
      <c r="L816" s="65"/>
    </row>
    <row r="817" spans="5:12">
      <c r="E817" s="49">
        <v>45051.524305552273</v>
      </c>
      <c r="F817" s="56">
        <v>0</v>
      </c>
      <c r="G817" s="48"/>
      <c r="H817" s="48"/>
      <c r="I817" s="48"/>
      <c r="J817" s="48"/>
      <c r="L817" s="65"/>
    </row>
    <row r="818" spans="5:12">
      <c r="E818" s="49">
        <v>45051.527777774492</v>
      </c>
      <c r="F818" s="56">
        <v>0</v>
      </c>
      <c r="G818" s="48"/>
      <c r="H818" s="48"/>
      <c r="I818" s="48"/>
      <c r="J818" s="48"/>
      <c r="L818" s="65"/>
    </row>
    <row r="819" spans="5:12">
      <c r="E819" s="49">
        <v>45051.531249996711</v>
      </c>
      <c r="F819" s="56">
        <v>0</v>
      </c>
      <c r="G819" s="48"/>
      <c r="H819" s="48"/>
      <c r="I819" s="48"/>
      <c r="J819" s="48"/>
      <c r="L819" s="65"/>
    </row>
    <row r="820" spans="5:12">
      <c r="E820" s="49">
        <v>45051.53472221893</v>
      </c>
      <c r="F820" s="56">
        <v>0</v>
      </c>
      <c r="G820" s="48"/>
      <c r="H820" s="48"/>
      <c r="I820" s="48"/>
      <c r="J820" s="48"/>
      <c r="L820" s="65"/>
    </row>
    <row r="821" spans="5:12">
      <c r="E821" s="49">
        <v>45051.538194441149</v>
      </c>
      <c r="F821" s="56">
        <v>0</v>
      </c>
      <c r="G821" s="48"/>
      <c r="H821" s="48"/>
      <c r="I821" s="48"/>
      <c r="J821" s="48"/>
      <c r="L821" s="65"/>
    </row>
    <row r="822" spans="5:12">
      <c r="E822" s="49">
        <v>45051.541666663368</v>
      </c>
      <c r="F822" s="56">
        <v>0</v>
      </c>
      <c r="G822" s="48"/>
      <c r="H822" s="48"/>
      <c r="I822" s="48"/>
      <c r="J822" s="48"/>
      <c r="L822" s="65"/>
    </row>
    <row r="823" spans="5:12">
      <c r="E823" s="49">
        <v>45051.545138885587</v>
      </c>
      <c r="F823" s="56">
        <v>0</v>
      </c>
      <c r="G823" s="48"/>
      <c r="H823" s="48"/>
      <c r="I823" s="48"/>
      <c r="J823" s="48"/>
      <c r="L823" s="65"/>
    </row>
    <row r="824" spans="5:12">
      <c r="E824" s="49">
        <v>45051.548611107806</v>
      </c>
      <c r="F824" s="56">
        <v>0</v>
      </c>
      <c r="G824" s="48"/>
      <c r="H824" s="48"/>
      <c r="I824" s="48"/>
      <c r="J824" s="48"/>
      <c r="L824" s="65"/>
    </row>
    <row r="825" spans="5:12">
      <c r="E825" s="49">
        <v>45051.552083330025</v>
      </c>
      <c r="F825" s="56">
        <v>0</v>
      </c>
      <c r="G825" s="48"/>
      <c r="H825" s="48"/>
      <c r="I825" s="48"/>
      <c r="J825" s="48"/>
      <c r="L825" s="65"/>
    </row>
    <row r="826" spans="5:12">
      <c r="E826" s="49">
        <v>45051.555555552244</v>
      </c>
      <c r="F826" s="56">
        <v>0</v>
      </c>
      <c r="G826" s="48"/>
      <c r="H826" s="48"/>
      <c r="I826" s="48"/>
      <c r="J826" s="48"/>
      <c r="L826" s="65"/>
    </row>
    <row r="827" spans="5:12">
      <c r="E827" s="49">
        <v>45051.559027774463</v>
      </c>
      <c r="F827" s="56">
        <v>0</v>
      </c>
      <c r="G827" s="48"/>
      <c r="H827" s="48"/>
      <c r="I827" s="48"/>
      <c r="J827" s="48"/>
      <c r="L827" s="65"/>
    </row>
    <row r="828" spans="5:12">
      <c r="E828" s="49">
        <v>45051.562499996682</v>
      </c>
      <c r="F828" s="56">
        <v>0</v>
      </c>
      <c r="G828" s="48"/>
      <c r="H828" s="48"/>
      <c r="I828" s="48"/>
      <c r="J828" s="48"/>
      <c r="L828" s="65"/>
    </row>
    <row r="829" spans="5:12">
      <c r="E829" s="49">
        <v>45051.565972218901</v>
      </c>
      <c r="F829" s="56">
        <v>0</v>
      </c>
      <c r="G829" s="48"/>
      <c r="H829" s="48"/>
      <c r="I829" s="48"/>
      <c r="J829" s="48"/>
      <c r="L829" s="65"/>
    </row>
    <row r="830" spans="5:12">
      <c r="E830" s="49">
        <v>45051.56944444112</v>
      </c>
      <c r="F830" s="56">
        <v>0</v>
      </c>
      <c r="G830" s="48"/>
      <c r="H830" s="48"/>
      <c r="I830" s="48"/>
      <c r="J830" s="48"/>
      <c r="L830" s="65"/>
    </row>
    <row r="831" spans="5:12">
      <c r="E831" s="49">
        <v>45051.572916663339</v>
      </c>
      <c r="F831" s="56">
        <v>0</v>
      </c>
      <c r="G831" s="48"/>
      <c r="H831" s="48"/>
      <c r="I831" s="48"/>
      <c r="J831" s="48"/>
      <c r="L831" s="65"/>
    </row>
    <row r="832" spans="5:12">
      <c r="E832" s="49">
        <v>45051.576388885558</v>
      </c>
      <c r="F832" s="56">
        <v>0</v>
      </c>
      <c r="G832" s="48"/>
      <c r="H832" s="48"/>
      <c r="I832" s="48"/>
      <c r="J832" s="48"/>
      <c r="L832" s="65"/>
    </row>
    <row r="833" spans="5:12">
      <c r="E833" s="49">
        <v>45051.579861107777</v>
      </c>
      <c r="F833" s="56">
        <v>0</v>
      </c>
      <c r="G833" s="48"/>
      <c r="H833" s="48"/>
      <c r="I833" s="48"/>
      <c r="J833" s="48"/>
      <c r="L833" s="65"/>
    </row>
    <row r="834" spans="5:12">
      <c r="E834" s="49">
        <v>45051.583333329996</v>
      </c>
      <c r="F834" s="56">
        <v>0</v>
      </c>
      <c r="G834" s="48"/>
      <c r="H834" s="48"/>
      <c r="I834" s="48"/>
      <c r="J834" s="48"/>
      <c r="L834" s="65"/>
    </row>
    <row r="835" spans="5:12">
      <c r="E835" s="49">
        <v>45051.586805552215</v>
      </c>
      <c r="F835" s="56">
        <v>0</v>
      </c>
      <c r="G835" s="48"/>
      <c r="H835" s="48"/>
      <c r="I835" s="48"/>
      <c r="J835" s="48"/>
      <c r="L835" s="65"/>
    </row>
    <row r="836" spans="5:12">
      <c r="E836" s="49">
        <v>45051.590277774434</v>
      </c>
      <c r="F836" s="56">
        <v>0</v>
      </c>
      <c r="G836" s="48"/>
      <c r="H836" s="48"/>
      <c r="I836" s="48"/>
      <c r="J836" s="48"/>
      <c r="L836" s="65"/>
    </row>
    <row r="837" spans="5:12">
      <c r="E837" s="49">
        <v>45051.593749996653</v>
      </c>
      <c r="F837" s="56">
        <v>0</v>
      </c>
      <c r="G837" s="48"/>
      <c r="H837" s="48"/>
      <c r="I837" s="48"/>
      <c r="J837" s="48"/>
      <c r="L837" s="65"/>
    </row>
    <row r="838" spans="5:12">
      <c r="E838" s="49">
        <v>45051.597222218872</v>
      </c>
      <c r="F838" s="56">
        <v>0</v>
      </c>
      <c r="G838" s="48"/>
      <c r="H838" s="48"/>
      <c r="I838" s="48"/>
      <c r="J838" s="48"/>
      <c r="L838" s="65"/>
    </row>
    <row r="839" spans="5:12">
      <c r="E839" s="49">
        <v>45051.600694441091</v>
      </c>
      <c r="F839" s="56">
        <v>0</v>
      </c>
      <c r="G839" s="48"/>
      <c r="H839" s="48"/>
      <c r="I839" s="48"/>
      <c r="J839" s="48"/>
      <c r="L839" s="65"/>
    </row>
    <row r="840" spans="5:12">
      <c r="E840" s="49">
        <v>45051.60416666331</v>
      </c>
      <c r="F840" s="56">
        <v>0</v>
      </c>
      <c r="G840" s="48"/>
      <c r="H840" s="48"/>
      <c r="I840" s="48"/>
      <c r="J840" s="48"/>
      <c r="L840" s="65"/>
    </row>
    <row r="841" spans="5:12">
      <c r="E841" s="49">
        <v>45051.607638885529</v>
      </c>
      <c r="F841" s="56">
        <v>0</v>
      </c>
      <c r="G841" s="48"/>
      <c r="H841" s="48"/>
      <c r="I841" s="48"/>
      <c r="J841" s="48"/>
      <c r="L841" s="65"/>
    </row>
    <row r="842" spans="5:12">
      <c r="E842" s="49">
        <v>45051.611111107748</v>
      </c>
      <c r="F842" s="56">
        <v>0</v>
      </c>
      <c r="G842" s="48"/>
      <c r="H842" s="48"/>
      <c r="I842" s="48"/>
      <c r="J842" s="48"/>
      <c r="L842" s="65"/>
    </row>
    <row r="843" spans="5:12">
      <c r="E843" s="49">
        <v>45051.614583329967</v>
      </c>
      <c r="F843" s="56">
        <v>0</v>
      </c>
      <c r="G843" s="48"/>
      <c r="H843" s="48"/>
      <c r="I843" s="48"/>
      <c r="J843" s="48"/>
      <c r="L843" s="65"/>
    </row>
    <row r="844" spans="5:12">
      <c r="E844" s="49">
        <v>45051.618055552186</v>
      </c>
      <c r="F844" s="56">
        <v>0</v>
      </c>
      <c r="G844" s="48"/>
      <c r="H844" s="48"/>
      <c r="I844" s="48"/>
      <c r="J844" s="48"/>
      <c r="L844" s="65"/>
    </row>
    <row r="845" spans="5:12">
      <c r="E845" s="49">
        <v>45051.621527774405</v>
      </c>
      <c r="F845" s="56">
        <v>0</v>
      </c>
      <c r="G845" s="48"/>
      <c r="H845" s="48"/>
      <c r="I845" s="48"/>
      <c r="J845" s="48"/>
      <c r="L845" s="65"/>
    </row>
    <row r="846" spans="5:12">
      <c r="E846" s="49">
        <v>45051.624999996624</v>
      </c>
      <c r="F846" s="56">
        <v>0</v>
      </c>
      <c r="G846" s="48"/>
      <c r="H846" s="48"/>
      <c r="I846" s="48"/>
      <c r="J846" s="48"/>
      <c r="L846" s="65"/>
    </row>
    <row r="847" spans="5:12">
      <c r="E847" s="49">
        <v>45051.628472218843</v>
      </c>
      <c r="F847" s="56">
        <v>0</v>
      </c>
      <c r="G847" s="48"/>
      <c r="H847" s="48"/>
      <c r="I847" s="48"/>
      <c r="J847" s="48"/>
      <c r="L847" s="65"/>
    </row>
    <row r="848" spans="5:12">
      <c r="E848" s="49">
        <v>45051.631944441062</v>
      </c>
      <c r="F848" s="56">
        <v>0</v>
      </c>
      <c r="G848" s="48"/>
      <c r="H848" s="48"/>
      <c r="I848" s="48"/>
      <c r="J848" s="48"/>
      <c r="L848" s="65"/>
    </row>
    <row r="849" spans="5:12">
      <c r="E849" s="49">
        <v>45051.635416663281</v>
      </c>
      <c r="F849" s="56">
        <v>0</v>
      </c>
      <c r="G849" s="48"/>
      <c r="H849" s="48"/>
      <c r="I849" s="48"/>
      <c r="J849" s="48"/>
      <c r="L849" s="65"/>
    </row>
    <row r="850" spans="5:12">
      <c r="E850" s="49">
        <v>45051.6388888855</v>
      </c>
      <c r="F850" s="56">
        <v>0</v>
      </c>
      <c r="G850" s="48"/>
      <c r="H850" s="48"/>
      <c r="I850" s="48"/>
      <c r="J850" s="48"/>
      <c r="L850" s="65"/>
    </row>
    <row r="851" spans="5:12">
      <c r="E851" s="49">
        <v>45051.642361107719</v>
      </c>
      <c r="F851" s="56">
        <v>0</v>
      </c>
      <c r="G851" s="48"/>
      <c r="H851" s="48"/>
      <c r="I851" s="48"/>
      <c r="J851" s="48"/>
      <c r="L851" s="65"/>
    </row>
    <row r="852" spans="5:12">
      <c r="E852" s="49">
        <v>45051.645833329938</v>
      </c>
      <c r="F852" s="56">
        <v>0</v>
      </c>
      <c r="G852" s="48"/>
      <c r="H852" s="48"/>
      <c r="I852" s="48"/>
      <c r="J852" s="48"/>
      <c r="L852" s="65"/>
    </row>
    <row r="853" spans="5:12">
      <c r="E853" s="49">
        <v>45051.649305552157</v>
      </c>
      <c r="F853" s="56">
        <v>0</v>
      </c>
      <c r="G853" s="48"/>
      <c r="H853" s="48"/>
      <c r="I853" s="48"/>
      <c r="J853" s="48"/>
      <c r="L853" s="65"/>
    </row>
    <row r="854" spans="5:12">
      <c r="E854" s="49">
        <v>45051.652777774376</v>
      </c>
      <c r="F854" s="56">
        <v>0</v>
      </c>
      <c r="G854" s="48"/>
      <c r="H854" s="48"/>
      <c r="I854" s="48"/>
      <c r="J854" s="48"/>
      <c r="L854" s="65"/>
    </row>
    <row r="855" spans="5:12">
      <c r="E855" s="49">
        <v>45051.656249996595</v>
      </c>
      <c r="F855" s="56">
        <v>0</v>
      </c>
      <c r="G855" s="48"/>
      <c r="H855" s="48"/>
      <c r="I855" s="48"/>
      <c r="J855" s="48"/>
      <c r="L855" s="65"/>
    </row>
    <row r="856" spans="5:12">
      <c r="E856" s="49">
        <v>45051.659722218814</v>
      </c>
      <c r="F856" s="56">
        <v>0</v>
      </c>
      <c r="G856" s="48"/>
      <c r="H856" s="48"/>
      <c r="I856" s="48"/>
      <c r="J856" s="48"/>
      <c r="L856" s="65"/>
    </row>
    <row r="857" spans="5:12">
      <c r="E857" s="49">
        <v>45051.663194441033</v>
      </c>
      <c r="F857" s="56">
        <v>0</v>
      </c>
      <c r="G857" s="48"/>
      <c r="H857" s="48"/>
      <c r="I857" s="48"/>
      <c r="J857" s="48"/>
      <c r="L857" s="65"/>
    </row>
    <row r="858" spans="5:12">
      <c r="E858" s="49">
        <v>45051.666666663252</v>
      </c>
      <c r="F858" s="56">
        <v>0</v>
      </c>
      <c r="G858" s="48"/>
      <c r="H858" s="48"/>
      <c r="I858" s="48"/>
      <c r="J858" s="48"/>
      <c r="L858" s="65"/>
    </row>
    <row r="859" spans="5:12">
      <c r="E859" s="49">
        <v>45051.670138885471</v>
      </c>
      <c r="F859" s="56">
        <v>0</v>
      </c>
      <c r="G859" s="48"/>
      <c r="H859" s="48"/>
      <c r="I859" s="48"/>
      <c r="J859" s="48"/>
      <c r="L859" s="65"/>
    </row>
    <row r="860" spans="5:12">
      <c r="E860" s="49">
        <v>45051.67361110769</v>
      </c>
      <c r="F860" s="56">
        <v>0</v>
      </c>
      <c r="G860" s="48"/>
      <c r="H860" s="48"/>
      <c r="I860" s="48"/>
      <c r="J860" s="48"/>
      <c r="L860" s="65"/>
    </row>
    <row r="861" spans="5:12">
      <c r="E861" s="49">
        <v>45051.677083329909</v>
      </c>
      <c r="F861" s="56">
        <v>0</v>
      </c>
      <c r="G861" s="48"/>
      <c r="H861" s="48"/>
      <c r="I861" s="48"/>
      <c r="J861" s="48"/>
      <c r="L861" s="65"/>
    </row>
    <row r="862" spans="5:12">
      <c r="E862" s="49">
        <v>45051.680555552128</v>
      </c>
      <c r="F862" s="56">
        <v>0</v>
      </c>
      <c r="G862" s="48"/>
      <c r="H862" s="48"/>
      <c r="I862" s="48"/>
      <c r="J862" s="48"/>
      <c r="L862" s="65"/>
    </row>
    <row r="863" spans="5:12">
      <c r="E863" s="49">
        <v>45051.684027774347</v>
      </c>
      <c r="F863" s="56">
        <v>0</v>
      </c>
      <c r="G863" s="48"/>
      <c r="H863" s="48"/>
      <c r="I863" s="48"/>
      <c r="J863" s="48"/>
      <c r="L863" s="65"/>
    </row>
    <row r="864" spans="5:12">
      <c r="E864" s="49">
        <v>45051.687499996566</v>
      </c>
      <c r="F864" s="56">
        <v>0</v>
      </c>
      <c r="G864" s="48"/>
      <c r="H864" s="48"/>
      <c r="I864" s="48"/>
      <c r="J864" s="48"/>
      <c r="L864" s="65"/>
    </row>
    <row r="865" spans="5:12">
      <c r="E865" s="49">
        <v>45051.690972218785</v>
      </c>
      <c r="F865" s="56">
        <v>0</v>
      </c>
      <c r="G865" s="48"/>
      <c r="H865" s="48"/>
      <c r="I865" s="48"/>
      <c r="J865" s="48"/>
      <c r="L865" s="65"/>
    </row>
    <row r="866" spans="5:12">
      <c r="E866" s="49">
        <v>45051.694444441004</v>
      </c>
      <c r="F866" s="56">
        <v>0</v>
      </c>
      <c r="G866" s="48"/>
      <c r="H866" s="48"/>
      <c r="I866" s="48"/>
      <c r="J866" s="48"/>
      <c r="L866" s="65"/>
    </row>
    <row r="867" spans="5:12">
      <c r="E867" s="49">
        <v>45051.697916663223</v>
      </c>
      <c r="F867" s="56">
        <v>0</v>
      </c>
      <c r="G867" s="48"/>
      <c r="H867" s="48"/>
      <c r="I867" s="48"/>
      <c r="J867" s="48"/>
      <c r="L867" s="65"/>
    </row>
    <row r="868" spans="5:12">
      <c r="E868" s="49">
        <v>45051.701388885442</v>
      </c>
      <c r="F868" s="56">
        <v>0</v>
      </c>
      <c r="G868" s="48"/>
      <c r="H868" s="48"/>
      <c r="I868" s="48"/>
      <c r="J868" s="48"/>
      <c r="L868" s="65"/>
    </row>
    <row r="869" spans="5:12">
      <c r="E869" s="49">
        <v>45051.704861107661</v>
      </c>
      <c r="F869" s="56">
        <v>0</v>
      </c>
      <c r="G869" s="48"/>
      <c r="H869" s="48"/>
      <c r="I869" s="48"/>
      <c r="J869" s="48"/>
      <c r="L869" s="65"/>
    </row>
    <row r="870" spans="5:12">
      <c r="E870" s="49">
        <v>45051.70833332988</v>
      </c>
      <c r="F870" s="56">
        <v>0</v>
      </c>
      <c r="G870" s="48"/>
      <c r="H870" s="48"/>
      <c r="I870" s="48"/>
      <c r="J870" s="48"/>
      <c r="L870" s="65"/>
    </row>
    <row r="871" spans="5:12">
      <c r="E871" s="49">
        <v>45051.711805552099</v>
      </c>
      <c r="F871" s="56">
        <v>0</v>
      </c>
      <c r="G871" s="48"/>
      <c r="H871" s="48"/>
      <c r="I871" s="48"/>
      <c r="J871" s="48"/>
      <c r="L871" s="65"/>
    </row>
    <row r="872" spans="5:12">
      <c r="E872" s="49">
        <v>45051.715277774318</v>
      </c>
      <c r="F872" s="56">
        <v>0</v>
      </c>
      <c r="G872" s="48"/>
      <c r="H872" s="48"/>
      <c r="I872" s="48"/>
      <c r="J872" s="48"/>
      <c r="L872" s="65"/>
    </row>
    <row r="873" spans="5:12">
      <c r="E873" s="49">
        <v>45051.718749996537</v>
      </c>
      <c r="F873" s="56">
        <v>0</v>
      </c>
      <c r="G873" s="48"/>
      <c r="H873" s="48"/>
      <c r="I873" s="48"/>
      <c r="J873" s="48"/>
      <c r="L873" s="65"/>
    </row>
    <row r="874" spans="5:12">
      <c r="E874" s="49">
        <v>45051.722222218756</v>
      </c>
      <c r="F874" s="56">
        <v>0</v>
      </c>
      <c r="G874" s="48"/>
      <c r="H874" s="48"/>
      <c r="I874" s="48"/>
      <c r="J874" s="48"/>
      <c r="L874" s="65"/>
    </row>
    <row r="875" spans="5:12">
      <c r="E875" s="49">
        <v>45051.725694440975</v>
      </c>
      <c r="F875" s="56">
        <v>0</v>
      </c>
      <c r="G875" s="48"/>
      <c r="H875" s="48"/>
      <c r="I875" s="48"/>
      <c r="J875" s="48"/>
      <c r="L875" s="65"/>
    </row>
    <row r="876" spans="5:12">
      <c r="E876" s="49">
        <v>45051.729166663194</v>
      </c>
      <c r="F876" s="56">
        <v>0</v>
      </c>
      <c r="G876" s="48"/>
      <c r="H876" s="48"/>
      <c r="I876" s="48"/>
      <c r="J876" s="48"/>
      <c r="L876" s="65"/>
    </row>
    <row r="877" spans="5:12">
      <c r="E877" s="49">
        <v>45051.732638885413</v>
      </c>
      <c r="F877" s="56">
        <v>0</v>
      </c>
      <c r="G877" s="48"/>
      <c r="H877" s="48"/>
      <c r="I877" s="48"/>
      <c r="J877" s="48"/>
      <c r="L877" s="65"/>
    </row>
    <row r="878" spans="5:12">
      <c r="E878" s="49">
        <v>45051.736111107632</v>
      </c>
      <c r="F878" s="56">
        <v>0</v>
      </c>
      <c r="G878" s="48"/>
      <c r="H878" s="48"/>
      <c r="I878" s="48"/>
      <c r="J878" s="48"/>
      <c r="L878" s="65"/>
    </row>
    <row r="879" spans="5:12">
      <c r="E879" s="49">
        <v>45051.739583329851</v>
      </c>
      <c r="F879" s="56">
        <v>0</v>
      </c>
      <c r="G879" s="48"/>
      <c r="H879" s="48"/>
      <c r="I879" s="48"/>
      <c r="J879" s="48"/>
      <c r="L879" s="65"/>
    </row>
    <row r="880" spans="5:12">
      <c r="E880" s="49">
        <v>45051.74305555207</v>
      </c>
      <c r="F880" s="56">
        <v>0</v>
      </c>
      <c r="G880" s="48"/>
      <c r="H880" s="48"/>
      <c r="I880" s="48"/>
      <c r="J880" s="48"/>
      <c r="L880" s="65"/>
    </row>
    <row r="881" spans="5:12">
      <c r="E881" s="49">
        <v>45051.746527774289</v>
      </c>
      <c r="F881" s="56">
        <v>0</v>
      </c>
      <c r="G881" s="48"/>
      <c r="H881" s="48"/>
      <c r="I881" s="48"/>
      <c r="J881" s="48"/>
      <c r="L881" s="65"/>
    </row>
    <row r="882" spans="5:12">
      <c r="E882" s="49">
        <v>45051.749999996508</v>
      </c>
      <c r="F882" s="56">
        <v>0</v>
      </c>
      <c r="G882" s="48"/>
      <c r="H882" s="48"/>
      <c r="I882" s="48"/>
      <c r="J882" s="48"/>
      <c r="L882" s="65"/>
    </row>
    <row r="883" spans="5:12">
      <c r="E883" s="49">
        <v>45051.753472218727</v>
      </c>
      <c r="F883" s="56">
        <v>0</v>
      </c>
      <c r="G883" s="48"/>
      <c r="H883" s="48"/>
      <c r="I883" s="48"/>
      <c r="J883" s="48"/>
      <c r="L883" s="65"/>
    </row>
    <row r="884" spans="5:12">
      <c r="E884" s="49">
        <v>45051.756944440946</v>
      </c>
      <c r="F884" s="56">
        <v>0</v>
      </c>
      <c r="G884" s="48"/>
      <c r="H884" s="48"/>
      <c r="I884" s="48"/>
      <c r="J884" s="48"/>
      <c r="L884" s="65"/>
    </row>
    <row r="885" spans="5:12">
      <c r="E885" s="49">
        <v>45051.760416663165</v>
      </c>
      <c r="F885" s="56">
        <v>0</v>
      </c>
      <c r="G885" s="48"/>
      <c r="H885" s="48"/>
      <c r="I885" s="48"/>
      <c r="J885" s="48"/>
      <c r="L885" s="65"/>
    </row>
    <row r="886" spans="5:12">
      <c r="E886" s="49">
        <v>45051.763888885383</v>
      </c>
      <c r="F886" s="56">
        <v>0</v>
      </c>
      <c r="G886" s="48"/>
      <c r="H886" s="48"/>
      <c r="I886" s="48"/>
      <c r="J886" s="48"/>
      <c r="L886" s="65"/>
    </row>
    <row r="887" spans="5:12">
      <c r="E887" s="49">
        <v>45051.767361107602</v>
      </c>
      <c r="F887" s="56">
        <v>0</v>
      </c>
      <c r="G887" s="48"/>
      <c r="H887" s="48"/>
      <c r="I887" s="48"/>
      <c r="J887" s="48"/>
      <c r="L887" s="65"/>
    </row>
    <row r="888" spans="5:12">
      <c r="E888" s="49">
        <v>45051.770833329821</v>
      </c>
      <c r="F888" s="56">
        <v>0</v>
      </c>
      <c r="G888" s="48"/>
      <c r="H888" s="48"/>
      <c r="I888" s="48"/>
      <c r="J888" s="48"/>
      <c r="L888" s="65"/>
    </row>
    <row r="889" spans="5:12">
      <c r="E889" s="49">
        <v>45051.77430555204</v>
      </c>
      <c r="F889" s="56">
        <v>0</v>
      </c>
      <c r="G889" s="48"/>
      <c r="H889" s="48"/>
      <c r="I889" s="48"/>
      <c r="J889" s="48"/>
      <c r="L889" s="65"/>
    </row>
    <row r="890" spans="5:12">
      <c r="E890" s="49">
        <v>45051.777777774259</v>
      </c>
      <c r="F890" s="56">
        <v>0</v>
      </c>
      <c r="G890" s="48"/>
      <c r="H890" s="48"/>
      <c r="I890" s="48"/>
      <c r="J890" s="48"/>
      <c r="L890" s="65"/>
    </row>
    <row r="891" spans="5:12">
      <c r="E891" s="49">
        <v>45051.781249996478</v>
      </c>
      <c r="F891" s="56">
        <v>0</v>
      </c>
      <c r="G891" s="48"/>
      <c r="H891" s="48"/>
      <c r="I891" s="48"/>
      <c r="J891" s="48"/>
      <c r="L891" s="65"/>
    </row>
    <row r="892" spans="5:12">
      <c r="E892" s="49">
        <v>45051.784722218697</v>
      </c>
      <c r="F892" s="56">
        <v>0</v>
      </c>
      <c r="G892" s="48"/>
      <c r="H892" s="48"/>
      <c r="I892" s="48"/>
      <c r="J892" s="48"/>
      <c r="L892" s="65"/>
    </row>
    <row r="893" spans="5:12">
      <c r="E893" s="49">
        <v>45051.788194440916</v>
      </c>
      <c r="F893" s="56">
        <v>0</v>
      </c>
      <c r="G893" s="48"/>
      <c r="H893" s="48"/>
      <c r="I893" s="48"/>
      <c r="J893" s="48"/>
      <c r="L893" s="65"/>
    </row>
    <row r="894" spans="5:12">
      <c r="E894" s="49">
        <v>45051.791666663135</v>
      </c>
      <c r="F894" s="56">
        <v>0</v>
      </c>
      <c r="G894" s="48"/>
      <c r="H894" s="48"/>
      <c r="I894" s="48"/>
      <c r="J894" s="48"/>
      <c r="L894" s="65"/>
    </row>
    <row r="895" spans="5:12">
      <c r="E895" s="49">
        <v>45051.795138885354</v>
      </c>
      <c r="F895" s="56">
        <v>0</v>
      </c>
      <c r="G895" s="48"/>
      <c r="H895" s="48"/>
      <c r="I895" s="48"/>
      <c r="J895" s="48"/>
      <c r="L895" s="65"/>
    </row>
    <row r="896" spans="5:12">
      <c r="E896" s="49">
        <v>45051.798611107573</v>
      </c>
      <c r="F896" s="56">
        <v>0</v>
      </c>
      <c r="G896" s="48"/>
      <c r="H896" s="48"/>
      <c r="I896" s="48"/>
      <c r="J896" s="48"/>
      <c r="L896" s="65"/>
    </row>
    <row r="897" spans="5:12">
      <c r="E897" s="49">
        <v>45051.802083329792</v>
      </c>
      <c r="F897" s="56">
        <v>0</v>
      </c>
      <c r="G897" s="48"/>
      <c r="H897" s="48"/>
      <c r="I897" s="48"/>
      <c r="J897" s="48"/>
      <c r="L897" s="65"/>
    </row>
    <row r="898" spans="5:12">
      <c r="E898" s="49">
        <v>45051.805555552011</v>
      </c>
      <c r="F898" s="56">
        <v>0</v>
      </c>
      <c r="G898" s="48"/>
      <c r="H898" s="48"/>
      <c r="I898" s="48"/>
      <c r="J898" s="48"/>
      <c r="L898" s="65"/>
    </row>
    <row r="899" spans="5:12">
      <c r="E899" s="49">
        <v>45051.80902777423</v>
      </c>
      <c r="F899" s="56">
        <v>0</v>
      </c>
      <c r="G899" s="48"/>
      <c r="H899" s="48"/>
      <c r="I899" s="48"/>
      <c r="J899" s="48"/>
      <c r="L899" s="65"/>
    </row>
    <row r="900" spans="5:12">
      <c r="E900" s="49">
        <v>45051.812499996449</v>
      </c>
      <c r="F900" s="56">
        <v>0</v>
      </c>
      <c r="G900" s="48"/>
      <c r="H900" s="48"/>
      <c r="I900" s="48"/>
      <c r="J900" s="48"/>
      <c r="L900" s="65"/>
    </row>
    <row r="901" spans="5:12">
      <c r="E901" s="49">
        <v>45051.815972218668</v>
      </c>
      <c r="F901" s="56">
        <v>0</v>
      </c>
      <c r="G901" s="48"/>
      <c r="H901" s="48"/>
      <c r="I901" s="48"/>
      <c r="J901" s="48"/>
      <c r="L901" s="65"/>
    </row>
    <row r="902" spans="5:12">
      <c r="E902" s="49">
        <v>45051.819444440887</v>
      </c>
      <c r="F902" s="56">
        <v>0</v>
      </c>
      <c r="G902" s="48"/>
      <c r="H902" s="48"/>
      <c r="I902" s="48"/>
      <c r="J902" s="48"/>
      <c r="L902" s="65"/>
    </row>
    <row r="903" spans="5:12">
      <c r="E903" s="49">
        <v>45051.822916663106</v>
      </c>
      <c r="F903" s="56">
        <v>0</v>
      </c>
      <c r="G903" s="48"/>
      <c r="H903" s="48"/>
      <c r="I903" s="48"/>
      <c r="J903" s="48"/>
      <c r="L903" s="65"/>
    </row>
    <row r="904" spans="5:12">
      <c r="E904" s="49">
        <v>45051.826388885325</v>
      </c>
      <c r="F904" s="56">
        <v>0</v>
      </c>
      <c r="G904" s="48"/>
      <c r="H904" s="48"/>
      <c r="I904" s="48"/>
      <c r="J904" s="48"/>
      <c r="L904" s="65"/>
    </row>
    <row r="905" spans="5:12">
      <c r="E905" s="49">
        <v>45051.829861107544</v>
      </c>
      <c r="F905" s="56">
        <v>0</v>
      </c>
      <c r="G905" s="48"/>
      <c r="H905" s="48"/>
      <c r="I905" s="48"/>
      <c r="J905" s="48"/>
      <c r="L905" s="65"/>
    </row>
    <row r="906" spans="5:12">
      <c r="E906" s="49">
        <v>45051.833333329763</v>
      </c>
      <c r="F906" s="56">
        <v>0</v>
      </c>
      <c r="G906" s="48"/>
      <c r="H906" s="48"/>
      <c r="I906" s="48"/>
      <c r="J906" s="48"/>
      <c r="L906" s="65"/>
    </row>
    <row r="907" spans="5:12">
      <c r="E907" s="49">
        <v>45051.836805551982</v>
      </c>
      <c r="F907" s="56">
        <v>0</v>
      </c>
      <c r="G907" s="48"/>
      <c r="H907" s="48"/>
      <c r="I907" s="48"/>
      <c r="J907" s="48"/>
      <c r="L907" s="65"/>
    </row>
    <row r="908" spans="5:12">
      <c r="E908" s="49">
        <v>45051.840277774201</v>
      </c>
      <c r="F908" s="56">
        <v>0</v>
      </c>
      <c r="G908" s="48"/>
      <c r="H908" s="48"/>
      <c r="I908" s="48"/>
      <c r="J908" s="48"/>
      <c r="L908" s="65"/>
    </row>
    <row r="909" spans="5:12">
      <c r="E909" s="49">
        <v>45051.84374999642</v>
      </c>
      <c r="F909" s="56">
        <v>0</v>
      </c>
      <c r="G909" s="48"/>
      <c r="H909" s="48"/>
      <c r="I909" s="48"/>
      <c r="J909" s="48"/>
      <c r="L909" s="65"/>
    </row>
    <row r="910" spans="5:12">
      <c r="E910" s="49">
        <v>45051.847222218639</v>
      </c>
      <c r="F910" s="56">
        <v>0</v>
      </c>
      <c r="G910" s="48"/>
      <c r="H910" s="48"/>
      <c r="I910" s="48"/>
      <c r="J910" s="48"/>
      <c r="L910" s="65"/>
    </row>
    <row r="911" spans="5:12">
      <c r="E911" s="49">
        <v>45051.850694440858</v>
      </c>
      <c r="F911" s="56">
        <v>0</v>
      </c>
      <c r="G911" s="48"/>
      <c r="H911" s="48"/>
      <c r="I911" s="48"/>
      <c r="J911" s="48"/>
      <c r="L911" s="65"/>
    </row>
    <row r="912" spans="5:12">
      <c r="E912" s="49">
        <v>45051.854166663077</v>
      </c>
      <c r="F912" s="56">
        <v>0</v>
      </c>
      <c r="G912" s="48"/>
      <c r="H912" s="48"/>
      <c r="I912" s="48"/>
      <c r="J912" s="48"/>
      <c r="L912" s="65"/>
    </row>
    <row r="913" spans="5:12">
      <c r="E913" s="49">
        <v>45051.857638885296</v>
      </c>
      <c r="F913" s="56">
        <v>0</v>
      </c>
      <c r="G913" s="48"/>
      <c r="H913" s="48"/>
      <c r="I913" s="48"/>
      <c r="J913" s="48"/>
      <c r="L913" s="65"/>
    </row>
    <row r="914" spans="5:12">
      <c r="E914" s="49">
        <v>45051.861111107515</v>
      </c>
      <c r="F914" s="56">
        <v>0</v>
      </c>
      <c r="G914" s="48"/>
      <c r="H914" s="48"/>
      <c r="I914" s="48"/>
      <c r="J914" s="48"/>
      <c r="L914" s="65"/>
    </row>
    <row r="915" spans="5:12">
      <c r="E915" s="49">
        <v>45051.864583329734</v>
      </c>
      <c r="F915" s="56">
        <v>0</v>
      </c>
      <c r="G915" s="48"/>
      <c r="H915" s="48"/>
      <c r="I915" s="48"/>
      <c r="J915" s="48"/>
      <c r="L915" s="65"/>
    </row>
    <row r="916" spans="5:12">
      <c r="E916" s="49">
        <v>45051.868055551953</v>
      </c>
      <c r="F916" s="56">
        <v>0</v>
      </c>
      <c r="G916" s="48"/>
      <c r="H916" s="48"/>
      <c r="I916" s="48"/>
      <c r="J916" s="48"/>
      <c r="L916" s="65"/>
    </row>
    <row r="917" spans="5:12">
      <c r="E917" s="49">
        <v>45051.871527774172</v>
      </c>
      <c r="F917" s="56">
        <v>0</v>
      </c>
      <c r="G917" s="48"/>
      <c r="H917" s="48"/>
      <c r="I917" s="48"/>
      <c r="J917" s="48"/>
      <c r="L917" s="65"/>
    </row>
    <row r="918" spans="5:12">
      <c r="E918" s="49">
        <v>45051.874999996391</v>
      </c>
      <c r="F918" s="56">
        <v>0</v>
      </c>
      <c r="G918" s="48"/>
      <c r="H918" s="48"/>
      <c r="I918" s="48"/>
      <c r="J918" s="48"/>
      <c r="L918" s="65"/>
    </row>
    <row r="919" spans="5:12">
      <c r="E919" s="49">
        <v>45051.87847221861</v>
      </c>
      <c r="F919" s="56">
        <v>0</v>
      </c>
      <c r="G919" s="48"/>
      <c r="H919" s="48"/>
      <c r="I919" s="48"/>
      <c r="J919" s="48"/>
      <c r="L919" s="65"/>
    </row>
    <row r="920" spans="5:12">
      <c r="E920" s="49">
        <v>45051.881944440829</v>
      </c>
      <c r="F920" s="56">
        <v>0</v>
      </c>
      <c r="G920" s="48"/>
      <c r="H920" s="48"/>
      <c r="I920" s="48"/>
      <c r="J920" s="48"/>
      <c r="L920" s="65"/>
    </row>
    <row r="921" spans="5:12">
      <c r="E921" s="49">
        <v>45051.885416663048</v>
      </c>
      <c r="F921" s="56">
        <v>0</v>
      </c>
      <c r="G921" s="48"/>
      <c r="H921" s="48"/>
      <c r="I921" s="48"/>
      <c r="J921" s="48"/>
      <c r="L921" s="65"/>
    </row>
    <row r="922" spans="5:12">
      <c r="E922" s="49">
        <v>45051.888888885267</v>
      </c>
      <c r="F922" s="56">
        <v>0</v>
      </c>
      <c r="G922" s="48"/>
      <c r="H922" s="48"/>
      <c r="I922" s="48"/>
      <c r="J922" s="48"/>
      <c r="L922" s="65"/>
    </row>
    <row r="923" spans="5:12">
      <c r="E923" s="49">
        <v>45051.892361107486</v>
      </c>
      <c r="F923" s="56">
        <v>0</v>
      </c>
      <c r="G923" s="48"/>
      <c r="H923" s="48"/>
      <c r="I923" s="48"/>
      <c r="J923" s="48"/>
      <c r="L923" s="65"/>
    </row>
    <row r="924" spans="5:12">
      <c r="E924" s="49">
        <v>45051.895833329705</v>
      </c>
      <c r="F924" s="56">
        <v>0</v>
      </c>
      <c r="G924" s="48"/>
      <c r="H924" s="48"/>
      <c r="I924" s="48"/>
      <c r="J924" s="48"/>
      <c r="L924" s="65"/>
    </row>
    <row r="925" spans="5:12">
      <c r="E925" s="49">
        <v>45051.899305551924</v>
      </c>
      <c r="F925" s="56">
        <v>0</v>
      </c>
      <c r="G925" s="48"/>
      <c r="H925" s="48"/>
      <c r="I925" s="48"/>
      <c r="J925" s="48"/>
      <c r="L925" s="65"/>
    </row>
    <row r="926" spans="5:12">
      <c r="E926" s="49">
        <v>45051.902777774143</v>
      </c>
      <c r="F926" s="56">
        <v>0</v>
      </c>
      <c r="G926" s="48"/>
      <c r="H926" s="48"/>
      <c r="I926" s="48"/>
      <c r="J926" s="48"/>
      <c r="L926" s="65"/>
    </row>
    <row r="927" spans="5:12">
      <c r="E927" s="49">
        <v>45051.906249996362</v>
      </c>
      <c r="F927" s="56">
        <v>0</v>
      </c>
      <c r="G927" s="48"/>
      <c r="H927" s="48"/>
      <c r="I927" s="48"/>
      <c r="J927" s="48"/>
      <c r="L927" s="65"/>
    </row>
    <row r="928" spans="5:12">
      <c r="E928" s="49">
        <v>45051.909722218581</v>
      </c>
      <c r="F928" s="56">
        <v>0</v>
      </c>
      <c r="G928" s="48"/>
      <c r="H928" s="48"/>
      <c r="I928" s="48"/>
      <c r="J928" s="48"/>
      <c r="L928" s="65"/>
    </row>
    <row r="929" spans="5:12">
      <c r="E929" s="49">
        <v>45051.9131944408</v>
      </c>
      <c r="F929" s="56">
        <v>0</v>
      </c>
      <c r="G929" s="48"/>
      <c r="H929" s="48"/>
      <c r="I929" s="48"/>
      <c r="J929" s="48"/>
      <c r="L929" s="65"/>
    </row>
    <row r="930" spans="5:12">
      <c r="E930" s="49">
        <v>45051.916666663019</v>
      </c>
      <c r="F930" s="56">
        <v>4.0242360776545203</v>
      </c>
      <c r="G930" s="48"/>
      <c r="H930" s="48"/>
      <c r="I930" s="48"/>
      <c r="J930" s="48"/>
      <c r="L930" s="65"/>
    </row>
    <row r="931" spans="5:12">
      <c r="E931" s="49">
        <v>45051.920138885238</v>
      </c>
      <c r="F931" s="56">
        <v>4.0242360776545203</v>
      </c>
      <c r="G931" s="48"/>
      <c r="H931" s="48"/>
      <c r="I931" s="48"/>
      <c r="J931" s="48"/>
      <c r="L931" s="65"/>
    </row>
    <row r="932" spans="5:12">
      <c r="E932" s="49">
        <v>45051.923611107457</v>
      </c>
      <c r="F932" s="56">
        <v>4.0242360776545203</v>
      </c>
      <c r="G932" s="48"/>
      <c r="H932" s="48"/>
      <c r="I932" s="48"/>
      <c r="J932" s="48"/>
      <c r="L932" s="65"/>
    </row>
    <row r="933" spans="5:12">
      <c r="E933" s="49">
        <v>45051.927083329676</v>
      </c>
      <c r="F933" s="56">
        <v>4.0242360776545203</v>
      </c>
      <c r="G933" s="48"/>
      <c r="H933" s="48"/>
      <c r="I933" s="48"/>
      <c r="J933" s="48"/>
      <c r="L933" s="65"/>
    </row>
    <row r="934" spans="5:12">
      <c r="E934" s="49">
        <v>45051.930555551895</v>
      </c>
      <c r="F934" s="56">
        <v>4.0242360776545203</v>
      </c>
      <c r="G934" s="48"/>
      <c r="H934" s="48"/>
      <c r="I934" s="48"/>
      <c r="J934" s="48"/>
      <c r="L934" s="65"/>
    </row>
    <row r="935" spans="5:12">
      <c r="E935" s="49">
        <v>45051.934027774114</v>
      </c>
      <c r="F935" s="56">
        <v>4.0242360776545203</v>
      </c>
      <c r="G935" s="48"/>
      <c r="H935" s="48"/>
      <c r="I935" s="48"/>
      <c r="J935" s="48"/>
      <c r="L935" s="65"/>
    </row>
    <row r="936" spans="5:12">
      <c r="E936" s="49">
        <v>45051.937499996333</v>
      </c>
      <c r="F936" s="56">
        <v>4.0242360776545203</v>
      </c>
      <c r="G936" s="48"/>
      <c r="H936" s="48"/>
      <c r="I936" s="48"/>
      <c r="J936" s="48"/>
      <c r="L936" s="65"/>
    </row>
    <row r="937" spans="5:12">
      <c r="E937" s="49">
        <v>45051.940972218552</v>
      </c>
      <c r="F937" s="56">
        <v>4.0242360776545203</v>
      </c>
      <c r="G937" s="48"/>
      <c r="H937" s="48"/>
      <c r="I937" s="48"/>
      <c r="J937" s="48"/>
      <c r="L937" s="65"/>
    </row>
    <row r="938" spans="5:12">
      <c r="E938" s="49">
        <v>45051.944444440771</v>
      </c>
      <c r="F938" s="56">
        <v>4.0242360776545203</v>
      </c>
      <c r="G938" s="48"/>
      <c r="H938" s="48"/>
      <c r="I938" s="48"/>
      <c r="J938" s="48"/>
      <c r="L938" s="65"/>
    </row>
    <row r="939" spans="5:12">
      <c r="E939" s="49">
        <v>45051.94791666299</v>
      </c>
      <c r="F939" s="56">
        <v>4.0242360776545203</v>
      </c>
      <c r="G939" s="48"/>
      <c r="H939" s="48"/>
      <c r="I939" s="48"/>
      <c r="J939" s="48"/>
      <c r="L939" s="65"/>
    </row>
    <row r="940" spans="5:12">
      <c r="E940" s="49">
        <v>45051.951388885209</v>
      </c>
      <c r="F940" s="56">
        <v>4.0242360776545203</v>
      </c>
      <c r="G940" s="48"/>
      <c r="H940" s="48"/>
      <c r="I940" s="48"/>
      <c r="J940" s="48"/>
      <c r="L940" s="65"/>
    </row>
    <row r="941" spans="5:12">
      <c r="E941" s="49">
        <v>45051.954861107428</v>
      </c>
      <c r="F941" s="56">
        <v>4.0242360776545203</v>
      </c>
      <c r="G941" s="48"/>
      <c r="H941" s="48"/>
      <c r="I941" s="48"/>
      <c r="J941" s="48"/>
      <c r="L941" s="65"/>
    </row>
    <row r="942" spans="5:12">
      <c r="E942" s="49">
        <v>45051.958333329647</v>
      </c>
      <c r="F942" s="56">
        <v>4.0242360776545203</v>
      </c>
      <c r="G942" s="48"/>
      <c r="H942" s="48"/>
      <c r="I942" s="48"/>
      <c r="J942" s="48"/>
      <c r="L942" s="65"/>
    </row>
    <row r="943" spans="5:12">
      <c r="E943" s="49">
        <v>45051.961805551866</v>
      </c>
      <c r="F943" s="56">
        <v>4.0242360776545203</v>
      </c>
      <c r="G943" s="48"/>
      <c r="H943" s="48"/>
      <c r="I943" s="48"/>
      <c r="J943" s="48"/>
      <c r="L943" s="65"/>
    </row>
    <row r="944" spans="5:12">
      <c r="E944" s="49">
        <v>45051.965277774085</v>
      </c>
      <c r="F944" s="56">
        <v>4.0242360776545203</v>
      </c>
      <c r="G944" s="48"/>
      <c r="H944" s="48"/>
      <c r="I944" s="48"/>
      <c r="J944" s="48"/>
      <c r="L944" s="65"/>
    </row>
    <row r="945" spans="5:12">
      <c r="E945" s="49">
        <v>45051.968749996304</v>
      </c>
      <c r="F945" s="56">
        <v>4.0242360776545203</v>
      </c>
      <c r="G945" s="48"/>
      <c r="H945" s="48"/>
      <c r="I945" s="48"/>
      <c r="J945" s="48"/>
      <c r="L945" s="65"/>
    </row>
    <row r="946" spans="5:12">
      <c r="E946" s="49">
        <v>45051.972222218523</v>
      </c>
      <c r="F946" s="56">
        <v>4.0242360776545203</v>
      </c>
      <c r="G946" s="48"/>
      <c r="H946" s="48"/>
      <c r="I946" s="48"/>
      <c r="J946" s="48"/>
      <c r="L946" s="65"/>
    </row>
    <row r="947" spans="5:12">
      <c r="E947" s="49">
        <v>45051.975694440742</v>
      </c>
      <c r="F947" s="56">
        <v>4.0242360776545203</v>
      </c>
      <c r="G947" s="48"/>
      <c r="H947" s="48"/>
      <c r="I947" s="48"/>
      <c r="J947" s="48"/>
      <c r="L947" s="65"/>
    </row>
    <row r="948" spans="5:12">
      <c r="E948" s="49">
        <v>45051.979166662961</v>
      </c>
      <c r="F948" s="56">
        <v>4.0242360776545203</v>
      </c>
      <c r="G948" s="48"/>
      <c r="H948" s="48"/>
      <c r="I948" s="48"/>
      <c r="J948" s="48"/>
      <c r="L948" s="65"/>
    </row>
    <row r="949" spans="5:12">
      <c r="E949" s="49">
        <v>45051.98263888518</v>
      </c>
      <c r="F949" s="56">
        <v>4.0242360776545203</v>
      </c>
      <c r="G949" s="48"/>
      <c r="H949" s="48"/>
      <c r="I949" s="48"/>
      <c r="J949" s="48"/>
      <c r="L949" s="65"/>
    </row>
    <row r="950" spans="5:12">
      <c r="E950" s="49">
        <v>45051.986111107399</v>
      </c>
      <c r="F950" s="56">
        <v>4.0242360776545203</v>
      </c>
      <c r="G950" s="48"/>
      <c r="H950" s="48"/>
      <c r="I950" s="48"/>
      <c r="J950" s="48"/>
      <c r="L950" s="65"/>
    </row>
    <row r="951" spans="5:12">
      <c r="E951" s="49">
        <v>45051.989583329618</v>
      </c>
      <c r="F951" s="56">
        <v>4.0242360776545203</v>
      </c>
      <c r="G951" s="48"/>
      <c r="H951" s="48"/>
      <c r="I951" s="48"/>
      <c r="J951" s="48"/>
      <c r="L951" s="65"/>
    </row>
    <row r="952" spans="5:12">
      <c r="E952" s="49">
        <v>45051.993055551837</v>
      </c>
      <c r="F952" s="56">
        <v>4.0242360776545203</v>
      </c>
      <c r="G952" s="48"/>
      <c r="H952" s="48"/>
      <c r="I952" s="48"/>
      <c r="J952" s="48"/>
      <c r="L952" s="65"/>
    </row>
    <row r="953" spans="5:12">
      <c r="E953" s="49">
        <v>45051.996527774056</v>
      </c>
      <c r="F953" s="56">
        <v>4.0242360776545203</v>
      </c>
      <c r="G953" s="48"/>
      <c r="H953" s="48"/>
      <c r="I953" s="48"/>
      <c r="J953" s="48"/>
      <c r="L953" s="65"/>
    </row>
    <row r="954" spans="5:12">
      <c r="E954" s="49">
        <v>45051.999999996275</v>
      </c>
      <c r="F954" s="56">
        <v>4.0242360776545203</v>
      </c>
      <c r="G954" s="48"/>
      <c r="H954" s="48"/>
      <c r="I954" s="48"/>
      <c r="J954" s="48"/>
      <c r="L954" s="65"/>
    </row>
    <row r="955" spans="5:12">
      <c r="E955" s="49">
        <v>45052.003472218494</v>
      </c>
      <c r="F955" s="56">
        <v>4.0242360776545203</v>
      </c>
      <c r="G955" s="48"/>
      <c r="H955" s="48"/>
      <c r="I955" s="48"/>
      <c r="J955" s="48"/>
      <c r="L955" s="65"/>
    </row>
    <row r="956" spans="5:12">
      <c r="E956" s="49">
        <v>45052.006944440713</v>
      </c>
      <c r="F956" s="56">
        <v>4.0242360776545203</v>
      </c>
      <c r="G956" s="48"/>
      <c r="H956" s="48"/>
      <c r="I956" s="48"/>
      <c r="J956" s="48"/>
      <c r="L956" s="65"/>
    </row>
    <row r="957" spans="5:12">
      <c r="E957" s="49">
        <v>45052.010416662932</v>
      </c>
      <c r="F957" s="56">
        <v>4.0242360776545203</v>
      </c>
      <c r="G957" s="48"/>
      <c r="H957" s="48"/>
      <c r="I957" s="48"/>
      <c r="J957" s="48"/>
      <c r="L957" s="65"/>
    </row>
    <row r="958" spans="5:12">
      <c r="E958" s="49">
        <v>45052.013888885151</v>
      </c>
      <c r="F958" s="56">
        <v>4.0242360776545203</v>
      </c>
      <c r="G958" s="48"/>
      <c r="H958" s="48"/>
      <c r="I958" s="48"/>
      <c r="J958" s="48"/>
      <c r="L958" s="65"/>
    </row>
    <row r="959" spans="5:12">
      <c r="E959" s="49">
        <v>45052.01736110737</v>
      </c>
      <c r="F959" s="56">
        <v>4.0242360776545203</v>
      </c>
      <c r="G959" s="48"/>
      <c r="H959" s="48"/>
      <c r="I959" s="48"/>
      <c r="J959" s="48"/>
      <c r="L959" s="65"/>
    </row>
    <row r="960" spans="5:12">
      <c r="E960" s="49">
        <v>45052.020833329589</v>
      </c>
      <c r="F960" s="56">
        <v>4.0242360776545203</v>
      </c>
      <c r="G960" s="48"/>
      <c r="H960" s="48"/>
      <c r="I960" s="48"/>
      <c r="J960" s="48"/>
      <c r="L960" s="65"/>
    </row>
    <row r="961" spans="5:12">
      <c r="E961" s="49">
        <v>45052.024305551808</v>
      </c>
      <c r="F961" s="56">
        <v>4.0242360776545203</v>
      </c>
      <c r="G961" s="48"/>
      <c r="H961" s="48"/>
      <c r="I961" s="48"/>
      <c r="J961" s="48"/>
      <c r="L961" s="65"/>
    </row>
    <row r="962" spans="5:12">
      <c r="E962" s="49">
        <v>45052.027777774027</v>
      </c>
      <c r="F962" s="56">
        <v>4.0242360776545203</v>
      </c>
      <c r="G962" s="48"/>
      <c r="H962" s="48"/>
      <c r="I962" s="48"/>
      <c r="J962" s="48"/>
      <c r="L962" s="65"/>
    </row>
    <row r="963" spans="5:12">
      <c r="E963" s="49">
        <v>45052.031249996246</v>
      </c>
      <c r="F963" s="56">
        <v>4.0242360776545203</v>
      </c>
      <c r="G963" s="48"/>
      <c r="H963" s="48"/>
      <c r="I963" s="48"/>
      <c r="J963" s="48"/>
      <c r="L963" s="65"/>
    </row>
    <row r="964" spans="5:12">
      <c r="E964" s="49">
        <v>45052.034722218465</v>
      </c>
      <c r="F964" s="56">
        <v>4.0242360776545203</v>
      </c>
      <c r="G964" s="48"/>
      <c r="H964" s="48"/>
      <c r="I964" s="48"/>
      <c r="J964" s="48"/>
      <c r="L964" s="65"/>
    </row>
    <row r="965" spans="5:12">
      <c r="E965" s="49">
        <v>45052.038194440684</v>
      </c>
      <c r="F965" s="56">
        <v>4.0242360776545203</v>
      </c>
      <c r="G965" s="48"/>
      <c r="H965" s="48"/>
      <c r="I965" s="48"/>
      <c r="J965" s="48"/>
      <c r="L965" s="65"/>
    </row>
    <row r="966" spans="5:12">
      <c r="E966" s="49">
        <v>45052.041666662903</v>
      </c>
      <c r="F966" s="56">
        <v>4.0242360776545203</v>
      </c>
      <c r="G966" s="48"/>
      <c r="H966" s="48"/>
      <c r="I966" s="48"/>
      <c r="J966" s="48"/>
      <c r="L966" s="65"/>
    </row>
    <row r="967" spans="5:12">
      <c r="E967" s="49">
        <v>45052.045138885122</v>
      </c>
      <c r="F967" s="56">
        <v>4.0242360776545203</v>
      </c>
      <c r="G967" s="48"/>
      <c r="H967" s="48"/>
      <c r="I967" s="48"/>
      <c r="J967" s="48"/>
      <c r="L967" s="65"/>
    </row>
    <row r="968" spans="5:12">
      <c r="E968" s="49">
        <v>45052.048611107341</v>
      </c>
      <c r="F968" s="56">
        <v>4.0242360776545203</v>
      </c>
      <c r="G968" s="48"/>
      <c r="H968" s="48"/>
      <c r="I968" s="48"/>
      <c r="J968" s="48"/>
      <c r="L968" s="65"/>
    </row>
    <row r="969" spans="5:12">
      <c r="E969" s="49">
        <v>45052.05208332956</v>
      </c>
      <c r="F969" s="56">
        <v>4.0242360776545203</v>
      </c>
      <c r="G969" s="48"/>
      <c r="H969" s="48"/>
      <c r="I969" s="48"/>
      <c r="J969" s="48"/>
      <c r="L969" s="65"/>
    </row>
    <row r="970" spans="5:12">
      <c r="E970" s="49">
        <v>45052.055555551779</v>
      </c>
      <c r="F970" s="56">
        <v>4.0242360776545203</v>
      </c>
      <c r="G970" s="48"/>
      <c r="H970" s="48"/>
      <c r="I970" s="48"/>
      <c r="J970" s="48"/>
      <c r="L970" s="65"/>
    </row>
    <row r="971" spans="5:12">
      <c r="E971" s="49">
        <v>45052.059027773998</v>
      </c>
      <c r="F971" s="56">
        <v>4.0242360776545203</v>
      </c>
      <c r="G971" s="48"/>
      <c r="H971" s="48"/>
      <c r="I971" s="48"/>
      <c r="J971" s="48"/>
      <c r="L971" s="65"/>
    </row>
    <row r="972" spans="5:12">
      <c r="E972" s="49">
        <v>45052.062499996217</v>
      </c>
      <c r="F972" s="56">
        <v>4.0242360776545203</v>
      </c>
      <c r="G972" s="48"/>
      <c r="H972" s="48"/>
      <c r="I972" s="48"/>
      <c r="J972" s="48"/>
      <c r="L972" s="65"/>
    </row>
    <row r="973" spans="5:12">
      <c r="E973" s="49">
        <v>45052.065972218435</v>
      </c>
      <c r="F973" s="56">
        <v>4.0242360776545203</v>
      </c>
      <c r="G973" s="48"/>
      <c r="H973" s="48"/>
      <c r="I973" s="48"/>
      <c r="J973" s="48"/>
      <c r="L973" s="65"/>
    </row>
    <row r="974" spans="5:12">
      <c r="E974" s="49">
        <v>45052.069444440654</v>
      </c>
      <c r="F974" s="56">
        <v>4.0242360776545203</v>
      </c>
      <c r="G974" s="48"/>
      <c r="H974" s="48"/>
      <c r="I974" s="48"/>
      <c r="J974" s="48"/>
      <c r="L974" s="65"/>
    </row>
    <row r="975" spans="5:12">
      <c r="E975" s="49">
        <v>45052.072916662873</v>
      </c>
      <c r="F975" s="56">
        <v>4.0242360776545203</v>
      </c>
      <c r="G975" s="48"/>
      <c r="H975" s="48"/>
      <c r="I975" s="48"/>
      <c r="J975" s="48"/>
      <c r="L975" s="65"/>
    </row>
    <row r="976" spans="5:12">
      <c r="E976" s="49">
        <v>45052.076388885092</v>
      </c>
      <c r="F976" s="56">
        <v>4.0242360776545203</v>
      </c>
      <c r="G976" s="48"/>
      <c r="H976" s="48"/>
      <c r="I976" s="48"/>
      <c r="J976" s="48"/>
      <c r="L976" s="65"/>
    </row>
    <row r="977" spans="5:12">
      <c r="E977" s="49">
        <v>45052.079861107311</v>
      </c>
      <c r="F977" s="56">
        <v>4.0242360776545203</v>
      </c>
      <c r="G977" s="48"/>
      <c r="H977" s="48"/>
      <c r="I977" s="48"/>
      <c r="J977" s="48"/>
      <c r="L977" s="65"/>
    </row>
    <row r="978" spans="5:12">
      <c r="E978" s="49">
        <v>45052.08333332953</v>
      </c>
      <c r="F978" s="56">
        <v>4.0242360776545203</v>
      </c>
      <c r="G978" s="48"/>
      <c r="H978" s="48"/>
      <c r="I978" s="48"/>
      <c r="J978" s="48"/>
      <c r="L978" s="65"/>
    </row>
    <row r="979" spans="5:12">
      <c r="E979" s="49">
        <v>45052.086805551749</v>
      </c>
      <c r="F979" s="56">
        <v>4.0242360776545203</v>
      </c>
      <c r="G979" s="48"/>
      <c r="H979" s="48"/>
      <c r="I979" s="48"/>
      <c r="J979" s="48"/>
      <c r="L979" s="65"/>
    </row>
    <row r="980" spans="5:12">
      <c r="E980" s="49">
        <v>45052.090277773968</v>
      </c>
      <c r="F980" s="56">
        <v>4.0242360776545203</v>
      </c>
      <c r="G980" s="48"/>
      <c r="H980" s="48"/>
      <c r="I980" s="48"/>
      <c r="J980" s="48"/>
      <c r="L980" s="65"/>
    </row>
    <row r="981" spans="5:12">
      <c r="E981" s="49">
        <v>45052.093749996187</v>
      </c>
      <c r="F981" s="56">
        <v>4.0242360776545203</v>
      </c>
      <c r="G981" s="48"/>
      <c r="H981" s="48"/>
      <c r="I981" s="48"/>
      <c r="J981" s="48"/>
      <c r="L981" s="65"/>
    </row>
    <row r="982" spans="5:12">
      <c r="E982" s="49">
        <v>45052.097222218406</v>
      </c>
      <c r="F982" s="56">
        <v>4.0242360776545203</v>
      </c>
      <c r="G982" s="48"/>
      <c r="H982" s="48"/>
      <c r="I982" s="48"/>
      <c r="J982" s="48"/>
      <c r="L982" s="65"/>
    </row>
    <row r="983" spans="5:12">
      <c r="E983" s="49">
        <v>45052.100694440625</v>
      </c>
      <c r="F983" s="56">
        <v>4.0242360776545203</v>
      </c>
      <c r="G983" s="48"/>
      <c r="H983" s="48"/>
      <c r="I983" s="48"/>
      <c r="J983" s="48"/>
      <c r="L983" s="65"/>
    </row>
    <row r="984" spans="5:12">
      <c r="E984" s="49">
        <v>45052.104166662844</v>
      </c>
      <c r="F984" s="56">
        <v>4.0242360776545203</v>
      </c>
      <c r="G984" s="48"/>
      <c r="H984" s="48"/>
      <c r="I984" s="48"/>
      <c r="J984" s="48"/>
      <c r="L984" s="65"/>
    </row>
    <row r="985" spans="5:12">
      <c r="E985" s="49">
        <v>45052.107638885063</v>
      </c>
      <c r="F985" s="56">
        <v>4.0242360776545203</v>
      </c>
      <c r="G985" s="48"/>
      <c r="H985" s="48"/>
      <c r="I985" s="48"/>
      <c r="J985" s="48"/>
      <c r="L985" s="65"/>
    </row>
    <row r="986" spans="5:12">
      <c r="E986" s="49">
        <v>45052.111111107282</v>
      </c>
      <c r="F986" s="56">
        <v>4.0242360776545203</v>
      </c>
      <c r="G986" s="48"/>
      <c r="H986" s="48"/>
      <c r="I986" s="48"/>
      <c r="J986" s="48"/>
      <c r="L986" s="65"/>
    </row>
    <row r="987" spans="5:12">
      <c r="E987" s="49">
        <v>45052.114583329501</v>
      </c>
      <c r="F987" s="56">
        <v>4.0242360776545203</v>
      </c>
      <c r="G987" s="48"/>
      <c r="H987" s="48"/>
      <c r="I987" s="48"/>
      <c r="J987" s="48"/>
      <c r="L987" s="65"/>
    </row>
    <row r="988" spans="5:12">
      <c r="E988" s="49">
        <v>45052.11805555172</v>
      </c>
      <c r="F988" s="56">
        <v>4.0242360776545203</v>
      </c>
      <c r="G988" s="48"/>
      <c r="H988" s="48"/>
      <c r="I988" s="48"/>
      <c r="J988" s="48"/>
      <c r="L988" s="65"/>
    </row>
    <row r="989" spans="5:12">
      <c r="E989" s="49">
        <v>45052.121527773939</v>
      </c>
      <c r="F989" s="56">
        <v>4.0242360776545203</v>
      </c>
      <c r="G989" s="48"/>
      <c r="H989" s="48"/>
      <c r="I989" s="48"/>
      <c r="J989" s="48"/>
      <c r="L989" s="65"/>
    </row>
    <row r="990" spans="5:12">
      <c r="E990" s="49">
        <v>45052.124999996158</v>
      </c>
      <c r="F990" s="56">
        <v>4.0242360776545203</v>
      </c>
      <c r="G990" s="48"/>
      <c r="H990" s="48"/>
      <c r="I990" s="48"/>
      <c r="J990" s="48"/>
      <c r="L990" s="65"/>
    </row>
    <row r="991" spans="5:12">
      <c r="E991" s="49">
        <v>45052.128472218377</v>
      </c>
      <c r="F991" s="56">
        <v>4.0242360776545203</v>
      </c>
      <c r="G991" s="48"/>
      <c r="H991" s="48"/>
      <c r="I991" s="48"/>
      <c r="J991" s="48"/>
      <c r="L991" s="65"/>
    </row>
    <row r="992" spans="5:12">
      <c r="E992" s="49">
        <v>45052.131944440596</v>
      </c>
      <c r="F992" s="56">
        <v>4.0242360776545203</v>
      </c>
      <c r="G992" s="48"/>
      <c r="H992" s="48"/>
      <c r="I992" s="48"/>
      <c r="J992" s="48"/>
      <c r="L992" s="65"/>
    </row>
    <row r="993" spans="5:12">
      <c r="E993" s="49">
        <v>45052.135416662815</v>
      </c>
      <c r="F993" s="56">
        <v>4.0242360776545203</v>
      </c>
      <c r="G993" s="48"/>
      <c r="H993" s="48"/>
      <c r="I993" s="48"/>
      <c r="J993" s="48"/>
      <c r="L993" s="65"/>
    </row>
    <row r="994" spans="5:12">
      <c r="E994" s="49">
        <v>45052.138888885034</v>
      </c>
      <c r="F994" s="56">
        <v>4.0242360776545203</v>
      </c>
      <c r="G994" s="48"/>
      <c r="H994" s="48"/>
      <c r="I994" s="48"/>
      <c r="J994" s="48"/>
      <c r="L994" s="65"/>
    </row>
    <row r="995" spans="5:12">
      <c r="E995" s="49">
        <v>45052.142361107253</v>
      </c>
      <c r="F995" s="56">
        <v>4.0242360776545203</v>
      </c>
      <c r="G995" s="48"/>
      <c r="H995" s="48"/>
      <c r="I995" s="48"/>
      <c r="J995" s="48"/>
      <c r="L995" s="65"/>
    </row>
    <row r="996" spans="5:12">
      <c r="E996" s="49">
        <v>45052.145833329472</v>
      </c>
      <c r="F996" s="56">
        <v>4.0242360776545203</v>
      </c>
      <c r="G996" s="48"/>
      <c r="H996" s="48"/>
      <c r="I996" s="48"/>
      <c r="J996" s="48"/>
      <c r="L996" s="65"/>
    </row>
    <row r="997" spans="5:12">
      <c r="E997" s="49">
        <v>45052.149305551691</v>
      </c>
      <c r="F997" s="56">
        <v>4.0242360776545203</v>
      </c>
      <c r="G997" s="48"/>
      <c r="H997" s="48"/>
      <c r="I997" s="48"/>
      <c r="J997" s="48"/>
      <c r="L997" s="65"/>
    </row>
    <row r="998" spans="5:12">
      <c r="E998" s="49">
        <v>45052.15277777391</v>
      </c>
      <c r="F998" s="56">
        <v>4.0242360776545203</v>
      </c>
      <c r="G998" s="48"/>
      <c r="H998" s="48"/>
      <c r="I998" s="48"/>
      <c r="J998" s="48"/>
      <c r="L998" s="65"/>
    </row>
    <row r="999" spans="5:12">
      <c r="E999" s="49">
        <v>45052.156249996129</v>
      </c>
      <c r="F999" s="56">
        <v>4.0242360776545203</v>
      </c>
      <c r="G999" s="48"/>
      <c r="H999" s="48"/>
      <c r="I999" s="48"/>
      <c r="J999" s="48"/>
      <c r="L999" s="65"/>
    </row>
    <row r="1000" spans="5:12">
      <c r="E1000" s="49">
        <v>45052.159722218348</v>
      </c>
      <c r="F1000" s="56">
        <v>4.0242360776545203</v>
      </c>
      <c r="G1000" s="48"/>
      <c r="H1000" s="48"/>
      <c r="I1000" s="48"/>
      <c r="J1000" s="48"/>
      <c r="L1000" s="65"/>
    </row>
    <row r="1001" spans="5:12">
      <c r="E1001" s="49">
        <v>45052.163194440567</v>
      </c>
      <c r="F1001" s="56">
        <v>4.0242360776545203</v>
      </c>
      <c r="G1001" s="48"/>
      <c r="H1001" s="48"/>
      <c r="I1001" s="48"/>
      <c r="J1001" s="48"/>
      <c r="L1001" s="65"/>
    </row>
    <row r="1002" spans="5:12">
      <c r="E1002" s="49">
        <v>45052.166666662786</v>
      </c>
      <c r="F1002" s="56">
        <v>4.0242360776545203</v>
      </c>
      <c r="G1002" s="48"/>
      <c r="H1002" s="48"/>
      <c r="I1002" s="48"/>
      <c r="J1002" s="48"/>
      <c r="L1002" s="65"/>
    </row>
    <row r="1003" spans="5:12">
      <c r="E1003" s="49">
        <v>45052.170138885005</v>
      </c>
      <c r="F1003" s="56">
        <v>4.0242360776545203</v>
      </c>
      <c r="G1003" s="48"/>
      <c r="H1003" s="48"/>
      <c r="I1003" s="48"/>
      <c r="J1003" s="48"/>
      <c r="L1003" s="65"/>
    </row>
    <row r="1004" spans="5:12">
      <c r="E1004" s="49">
        <v>45052.173611107224</v>
      </c>
      <c r="F1004" s="56">
        <v>4.0242360776545203</v>
      </c>
      <c r="G1004" s="48"/>
      <c r="H1004" s="48"/>
      <c r="I1004" s="48"/>
      <c r="J1004" s="48"/>
      <c r="L1004" s="65"/>
    </row>
    <row r="1005" spans="5:12">
      <c r="E1005" s="49">
        <v>45052.177083329443</v>
      </c>
      <c r="F1005" s="56">
        <v>4.0242360776545203</v>
      </c>
      <c r="G1005" s="48"/>
      <c r="H1005" s="48"/>
      <c r="I1005" s="48"/>
      <c r="J1005" s="48"/>
      <c r="L1005" s="65"/>
    </row>
    <row r="1006" spans="5:12">
      <c r="E1006" s="49">
        <v>45052.180555551662</v>
      </c>
      <c r="F1006" s="56">
        <v>4.0242360776545203</v>
      </c>
      <c r="G1006" s="48"/>
      <c r="H1006" s="48"/>
      <c r="I1006" s="48"/>
      <c r="J1006" s="48"/>
      <c r="L1006" s="65"/>
    </row>
    <row r="1007" spans="5:12">
      <c r="E1007" s="49">
        <v>45052.184027773881</v>
      </c>
      <c r="F1007" s="56">
        <v>4.0242360776545203</v>
      </c>
      <c r="G1007" s="48"/>
      <c r="H1007" s="48"/>
      <c r="I1007" s="48"/>
      <c r="J1007" s="48"/>
      <c r="L1007" s="65"/>
    </row>
    <row r="1008" spans="5:12">
      <c r="E1008" s="49">
        <v>45052.1874999961</v>
      </c>
      <c r="F1008" s="56">
        <v>4.0242360776545203</v>
      </c>
      <c r="G1008" s="48"/>
      <c r="H1008" s="48"/>
      <c r="I1008" s="48"/>
      <c r="J1008" s="48"/>
      <c r="L1008" s="65"/>
    </row>
    <row r="1009" spans="5:12">
      <c r="E1009" s="49">
        <v>45052.190972218319</v>
      </c>
      <c r="F1009" s="56">
        <v>4.0242360776545203</v>
      </c>
      <c r="G1009" s="48"/>
      <c r="H1009" s="48"/>
      <c r="I1009" s="48"/>
      <c r="J1009" s="48"/>
      <c r="L1009" s="65"/>
    </row>
    <row r="1010" spans="5:12">
      <c r="E1010" s="49">
        <v>45052.194444440538</v>
      </c>
      <c r="F1010" s="56">
        <v>4.0242360776545203</v>
      </c>
      <c r="G1010" s="48"/>
      <c r="H1010" s="48"/>
      <c r="I1010" s="48"/>
      <c r="J1010" s="48"/>
      <c r="L1010" s="65"/>
    </row>
    <row r="1011" spans="5:12">
      <c r="E1011" s="49">
        <v>45052.197916662757</v>
      </c>
      <c r="F1011" s="56">
        <v>4.0242360776545203</v>
      </c>
      <c r="G1011" s="48"/>
      <c r="H1011" s="48"/>
      <c r="I1011" s="48"/>
      <c r="J1011" s="48"/>
      <c r="L1011" s="65"/>
    </row>
    <row r="1012" spans="5:12">
      <c r="E1012" s="49">
        <v>45052.201388884976</v>
      </c>
      <c r="F1012" s="56">
        <v>4.0242360776545203</v>
      </c>
      <c r="G1012" s="48"/>
      <c r="H1012" s="48"/>
      <c r="I1012" s="48"/>
      <c r="J1012" s="48"/>
      <c r="L1012" s="65"/>
    </row>
    <row r="1013" spans="5:12">
      <c r="E1013" s="49">
        <v>45052.204861107195</v>
      </c>
      <c r="F1013" s="56">
        <v>4.0242360776545203</v>
      </c>
      <c r="G1013" s="48"/>
      <c r="H1013" s="48"/>
      <c r="I1013" s="48"/>
      <c r="J1013" s="48"/>
      <c r="L1013" s="65"/>
    </row>
    <row r="1014" spans="5:12">
      <c r="E1014" s="49">
        <v>45052.208333329414</v>
      </c>
      <c r="F1014" s="56">
        <v>4.0242360776545203</v>
      </c>
      <c r="G1014" s="48"/>
      <c r="H1014" s="48"/>
      <c r="I1014" s="48"/>
      <c r="J1014" s="48"/>
      <c r="L1014" s="65"/>
    </row>
    <row r="1015" spans="5:12">
      <c r="E1015" s="49">
        <v>45052.211805551633</v>
      </c>
      <c r="F1015" s="56">
        <v>4.0242360776545203</v>
      </c>
      <c r="G1015" s="48"/>
      <c r="H1015" s="48"/>
      <c r="I1015" s="48"/>
      <c r="J1015" s="48"/>
      <c r="L1015" s="65"/>
    </row>
    <row r="1016" spans="5:12">
      <c r="E1016" s="49">
        <v>45052.215277773852</v>
      </c>
      <c r="F1016" s="56">
        <v>4.0242360776545203</v>
      </c>
      <c r="G1016" s="48"/>
      <c r="H1016" s="48"/>
      <c r="I1016" s="48"/>
      <c r="J1016" s="48"/>
      <c r="L1016" s="65"/>
    </row>
    <row r="1017" spans="5:12">
      <c r="E1017" s="49">
        <v>45052.218749996071</v>
      </c>
      <c r="F1017" s="56">
        <v>4.0242360776545203</v>
      </c>
      <c r="G1017" s="48"/>
      <c r="H1017" s="48"/>
      <c r="I1017" s="48"/>
      <c r="J1017" s="48"/>
      <c r="L1017" s="65"/>
    </row>
    <row r="1018" spans="5:12">
      <c r="E1018" s="49">
        <v>45052.22222221829</v>
      </c>
      <c r="F1018" s="56">
        <v>4.0242360776545203</v>
      </c>
      <c r="G1018" s="48"/>
      <c r="H1018" s="48"/>
      <c r="I1018" s="48"/>
      <c r="J1018" s="48"/>
      <c r="L1018" s="65"/>
    </row>
    <row r="1019" spans="5:12">
      <c r="E1019" s="49">
        <v>45052.225694440509</v>
      </c>
      <c r="F1019" s="56">
        <v>4.0242360776545203</v>
      </c>
      <c r="G1019" s="48"/>
      <c r="H1019" s="48"/>
      <c r="I1019" s="48"/>
      <c r="J1019" s="48"/>
      <c r="L1019" s="65"/>
    </row>
    <row r="1020" spans="5:12">
      <c r="E1020" s="49">
        <v>45052.229166662728</v>
      </c>
      <c r="F1020" s="56">
        <v>4.0242360776545203</v>
      </c>
      <c r="G1020" s="48"/>
      <c r="H1020" s="48"/>
      <c r="I1020" s="48"/>
      <c r="J1020" s="48"/>
      <c r="L1020" s="65"/>
    </row>
    <row r="1021" spans="5:12">
      <c r="E1021" s="49">
        <v>45052.232638884947</v>
      </c>
      <c r="F1021" s="56">
        <v>4.0242360776545203</v>
      </c>
      <c r="G1021" s="48"/>
      <c r="H1021" s="48"/>
      <c r="I1021" s="48"/>
      <c r="J1021" s="48"/>
      <c r="L1021" s="65"/>
    </row>
    <row r="1022" spans="5:12">
      <c r="E1022" s="49">
        <v>45052.236111107166</v>
      </c>
      <c r="F1022" s="56">
        <v>4.0242360776545203</v>
      </c>
      <c r="G1022" s="48"/>
      <c r="H1022" s="48"/>
      <c r="I1022" s="48"/>
      <c r="J1022" s="48"/>
      <c r="L1022" s="65"/>
    </row>
    <row r="1023" spans="5:12">
      <c r="E1023" s="49">
        <v>45052.239583329385</v>
      </c>
      <c r="F1023" s="56">
        <v>4.0242360776545203</v>
      </c>
      <c r="G1023" s="48"/>
      <c r="H1023" s="48"/>
      <c r="I1023" s="48"/>
      <c r="J1023" s="48"/>
      <c r="L1023" s="65"/>
    </row>
    <row r="1024" spans="5:12">
      <c r="E1024" s="49">
        <v>45052.243055551604</v>
      </c>
      <c r="F1024" s="56">
        <v>4.0242360776545203</v>
      </c>
      <c r="G1024" s="48"/>
      <c r="H1024" s="48"/>
      <c r="I1024" s="48"/>
      <c r="J1024" s="48"/>
      <c r="L1024" s="65"/>
    </row>
    <row r="1025" spans="5:12">
      <c r="E1025" s="49">
        <v>45052.246527773823</v>
      </c>
      <c r="F1025" s="56">
        <v>4.0242360776545203</v>
      </c>
      <c r="G1025" s="48"/>
      <c r="H1025" s="48"/>
      <c r="I1025" s="48"/>
      <c r="J1025" s="48"/>
      <c r="L1025" s="65"/>
    </row>
    <row r="1026" spans="5:12">
      <c r="E1026" s="49">
        <v>45052.249999996042</v>
      </c>
      <c r="F1026" s="56">
        <v>4.0242360776545203</v>
      </c>
      <c r="G1026" s="48"/>
      <c r="H1026" s="48"/>
      <c r="I1026" s="48"/>
      <c r="J1026" s="48"/>
      <c r="L1026" s="65"/>
    </row>
    <row r="1027" spans="5:12">
      <c r="E1027" s="49">
        <v>45052.253472218261</v>
      </c>
      <c r="F1027" s="56">
        <v>4.0242360776545203</v>
      </c>
      <c r="G1027" s="48"/>
      <c r="H1027" s="48"/>
      <c r="I1027" s="48"/>
      <c r="J1027" s="48"/>
      <c r="L1027" s="65"/>
    </row>
    <row r="1028" spans="5:12">
      <c r="E1028" s="49">
        <v>45052.25694444048</v>
      </c>
      <c r="F1028" s="56">
        <v>4.0242360776545203</v>
      </c>
      <c r="G1028" s="48"/>
      <c r="H1028" s="48"/>
      <c r="I1028" s="48"/>
      <c r="J1028" s="48"/>
      <c r="L1028" s="65"/>
    </row>
    <row r="1029" spans="5:12">
      <c r="E1029" s="49">
        <v>45052.260416662699</v>
      </c>
      <c r="F1029" s="56">
        <v>4.0242360776545203</v>
      </c>
      <c r="G1029" s="48"/>
      <c r="H1029" s="48"/>
      <c r="I1029" s="48"/>
      <c r="J1029" s="48"/>
      <c r="L1029" s="65"/>
    </row>
    <row r="1030" spans="5:12">
      <c r="E1030" s="49">
        <v>45052.263888884918</v>
      </c>
      <c r="F1030" s="56">
        <v>4.0242360776545203</v>
      </c>
      <c r="G1030" s="48"/>
      <c r="H1030" s="48"/>
      <c r="I1030" s="48"/>
      <c r="J1030" s="48"/>
      <c r="L1030" s="65"/>
    </row>
    <row r="1031" spans="5:12">
      <c r="E1031" s="49">
        <v>45052.267361107137</v>
      </c>
      <c r="F1031" s="56">
        <v>4.0242360776545203</v>
      </c>
      <c r="G1031" s="48"/>
      <c r="H1031" s="48"/>
      <c r="I1031" s="48"/>
      <c r="J1031" s="48"/>
      <c r="L1031" s="65"/>
    </row>
    <row r="1032" spans="5:12">
      <c r="E1032" s="49">
        <v>45052.270833329356</v>
      </c>
      <c r="F1032" s="56">
        <v>4.0242360776545203</v>
      </c>
      <c r="G1032" s="48"/>
      <c r="H1032" s="48"/>
      <c r="I1032" s="48"/>
      <c r="J1032" s="48"/>
      <c r="L1032" s="65"/>
    </row>
    <row r="1033" spans="5:12">
      <c r="E1033" s="49">
        <v>45052.274305551575</v>
      </c>
      <c r="F1033" s="56">
        <v>4.0242360776545203</v>
      </c>
      <c r="G1033" s="48"/>
      <c r="H1033" s="48"/>
      <c r="I1033" s="48"/>
      <c r="J1033" s="48"/>
      <c r="L1033" s="65"/>
    </row>
    <row r="1034" spans="5:12">
      <c r="E1034" s="49">
        <v>45052.277777773794</v>
      </c>
      <c r="F1034" s="56">
        <v>4.0242360776545203</v>
      </c>
      <c r="G1034" s="48"/>
      <c r="H1034" s="48"/>
      <c r="I1034" s="48"/>
      <c r="J1034" s="48"/>
      <c r="L1034" s="65"/>
    </row>
    <row r="1035" spans="5:12">
      <c r="E1035" s="49">
        <v>45052.281249996013</v>
      </c>
      <c r="F1035" s="56">
        <v>4.0242360776545203</v>
      </c>
      <c r="G1035" s="48"/>
      <c r="H1035" s="48"/>
      <c r="I1035" s="48"/>
      <c r="J1035" s="48"/>
      <c r="L1035" s="65"/>
    </row>
    <row r="1036" spans="5:12">
      <c r="E1036" s="49">
        <v>45052.284722218232</v>
      </c>
      <c r="F1036" s="56">
        <v>4.0242360776545203</v>
      </c>
      <c r="G1036" s="48"/>
      <c r="H1036" s="48"/>
      <c r="I1036" s="48"/>
      <c r="J1036" s="48"/>
      <c r="L1036" s="65"/>
    </row>
    <row r="1037" spans="5:12">
      <c r="E1037" s="49">
        <v>45052.288194440451</v>
      </c>
      <c r="F1037" s="56">
        <v>4.0242360776545203</v>
      </c>
      <c r="G1037" s="48"/>
      <c r="H1037" s="48"/>
      <c r="I1037" s="48"/>
      <c r="J1037" s="48"/>
      <c r="L1037" s="65"/>
    </row>
    <row r="1038" spans="5:12">
      <c r="E1038" s="49">
        <v>45052.29166666267</v>
      </c>
      <c r="F1038" s="56">
        <v>4.0242360776545203</v>
      </c>
      <c r="G1038" s="48"/>
      <c r="H1038" s="48"/>
      <c r="I1038" s="48"/>
      <c r="J1038" s="48"/>
      <c r="L1038" s="65"/>
    </row>
    <row r="1039" spans="5:12">
      <c r="E1039" s="49">
        <v>45052.295138884889</v>
      </c>
      <c r="F1039" s="56">
        <v>4.0242360776545203</v>
      </c>
      <c r="G1039" s="48"/>
      <c r="H1039" s="48"/>
      <c r="I1039" s="48"/>
      <c r="J1039" s="48"/>
      <c r="L1039" s="65"/>
    </row>
    <row r="1040" spans="5:12">
      <c r="E1040" s="49">
        <v>45052.298611107108</v>
      </c>
      <c r="F1040" s="56">
        <v>4.0242360776545203</v>
      </c>
      <c r="G1040" s="48"/>
      <c r="H1040" s="48"/>
      <c r="I1040" s="48"/>
      <c r="J1040" s="48"/>
      <c r="L1040" s="65"/>
    </row>
    <row r="1041" spans="5:12">
      <c r="E1041" s="49">
        <v>45052.302083329327</v>
      </c>
      <c r="F1041" s="56">
        <v>4.0242360776545203</v>
      </c>
      <c r="G1041" s="48"/>
      <c r="H1041" s="48"/>
      <c r="I1041" s="48"/>
      <c r="J1041" s="48"/>
      <c r="L1041" s="65"/>
    </row>
    <row r="1042" spans="5:12">
      <c r="E1042" s="49">
        <v>45052.305555551546</v>
      </c>
      <c r="F1042" s="56">
        <v>4.0242360776545203</v>
      </c>
      <c r="G1042" s="48"/>
      <c r="H1042" s="48"/>
      <c r="I1042" s="48"/>
      <c r="J1042" s="48"/>
      <c r="L1042" s="65"/>
    </row>
    <row r="1043" spans="5:12">
      <c r="E1043" s="49">
        <v>45052.309027773765</v>
      </c>
      <c r="F1043" s="56">
        <v>4.0242360776545203</v>
      </c>
      <c r="G1043" s="48"/>
      <c r="H1043" s="48"/>
      <c r="I1043" s="48"/>
      <c r="J1043" s="48"/>
      <c r="L1043" s="65"/>
    </row>
    <row r="1044" spans="5:12">
      <c r="E1044" s="49">
        <v>45052.312499995984</v>
      </c>
      <c r="F1044" s="56">
        <v>4.0242360776545203</v>
      </c>
      <c r="G1044" s="48"/>
      <c r="H1044" s="48"/>
      <c r="I1044" s="48"/>
      <c r="J1044" s="48"/>
      <c r="L1044" s="65"/>
    </row>
    <row r="1045" spans="5:12">
      <c r="E1045" s="49">
        <v>45052.315972218203</v>
      </c>
      <c r="F1045" s="56">
        <v>4.0242360776545203</v>
      </c>
      <c r="G1045" s="48"/>
      <c r="H1045" s="48"/>
      <c r="I1045" s="48"/>
      <c r="J1045" s="48"/>
      <c r="L1045" s="65"/>
    </row>
    <row r="1046" spans="5:12">
      <c r="E1046" s="49">
        <v>45052.319444440422</v>
      </c>
      <c r="F1046" s="56">
        <v>4.0242360776545203</v>
      </c>
      <c r="G1046" s="48"/>
      <c r="H1046" s="48"/>
      <c r="I1046" s="48"/>
      <c r="J1046" s="48"/>
      <c r="L1046" s="65"/>
    </row>
    <row r="1047" spans="5:12">
      <c r="E1047" s="49">
        <v>45052.322916662641</v>
      </c>
      <c r="F1047" s="56">
        <v>4.0242360776545203</v>
      </c>
      <c r="G1047" s="48"/>
      <c r="H1047" s="48"/>
      <c r="I1047" s="48"/>
      <c r="J1047" s="48"/>
      <c r="L1047" s="65"/>
    </row>
    <row r="1048" spans="5:12">
      <c r="E1048" s="49">
        <v>45052.32638888486</v>
      </c>
      <c r="F1048" s="56">
        <v>4.0242360776545203</v>
      </c>
      <c r="G1048" s="48"/>
      <c r="H1048" s="48"/>
      <c r="I1048" s="48"/>
      <c r="J1048" s="48"/>
      <c r="L1048" s="65"/>
    </row>
    <row r="1049" spans="5:12">
      <c r="E1049" s="49">
        <v>45052.329861107079</v>
      </c>
      <c r="F1049" s="56">
        <v>4.0242360776545203</v>
      </c>
      <c r="G1049" s="48"/>
      <c r="H1049" s="48"/>
      <c r="I1049" s="48"/>
      <c r="J1049" s="48"/>
      <c r="L1049" s="65"/>
    </row>
    <row r="1050" spans="5:12">
      <c r="E1050" s="49">
        <v>45052.333333329298</v>
      </c>
      <c r="F1050" s="56">
        <v>4.0242360776545203</v>
      </c>
      <c r="G1050" s="48"/>
      <c r="H1050" s="48"/>
      <c r="I1050" s="48"/>
      <c r="J1050" s="48"/>
      <c r="L1050" s="65"/>
    </row>
    <row r="1051" spans="5:12">
      <c r="E1051" s="49">
        <v>45052.336805551517</v>
      </c>
      <c r="F1051" s="56">
        <v>4.0242360776545203</v>
      </c>
      <c r="G1051" s="48"/>
      <c r="H1051" s="48"/>
      <c r="I1051" s="48"/>
      <c r="J1051" s="48"/>
      <c r="L1051" s="65"/>
    </row>
    <row r="1052" spans="5:12">
      <c r="E1052" s="49">
        <v>45052.340277773736</v>
      </c>
      <c r="F1052" s="56">
        <v>4.0242360776545203</v>
      </c>
      <c r="G1052" s="48"/>
      <c r="H1052" s="48"/>
      <c r="I1052" s="48"/>
      <c r="J1052" s="48"/>
      <c r="L1052" s="65"/>
    </row>
    <row r="1053" spans="5:12">
      <c r="E1053" s="49">
        <v>45052.343749995955</v>
      </c>
      <c r="F1053" s="56">
        <v>4.0242360776545203</v>
      </c>
      <c r="G1053" s="48"/>
      <c r="H1053" s="48"/>
      <c r="I1053" s="48"/>
      <c r="J1053" s="48"/>
      <c r="L1053" s="65"/>
    </row>
    <row r="1054" spans="5:12">
      <c r="E1054" s="49">
        <v>45052.347222218174</v>
      </c>
      <c r="F1054" s="56">
        <v>4.0242360776545203</v>
      </c>
      <c r="G1054" s="48"/>
      <c r="H1054" s="48"/>
      <c r="I1054" s="48"/>
      <c r="J1054" s="48"/>
      <c r="L1054" s="65"/>
    </row>
    <row r="1055" spans="5:12">
      <c r="E1055" s="49">
        <v>45052.350694440393</v>
      </c>
      <c r="F1055" s="56">
        <v>4.0242360776545203</v>
      </c>
      <c r="G1055" s="48"/>
      <c r="H1055" s="48"/>
      <c r="I1055" s="48"/>
      <c r="J1055" s="48"/>
      <c r="L1055" s="65"/>
    </row>
    <row r="1056" spans="5:12">
      <c r="E1056" s="49">
        <v>45052.354166662612</v>
      </c>
      <c r="F1056" s="56">
        <v>4.0242360776545203</v>
      </c>
      <c r="G1056" s="48"/>
      <c r="H1056" s="48"/>
      <c r="I1056" s="48"/>
      <c r="J1056" s="48"/>
      <c r="L1056" s="65"/>
    </row>
    <row r="1057" spans="5:12">
      <c r="E1057" s="49">
        <v>45052.357638884831</v>
      </c>
      <c r="F1057" s="56">
        <v>4.0242360776545203</v>
      </c>
      <c r="G1057" s="48"/>
      <c r="H1057" s="48"/>
      <c r="I1057" s="48"/>
      <c r="J1057" s="48"/>
      <c r="L1057" s="65"/>
    </row>
    <row r="1058" spans="5:12">
      <c r="E1058" s="49">
        <v>45052.36111110705</v>
      </c>
      <c r="F1058" s="56">
        <v>4.0242360776545203</v>
      </c>
      <c r="G1058" s="48"/>
      <c r="H1058" s="48"/>
      <c r="I1058" s="48"/>
      <c r="J1058" s="48"/>
      <c r="L1058" s="65"/>
    </row>
    <row r="1059" spans="5:12">
      <c r="E1059" s="49">
        <v>45052.364583329268</v>
      </c>
      <c r="F1059" s="56">
        <v>4.0242360776545203</v>
      </c>
      <c r="G1059" s="48"/>
      <c r="H1059" s="48"/>
      <c r="I1059" s="48"/>
      <c r="J1059" s="48"/>
      <c r="L1059" s="65"/>
    </row>
    <row r="1060" spans="5:12">
      <c r="E1060" s="49">
        <v>45052.368055551487</v>
      </c>
      <c r="F1060" s="56">
        <v>4.0242360776545203</v>
      </c>
      <c r="G1060" s="48"/>
      <c r="H1060" s="48"/>
      <c r="I1060" s="48"/>
      <c r="J1060" s="48"/>
      <c r="L1060" s="65"/>
    </row>
    <row r="1061" spans="5:12">
      <c r="E1061" s="49">
        <v>45052.371527773706</v>
      </c>
      <c r="F1061" s="56">
        <v>4.0242360776545203</v>
      </c>
      <c r="G1061" s="48"/>
      <c r="H1061" s="48"/>
      <c r="I1061" s="48"/>
      <c r="J1061" s="48"/>
      <c r="L1061" s="65"/>
    </row>
    <row r="1062" spans="5:12">
      <c r="E1062" s="49">
        <v>45052.374999995925</v>
      </c>
      <c r="F1062" s="56">
        <v>4.0242360776545203</v>
      </c>
      <c r="G1062" s="48"/>
      <c r="H1062" s="48"/>
      <c r="I1062" s="48"/>
      <c r="J1062" s="48"/>
      <c r="L1062" s="65"/>
    </row>
    <row r="1063" spans="5:12">
      <c r="E1063" s="49">
        <v>45052.378472218144</v>
      </c>
      <c r="F1063" s="56">
        <v>4.0242360776545203</v>
      </c>
      <c r="G1063" s="48"/>
      <c r="H1063" s="48"/>
      <c r="I1063" s="48"/>
      <c r="J1063" s="48"/>
      <c r="L1063" s="65"/>
    </row>
    <row r="1064" spans="5:12">
      <c r="E1064" s="49">
        <v>45052.381944440363</v>
      </c>
      <c r="F1064" s="56">
        <v>4.0242360776545203</v>
      </c>
      <c r="G1064" s="48"/>
      <c r="H1064" s="48"/>
      <c r="I1064" s="48"/>
      <c r="J1064" s="48"/>
      <c r="L1064" s="65"/>
    </row>
    <row r="1065" spans="5:12">
      <c r="E1065" s="49">
        <v>45052.385416662582</v>
      </c>
      <c r="F1065" s="56">
        <v>4.0242360776545203</v>
      </c>
      <c r="G1065" s="48"/>
      <c r="H1065" s="48"/>
      <c r="I1065" s="48"/>
      <c r="J1065" s="48"/>
      <c r="L1065" s="65"/>
    </row>
    <row r="1066" spans="5:12">
      <c r="E1066" s="49">
        <v>45052.388888884801</v>
      </c>
      <c r="F1066" s="56">
        <v>4.0242360776545203</v>
      </c>
      <c r="G1066" s="48"/>
      <c r="H1066" s="48"/>
      <c r="I1066" s="48"/>
      <c r="J1066" s="48"/>
      <c r="L1066" s="65"/>
    </row>
    <row r="1067" spans="5:12">
      <c r="E1067" s="49">
        <v>45052.39236110702</v>
      </c>
      <c r="F1067" s="56">
        <v>4.0242360776545203</v>
      </c>
      <c r="G1067" s="48"/>
      <c r="H1067" s="48"/>
      <c r="I1067" s="48"/>
      <c r="J1067" s="48"/>
      <c r="L1067" s="65"/>
    </row>
    <row r="1068" spans="5:12">
      <c r="E1068" s="49">
        <v>45052.395833329239</v>
      </c>
      <c r="F1068" s="56">
        <v>4.0242360776545203</v>
      </c>
      <c r="G1068" s="48"/>
      <c r="H1068" s="48"/>
      <c r="I1068" s="48"/>
      <c r="J1068" s="48"/>
      <c r="L1068" s="65"/>
    </row>
    <row r="1069" spans="5:12">
      <c r="E1069" s="49">
        <v>45052.399305551458</v>
      </c>
      <c r="F1069" s="56">
        <v>4.0242360776545203</v>
      </c>
      <c r="G1069" s="48"/>
      <c r="H1069" s="48"/>
      <c r="I1069" s="48"/>
      <c r="J1069" s="48"/>
      <c r="L1069" s="65"/>
    </row>
    <row r="1070" spans="5:12">
      <c r="E1070" s="49">
        <v>45052.402777773677</v>
      </c>
      <c r="F1070" s="56">
        <v>4.0242360776545203</v>
      </c>
      <c r="G1070" s="48"/>
      <c r="H1070" s="48"/>
      <c r="I1070" s="48"/>
      <c r="J1070" s="48"/>
      <c r="L1070" s="65"/>
    </row>
    <row r="1071" spans="5:12">
      <c r="E1071" s="49">
        <v>45052.406249995896</v>
      </c>
      <c r="F1071" s="56">
        <v>4.0242360776545203</v>
      </c>
      <c r="G1071" s="48"/>
      <c r="H1071" s="48"/>
      <c r="I1071" s="48"/>
      <c r="J1071" s="48"/>
      <c r="L1071" s="65"/>
    </row>
    <row r="1072" spans="5:12">
      <c r="E1072" s="49">
        <v>45052.409722218115</v>
      </c>
      <c r="F1072" s="56">
        <v>4.0242360776545203</v>
      </c>
      <c r="G1072" s="48"/>
      <c r="H1072" s="48"/>
      <c r="I1072" s="48"/>
      <c r="J1072" s="48"/>
      <c r="L1072" s="65"/>
    </row>
    <row r="1073" spans="5:12">
      <c r="E1073" s="49">
        <v>45052.413194440334</v>
      </c>
      <c r="F1073" s="56">
        <v>4.0242360776545203</v>
      </c>
      <c r="G1073" s="48"/>
      <c r="H1073" s="48"/>
      <c r="I1073" s="48"/>
      <c r="J1073" s="48"/>
      <c r="L1073" s="65"/>
    </row>
    <row r="1074" spans="5:12">
      <c r="E1074" s="49">
        <v>45052.416666662553</v>
      </c>
      <c r="F1074" s="56">
        <v>4.0242360776545203</v>
      </c>
      <c r="G1074" s="48"/>
      <c r="H1074" s="48"/>
      <c r="I1074" s="48"/>
      <c r="J1074" s="48"/>
      <c r="L1074" s="65"/>
    </row>
    <row r="1075" spans="5:12">
      <c r="E1075" s="49">
        <v>45052.420138884772</v>
      </c>
      <c r="F1075" s="56">
        <v>4.0242360776545203</v>
      </c>
      <c r="G1075" s="48"/>
      <c r="H1075" s="48"/>
      <c r="I1075" s="48"/>
      <c r="J1075" s="48"/>
      <c r="L1075" s="65"/>
    </row>
    <row r="1076" spans="5:12">
      <c r="E1076" s="49">
        <v>45052.423611106991</v>
      </c>
      <c r="F1076" s="56">
        <v>4.0242360776545203</v>
      </c>
      <c r="G1076" s="48"/>
      <c r="H1076" s="48"/>
      <c r="I1076" s="48"/>
      <c r="J1076" s="48"/>
      <c r="L1076" s="65"/>
    </row>
    <row r="1077" spans="5:12">
      <c r="E1077" s="49">
        <v>45052.42708332921</v>
      </c>
      <c r="F1077" s="56">
        <v>4.0242360776545203</v>
      </c>
      <c r="G1077" s="48"/>
      <c r="H1077" s="48"/>
      <c r="I1077" s="48"/>
      <c r="J1077" s="48"/>
      <c r="L1077" s="65"/>
    </row>
    <row r="1078" spans="5:12">
      <c r="E1078" s="49">
        <v>45052.430555551429</v>
      </c>
      <c r="F1078" s="56">
        <v>4.0242360776545203</v>
      </c>
      <c r="G1078" s="48"/>
      <c r="H1078" s="48"/>
      <c r="I1078" s="48"/>
      <c r="J1078" s="48"/>
      <c r="L1078" s="65"/>
    </row>
    <row r="1079" spans="5:12">
      <c r="E1079" s="49">
        <v>45052.434027773648</v>
      </c>
      <c r="F1079" s="56">
        <v>4.0242360776545203</v>
      </c>
      <c r="G1079" s="48"/>
      <c r="H1079" s="48"/>
      <c r="I1079" s="48"/>
      <c r="J1079" s="48"/>
      <c r="L1079" s="65"/>
    </row>
    <row r="1080" spans="5:12">
      <c r="E1080" s="49">
        <v>45052.437499995867</v>
      </c>
      <c r="F1080" s="56">
        <v>4.0242360776545203</v>
      </c>
      <c r="G1080" s="48"/>
      <c r="H1080" s="48"/>
      <c r="I1080" s="48"/>
      <c r="J1080" s="48"/>
      <c r="L1080" s="65"/>
    </row>
    <row r="1081" spans="5:12">
      <c r="E1081" s="49">
        <v>45052.440972218086</v>
      </c>
      <c r="F1081" s="56">
        <v>4.0242360776545203</v>
      </c>
      <c r="G1081" s="48"/>
      <c r="H1081" s="48"/>
      <c r="I1081" s="48"/>
      <c r="J1081" s="48"/>
      <c r="L1081" s="65"/>
    </row>
    <row r="1082" spans="5:12">
      <c r="E1082" s="49">
        <v>45052.444444440305</v>
      </c>
      <c r="F1082" s="56">
        <v>4.0242360776545203</v>
      </c>
      <c r="G1082" s="48"/>
      <c r="H1082" s="48"/>
      <c r="I1082" s="48"/>
      <c r="J1082" s="48"/>
      <c r="L1082" s="65"/>
    </row>
    <row r="1083" spans="5:12">
      <c r="E1083" s="49">
        <v>45052.447916662524</v>
      </c>
      <c r="F1083" s="56">
        <v>4.0242360776545203</v>
      </c>
      <c r="G1083" s="48"/>
      <c r="H1083" s="48"/>
      <c r="I1083" s="48"/>
      <c r="J1083" s="48"/>
      <c r="L1083" s="65"/>
    </row>
    <row r="1084" spans="5:12">
      <c r="E1084" s="49">
        <v>45052.451388884743</v>
      </c>
      <c r="F1084" s="56">
        <v>4.0242360776545203</v>
      </c>
      <c r="G1084" s="48"/>
      <c r="H1084" s="48"/>
      <c r="I1084" s="48"/>
      <c r="J1084" s="48"/>
      <c r="L1084" s="65"/>
    </row>
    <row r="1085" spans="5:12">
      <c r="E1085" s="49">
        <v>45052.454861106962</v>
      </c>
      <c r="F1085" s="56">
        <v>4.0242360776545203</v>
      </c>
      <c r="G1085" s="48"/>
      <c r="H1085" s="48"/>
      <c r="I1085" s="48"/>
      <c r="J1085" s="48"/>
      <c r="L1085" s="65"/>
    </row>
    <row r="1086" spans="5:12">
      <c r="E1086" s="49">
        <v>45052.458333329181</v>
      </c>
      <c r="F1086" s="56">
        <v>4.0242360776545203</v>
      </c>
      <c r="G1086" s="48"/>
      <c r="H1086" s="48"/>
      <c r="I1086" s="48"/>
      <c r="J1086" s="48"/>
      <c r="L1086" s="65"/>
    </row>
    <row r="1087" spans="5:12">
      <c r="E1087" s="49">
        <v>45052.4618055514</v>
      </c>
      <c r="F1087" s="56">
        <v>4.0242360776545203</v>
      </c>
      <c r="G1087" s="48"/>
      <c r="H1087" s="48"/>
      <c r="I1087" s="48"/>
      <c r="J1087" s="48"/>
      <c r="L1087" s="65"/>
    </row>
    <row r="1088" spans="5:12">
      <c r="E1088" s="49">
        <v>45052.465277773619</v>
      </c>
      <c r="F1088" s="56">
        <v>4.0242360776545203</v>
      </c>
      <c r="G1088" s="48"/>
      <c r="H1088" s="48"/>
      <c r="I1088" s="48"/>
      <c r="J1088" s="48"/>
      <c r="L1088" s="65"/>
    </row>
    <row r="1089" spans="5:12">
      <c r="E1089" s="49">
        <v>45052.468749995838</v>
      </c>
      <c r="F1089" s="56">
        <v>4.0242360776545203</v>
      </c>
      <c r="G1089" s="48"/>
      <c r="H1089" s="48"/>
      <c r="I1089" s="48"/>
      <c r="J1089" s="48"/>
      <c r="L1089" s="65"/>
    </row>
    <row r="1090" spans="5:12">
      <c r="E1090" s="49">
        <v>45052.472222218057</v>
      </c>
      <c r="F1090" s="56">
        <v>4.0242360776545203</v>
      </c>
      <c r="G1090" s="48"/>
      <c r="H1090" s="48"/>
      <c r="I1090" s="48"/>
      <c r="J1090" s="48"/>
      <c r="L1090" s="65"/>
    </row>
    <row r="1091" spans="5:12">
      <c r="E1091" s="49">
        <v>45052.475694440276</v>
      </c>
      <c r="F1091" s="56">
        <v>4.0242360776545203</v>
      </c>
      <c r="G1091" s="48"/>
      <c r="H1091" s="48"/>
      <c r="I1091" s="48"/>
      <c r="J1091" s="48"/>
      <c r="L1091" s="65"/>
    </row>
    <row r="1092" spans="5:12">
      <c r="E1092" s="49">
        <v>45052.479166662495</v>
      </c>
      <c r="F1092" s="56">
        <v>4.0242360776545203</v>
      </c>
      <c r="G1092" s="48"/>
      <c r="H1092" s="48"/>
      <c r="I1092" s="48"/>
      <c r="J1092" s="48"/>
      <c r="L1092" s="65"/>
    </row>
    <row r="1093" spans="5:12">
      <c r="E1093" s="49">
        <v>45052.482638884714</v>
      </c>
      <c r="F1093" s="56">
        <v>4.0242360776545203</v>
      </c>
      <c r="G1093" s="48"/>
      <c r="H1093" s="48"/>
      <c r="I1093" s="48"/>
      <c r="J1093" s="48"/>
      <c r="L1093" s="65"/>
    </row>
    <row r="1094" spans="5:12">
      <c r="E1094" s="49">
        <v>45052.486111106933</v>
      </c>
      <c r="F1094" s="56">
        <v>4.0242360776545203</v>
      </c>
      <c r="G1094" s="48"/>
      <c r="H1094" s="48"/>
      <c r="I1094" s="48"/>
      <c r="J1094" s="48"/>
      <c r="L1094" s="65"/>
    </row>
    <row r="1095" spans="5:12">
      <c r="E1095" s="49">
        <v>45052.489583329152</v>
      </c>
      <c r="F1095" s="56">
        <v>4.0242360776545203</v>
      </c>
      <c r="G1095" s="48"/>
      <c r="H1095" s="48"/>
      <c r="I1095" s="48"/>
      <c r="J1095" s="48"/>
      <c r="L1095" s="65"/>
    </row>
    <row r="1096" spans="5:12">
      <c r="E1096" s="49">
        <v>45052.493055551371</v>
      </c>
      <c r="F1096" s="56">
        <v>4.0242360776545203</v>
      </c>
      <c r="G1096" s="48"/>
      <c r="H1096" s="48"/>
      <c r="I1096" s="48"/>
      <c r="J1096" s="48"/>
      <c r="L1096" s="65"/>
    </row>
    <row r="1097" spans="5:12">
      <c r="E1097" s="49">
        <v>45052.49652777359</v>
      </c>
      <c r="F1097" s="56">
        <v>4.0242360776545203</v>
      </c>
      <c r="G1097" s="48"/>
      <c r="H1097" s="48"/>
      <c r="I1097" s="48"/>
      <c r="J1097" s="48"/>
      <c r="L1097" s="65"/>
    </row>
    <row r="1098" spans="5:12">
      <c r="E1098" s="49">
        <v>45052.499999995809</v>
      </c>
      <c r="F1098" s="56">
        <v>4.0242360776545203</v>
      </c>
      <c r="G1098" s="48"/>
      <c r="H1098" s="48"/>
      <c r="I1098" s="48"/>
      <c r="J1098" s="48"/>
      <c r="L1098" s="65"/>
    </row>
    <row r="1099" spans="5:12">
      <c r="E1099" s="49">
        <v>45052.503472218028</v>
      </c>
      <c r="F1099" s="56">
        <v>4.0242360776545203</v>
      </c>
      <c r="G1099" s="48"/>
      <c r="H1099" s="48"/>
      <c r="I1099" s="48"/>
      <c r="J1099" s="48"/>
      <c r="L1099" s="65"/>
    </row>
    <row r="1100" spans="5:12">
      <c r="E1100" s="49">
        <v>45052.506944440247</v>
      </c>
      <c r="F1100" s="56">
        <v>4.0242360776545203</v>
      </c>
      <c r="G1100" s="48"/>
      <c r="H1100" s="48"/>
      <c r="I1100" s="48"/>
      <c r="J1100" s="48"/>
      <c r="L1100" s="65"/>
    </row>
    <row r="1101" spans="5:12">
      <c r="E1101" s="49">
        <v>45052.510416662466</v>
      </c>
      <c r="F1101" s="56">
        <v>4.0242360776545203</v>
      </c>
      <c r="G1101" s="48"/>
      <c r="H1101" s="48"/>
      <c r="I1101" s="48"/>
      <c r="J1101" s="48"/>
      <c r="L1101" s="65"/>
    </row>
    <row r="1102" spans="5:12">
      <c r="E1102" s="49">
        <v>45052.513888884685</v>
      </c>
      <c r="F1102" s="56">
        <v>4.0242360776545203</v>
      </c>
      <c r="G1102" s="48"/>
      <c r="H1102" s="48"/>
      <c r="I1102" s="48"/>
      <c r="J1102" s="48"/>
      <c r="L1102" s="65"/>
    </row>
    <row r="1103" spans="5:12">
      <c r="E1103" s="49">
        <v>45052.517361106904</v>
      </c>
      <c r="F1103" s="56">
        <v>4.0242360776545203</v>
      </c>
      <c r="G1103" s="48"/>
      <c r="H1103" s="48"/>
      <c r="I1103" s="48"/>
      <c r="J1103" s="48"/>
      <c r="L1103" s="65"/>
    </row>
    <row r="1104" spans="5:12">
      <c r="E1104" s="49">
        <v>45052.520833329123</v>
      </c>
      <c r="F1104" s="56">
        <v>4.0242360776545203</v>
      </c>
      <c r="G1104" s="48"/>
      <c r="H1104" s="48"/>
      <c r="I1104" s="48"/>
      <c r="J1104" s="48"/>
      <c r="L1104" s="65"/>
    </row>
    <row r="1105" spans="5:12">
      <c r="E1105" s="49">
        <v>45052.524305551342</v>
      </c>
      <c r="F1105" s="56">
        <v>4.0242360776545203</v>
      </c>
      <c r="G1105" s="48"/>
      <c r="H1105" s="48"/>
      <c r="I1105" s="48"/>
      <c r="J1105" s="48"/>
      <c r="L1105" s="65"/>
    </row>
    <row r="1106" spans="5:12">
      <c r="E1106" s="49">
        <v>45052.527777773561</v>
      </c>
      <c r="F1106" s="56">
        <v>4.0242360776545203</v>
      </c>
      <c r="G1106" s="48"/>
      <c r="H1106" s="48"/>
      <c r="I1106" s="48"/>
      <c r="J1106" s="48"/>
      <c r="L1106" s="65"/>
    </row>
    <row r="1107" spans="5:12">
      <c r="E1107" s="49">
        <v>45052.53124999578</v>
      </c>
      <c r="F1107" s="56">
        <v>4.0242360776545203</v>
      </c>
      <c r="G1107" s="48"/>
      <c r="H1107" s="48"/>
      <c r="I1107" s="48"/>
      <c r="J1107" s="48"/>
      <c r="L1107" s="65"/>
    </row>
    <row r="1108" spans="5:12">
      <c r="E1108" s="49">
        <v>45052.534722217999</v>
      </c>
      <c r="F1108" s="56">
        <v>4.0242360776545203</v>
      </c>
      <c r="G1108" s="48"/>
      <c r="H1108" s="48"/>
      <c r="I1108" s="48"/>
      <c r="J1108" s="48"/>
      <c r="L1108" s="65"/>
    </row>
    <row r="1109" spans="5:12">
      <c r="E1109" s="49">
        <v>45052.538194440218</v>
      </c>
      <c r="F1109" s="56">
        <v>4.0242360776545203</v>
      </c>
      <c r="G1109" s="48"/>
      <c r="H1109" s="48"/>
      <c r="I1109" s="48"/>
      <c r="J1109" s="48"/>
      <c r="L1109" s="65"/>
    </row>
    <row r="1110" spans="5:12">
      <c r="E1110" s="49">
        <v>45052.541666662437</v>
      </c>
      <c r="F1110" s="56">
        <v>4.0242360776545203</v>
      </c>
      <c r="G1110" s="48"/>
      <c r="H1110" s="48"/>
      <c r="I1110" s="48"/>
      <c r="J1110" s="48"/>
      <c r="L1110" s="65"/>
    </row>
    <row r="1111" spans="5:12">
      <c r="E1111" s="49">
        <v>45052.545138884656</v>
      </c>
      <c r="F1111" s="56">
        <v>4.0242360776545203</v>
      </c>
      <c r="G1111" s="48"/>
      <c r="H1111" s="48"/>
      <c r="I1111" s="48"/>
      <c r="J1111" s="48"/>
      <c r="L1111" s="65"/>
    </row>
    <row r="1112" spans="5:12">
      <c r="E1112" s="49">
        <v>45052.548611106875</v>
      </c>
      <c r="F1112" s="56">
        <v>4.0242360776545203</v>
      </c>
      <c r="G1112" s="48"/>
      <c r="H1112" s="48"/>
      <c r="I1112" s="48"/>
      <c r="J1112" s="48"/>
      <c r="L1112" s="65"/>
    </row>
    <row r="1113" spans="5:12">
      <c r="E1113" s="49">
        <v>45052.552083329094</v>
      </c>
      <c r="F1113" s="56">
        <v>4.0242360776545203</v>
      </c>
      <c r="G1113" s="48"/>
      <c r="H1113" s="48"/>
      <c r="I1113" s="48"/>
      <c r="J1113" s="48"/>
      <c r="L1113" s="65"/>
    </row>
    <row r="1114" spans="5:12">
      <c r="E1114" s="49">
        <v>45052.555555551313</v>
      </c>
      <c r="F1114" s="56">
        <v>4.0242360776545203</v>
      </c>
      <c r="G1114" s="48"/>
      <c r="H1114" s="48"/>
      <c r="I1114" s="48"/>
      <c r="J1114" s="48"/>
      <c r="L1114" s="65"/>
    </row>
    <row r="1115" spans="5:12">
      <c r="E1115" s="49">
        <v>45052.559027773532</v>
      </c>
      <c r="F1115" s="56">
        <v>4.0242360776545203</v>
      </c>
      <c r="G1115" s="48"/>
      <c r="H1115" s="48"/>
      <c r="I1115" s="48"/>
      <c r="J1115" s="48"/>
      <c r="L1115" s="65"/>
    </row>
    <row r="1116" spans="5:12">
      <c r="E1116" s="49">
        <v>45052.562499995751</v>
      </c>
      <c r="F1116" s="56">
        <v>4.0242360776545203</v>
      </c>
      <c r="G1116" s="48"/>
      <c r="H1116" s="48"/>
      <c r="I1116" s="48"/>
      <c r="J1116" s="48"/>
      <c r="L1116" s="65"/>
    </row>
    <row r="1117" spans="5:12">
      <c r="E1117" s="49">
        <v>45052.56597221797</v>
      </c>
      <c r="F1117" s="56">
        <v>4.0242360776545203</v>
      </c>
      <c r="G1117" s="48"/>
      <c r="H1117" s="48"/>
      <c r="I1117" s="48"/>
      <c r="J1117" s="48"/>
      <c r="L1117" s="65"/>
    </row>
    <row r="1118" spans="5:12">
      <c r="E1118" s="49">
        <v>45052.569444440189</v>
      </c>
      <c r="F1118" s="56">
        <v>4.0242360776545203</v>
      </c>
      <c r="G1118" s="48"/>
      <c r="H1118" s="48"/>
      <c r="I1118" s="48"/>
      <c r="J1118" s="48"/>
      <c r="L1118" s="65"/>
    </row>
    <row r="1119" spans="5:12">
      <c r="E1119" s="49">
        <v>45052.572916662408</v>
      </c>
      <c r="F1119" s="56">
        <v>4.0242360776545203</v>
      </c>
      <c r="G1119" s="48"/>
      <c r="H1119" s="48"/>
      <c r="I1119" s="48"/>
      <c r="J1119" s="48"/>
      <c r="L1119" s="65"/>
    </row>
    <row r="1120" spans="5:12">
      <c r="E1120" s="49">
        <v>45052.576388884627</v>
      </c>
      <c r="F1120" s="56">
        <v>4.0242360776545203</v>
      </c>
      <c r="G1120" s="48"/>
      <c r="H1120" s="48"/>
      <c r="I1120" s="48"/>
      <c r="J1120" s="48"/>
      <c r="L1120" s="65"/>
    </row>
    <row r="1121" spans="5:12">
      <c r="E1121" s="49">
        <v>45052.579861106846</v>
      </c>
      <c r="F1121" s="56">
        <v>4.0242360776545203</v>
      </c>
      <c r="G1121" s="48"/>
      <c r="H1121" s="48"/>
      <c r="I1121" s="48"/>
      <c r="J1121" s="48"/>
      <c r="L1121" s="65"/>
    </row>
    <row r="1122" spans="5:12">
      <c r="E1122" s="49">
        <v>45052.583333329065</v>
      </c>
      <c r="F1122" s="56">
        <v>4.0242360776545203</v>
      </c>
      <c r="G1122" s="48"/>
      <c r="H1122" s="48"/>
      <c r="I1122" s="48"/>
      <c r="J1122" s="48"/>
      <c r="L1122" s="65"/>
    </row>
    <row r="1123" spans="5:12">
      <c r="E1123" s="49">
        <v>45052.586805551284</v>
      </c>
      <c r="F1123" s="56">
        <v>4.0242360776545203</v>
      </c>
      <c r="G1123" s="48"/>
      <c r="H1123" s="48"/>
      <c r="I1123" s="48"/>
      <c r="J1123" s="48"/>
      <c r="L1123" s="65"/>
    </row>
    <row r="1124" spans="5:12">
      <c r="E1124" s="49">
        <v>45052.590277773503</v>
      </c>
      <c r="F1124" s="56">
        <v>4.0242360776545203</v>
      </c>
      <c r="G1124" s="48"/>
      <c r="H1124" s="48"/>
      <c r="I1124" s="48"/>
      <c r="J1124" s="48"/>
      <c r="L1124" s="65"/>
    </row>
    <row r="1125" spans="5:12">
      <c r="E1125" s="49">
        <v>45052.593749995722</v>
      </c>
      <c r="F1125" s="56">
        <v>4.0242360776545203</v>
      </c>
      <c r="G1125" s="48"/>
      <c r="H1125" s="48"/>
      <c r="I1125" s="48"/>
      <c r="J1125" s="48"/>
      <c r="L1125" s="65"/>
    </row>
    <row r="1126" spans="5:12">
      <c r="E1126" s="49">
        <v>45052.597222217941</v>
      </c>
      <c r="F1126" s="56">
        <v>4.0242360776545203</v>
      </c>
      <c r="G1126" s="48"/>
      <c r="H1126" s="48"/>
      <c r="I1126" s="48"/>
      <c r="J1126" s="48"/>
      <c r="L1126" s="65"/>
    </row>
    <row r="1127" spans="5:12">
      <c r="E1127" s="49">
        <v>45052.60069444016</v>
      </c>
      <c r="F1127" s="56">
        <v>4.0242360776545203</v>
      </c>
      <c r="G1127" s="48"/>
      <c r="H1127" s="48"/>
      <c r="I1127" s="48"/>
      <c r="J1127" s="48"/>
      <c r="L1127" s="65"/>
    </row>
    <row r="1128" spans="5:12">
      <c r="E1128" s="49">
        <v>45052.604166662379</v>
      </c>
      <c r="F1128" s="56">
        <v>4.0242360776545203</v>
      </c>
      <c r="G1128" s="48"/>
      <c r="H1128" s="48"/>
      <c r="I1128" s="48"/>
      <c r="J1128" s="48"/>
      <c r="L1128" s="65"/>
    </row>
    <row r="1129" spans="5:12">
      <c r="E1129" s="49">
        <v>45052.607638884598</v>
      </c>
      <c r="F1129" s="56">
        <v>4.0242360776545203</v>
      </c>
      <c r="G1129" s="48"/>
      <c r="H1129" s="48"/>
      <c r="I1129" s="48"/>
      <c r="J1129" s="48"/>
      <c r="L1129" s="65"/>
    </row>
    <row r="1130" spans="5:12">
      <c r="E1130" s="49">
        <v>45052.611111106817</v>
      </c>
      <c r="F1130" s="56">
        <v>4.0242360776545203</v>
      </c>
      <c r="G1130" s="48"/>
      <c r="H1130" s="48"/>
      <c r="I1130" s="48"/>
      <c r="J1130" s="48"/>
      <c r="L1130" s="65"/>
    </row>
    <row r="1131" spans="5:12">
      <c r="E1131" s="49">
        <v>45052.614583329036</v>
      </c>
      <c r="F1131" s="56">
        <v>4.0242360776545203</v>
      </c>
      <c r="G1131" s="48"/>
      <c r="H1131" s="48"/>
      <c r="I1131" s="48"/>
      <c r="J1131" s="48"/>
      <c r="L1131" s="65"/>
    </row>
    <row r="1132" spans="5:12">
      <c r="E1132" s="49">
        <v>45052.618055551255</v>
      </c>
      <c r="F1132" s="56">
        <v>4.0242360776545203</v>
      </c>
      <c r="G1132" s="48"/>
      <c r="H1132" s="48"/>
      <c r="I1132" s="48"/>
      <c r="J1132" s="48"/>
      <c r="L1132" s="65"/>
    </row>
    <row r="1133" spans="5:12">
      <c r="E1133" s="49">
        <v>45052.621527773474</v>
      </c>
      <c r="F1133" s="56">
        <v>4.0242360776545203</v>
      </c>
      <c r="G1133" s="48"/>
      <c r="H1133" s="48"/>
      <c r="I1133" s="48"/>
      <c r="J1133" s="48"/>
      <c r="L1133" s="65"/>
    </row>
    <row r="1134" spans="5:12">
      <c r="E1134" s="49">
        <v>45052.624999995693</v>
      </c>
      <c r="F1134" s="56">
        <v>4.0242360776545203</v>
      </c>
      <c r="G1134" s="48"/>
      <c r="H1134" s="48"/>
      <c r="I1134" s="48"/>
      <c r="J1134" s="48"/>
      <c r="L1134" s="65"/>
    </row>
    <row r="1135" spans="5:12">
      <c r="E1135" s="49">
        <v>45052.628472217912</v>
      </c>
      <c r="F1135" s="56">
        <v>4.0242360776545203</v>
      </c>
      <c r="G1135" s="48"/>
      <c r="H1135" s="48"/>
      <c r="I1135" s="48"/>
      <c r="J1135" s="48"/>
      <c r="L1135" s="65"/>
    </row>
    <row r="1136" spans="5:12">
      <c r="E1136" s="49">
        <v>45052.631944440131</v>
      </c>
      <c r="F1136" s="56">
        <v>4.0242360776545203</v>
      </c>
      <c r="G1136" s="48"/>
      <c r="H1136" s="48"/>
      <c r="I1136" s="48"/>
      <c r="J1136" s="48"/>
      <c r="L1136" s="65"/>
    </row>
    <row r="1137" spans="5:12">
      <c r="E1137" s="49">
        <v>45052.63541666235</v>
      </c>
      <c r="F1137" s="56">
        <v>4.0242360776545203</v>
      </c>
      <c r="G1137" s="48"/>
      <c r="H1137" s="48"/>
      <c r="I1137" s="48"/>
      <c r="J1137" s="48"/>
      <c r="L1137" s="65"/>
    </row>
    <row r="1138" spans="5:12">
      <c r="E1138" s="49">
        <v>45052.638888884569</v>
      </c>
      <c r="F1138" s="56">
        <v>4.0242360776545203</v>
      </c>
      <c r="G1138" s="48"/>
      <c r="H1138" s="48"/>
      <c r="I1138" s="48"/>
      <c r="J1138" s="48"/>
      <c r="L1138" s="65"/>
    </row>
    <row r="1139" spans="5:12">
      <c r="E1139" s="49">
        <v>45052.642361106788</v>
      </c>
      <c r="F1139" s="56">
        <v>4.0242360776545203</v>
      </c>
      <c r="G1139" s="48"/>
      <c r="H1139" s="48"/>
      <c r="I1139" s="48"/>
      <c r="J1139" s="48"/>
      <c r="L1139" s="65"/>
    </row>
    <row r="1140" spans="5:12">
      <c r="E1140" s="49">
        <v>45052.645833329007</v>
      </c>
      <c r="F1140" s="56">
        <v>4.0242360776545203</v>
      </c>
      <c r="G1140" s="48"/>
      <c r="H1140" s="48"/>
      <c r="I1140" s="48"/>
      <c r="J1140" s="48"/>
      <c r="L1140" s="65"/>
    </row>
    <row r="1141" spans="5:12">
      <c r="E1141" s="49">
        <v>45052.649305551226</v>
      </c>
      <c r="F1141" s="56">
        <v>4.0242360776545203</v>
      </c>
      <c r="G1141" s="48"/>
      <c r="H1141" s="48"/>
      <c r="I1141" s="48"/>
      <c r="J1141" s="48"/>
      <c r="L1141" s="65"/>
    </row>
    <row r="1142" spans="5:12">
      <c r="E1142" s="49">
        <v>45052.652777773445</v>
      </c>
      <c r="F1142" s="56">
        <v>4.0242360776545203</v>
      </c>
      <c r="G1142" s="48"/>
      <c r="H1142" s="48"/>
      <c r="I1142" s="48"/>
      <c r="J1142" s="48"/>
      <c r="L1142" s="65"/>
    </row>
    <row r="1143" spans="5:12">
      <c r="E1143" s="49">
        <v>45052.656249995664</v>
      </c>
      <c r="F1143" s="56">
        <v>4.0242360776545203</v>
      </c>
      <c r="G1143" s="48"/>
      <c r="H1143" s="48"/>
      <c r="I1143" s="48"/>
      <c r="J1143" s="48"/>
      <c r="L1143" s="65"/>
    </row>
    <row r="1144" spans="5:12">
      <c r="E1144" s="49">
        <v>45052.659722217883</v>
      </c>
      <c r="F1144" s="56">
        <v>4.0242360776545203</v>
      </c>
      <c r="G1144" s="48"/>
      <c r="H1144" s="48"/>
      <c r="I1144" s="48"/>
      <c r="J1144" s="48"/>
      <c r="L1144" s="65"/>
    </row>
    <row r="1145" spans="5:12">
      <c r="E1145" s="49">
        <v>45052.663194440102</v>
      </c>
      <c r="F1145" s="56">
        <v>4.0242360776545203</v>
      </c>
      <c r="G1145" s="48"/>
      <c r="H1145" s="48"/>
      <c r="I1145" s="48"/>
      <c r="J1145" s="48"/>
      <c r="L1145" s="65"/>
    </row>
    <row r="1146" spans="5:12">
      <c r="E1146" s="49">
        <v>45052.66666666232</v>
      </c>
      <c r="F1146" s="56">
        <v>4.0242360776545203</v>
      </c>
      <c r="G1146" s="48"/>
      <c r="H1146" s="48"/>
      <c r="I1146" s="48"/>
      <c r="J1146" s="48"/>
      <c r="L1146" s="65"/>
    </row>
    <row r="1147" spans="5:12">
      <c r="E1147" s="49">
        <v>45052.670138884539</v>
      </c>
      <c r="F1147" s="56">
        <v>0</v>
      </c>
      <c r="G1147" s="48"/>
      <c r="H1147" s="48"/>
      <c r="I1147" s="48"/>
      <c r="J1147" s="48"/>
      <c r="L1147" s="65"/>
    </row>
    <row r="1148" spans="5:12">
      <c r="E1148" s="49">
        <v>45052.673611106758</v>
      </c>
      <c r="F1148" s="56">
        <v>0</v>
      </c>
      <c r="G1148" s="48"/>
      <c r="H1148" s="48"/>
      <c r="I1148" s="48"/>
      <c r="J1148" s="48"/>
      <c r="L1148" s="65"/>
    </row>
    <row r="1149" spans="5:12">
      <c r="E1149" s="49">
        <v>45052.677083328977</v>
      </c>
      <c r="F1149" s="56">
        <v>0</v>
      </c>
      <c r="G1149" s="48"/>
      <c r="H1149" s="48"/>
      <c r="I1149" s="48"/>
      <c r="J1149" s="48"/>
      <c r="L1149" s="65"/>
    </row>
    <row r="1150" spans="5:12">
      <c r="E1150" s="49">
        <v>45052.680555551196</v>
      </c>
      <c r="F1150" s="56">
        <v>0</v>
      </c>
      <c r="G1150" s="48"/>
      <c r="H1150" s="48"/>
      <c r="I1150" s="48"/>
      <c r="J1150" s="48"/>
      <c r="L1150" s="65"/>
    </row>
    <row r="1151" spans="5:12">
      <c r="E1151" s="49">
        <v>45052.684027773415</v>
      </c>
      <c r="F1151" s="56">
        <v>0</v>
      </c>
      <c r="G1151" s="48"/>
      <c r="H1151" s="48"/>
      <c r="I1151" s="48"/>
      <c r="J1151" s="48"/>
      <c r="L1151" s="65"/>
    </row>
    <row r="1152" spans="5:12">
      <c r="E1152" s="49">
        <v>45052.687499995634</v>
      </c>
      <c r="F1152" s="56">
        <v>0</v>
      </c>
      <c r="G1152" s="48"/>
      <c r="H1152" s="48"/>
      <c r="I1152" s="48"/>
      <c r="J1152" s="48"/>
      <c r="L1152" s="65"/>
    </row>
    <row r="1153" spans="5:12">
      <c r="E1153" s="49">
        <v>45052.690972217853</v>
      </c>
      <c r="F1153" s="56">
        <v>0</v>
      </c>
      <c r="G1153" s="48"/>
      <c r="H1153" s="48"/>
      <c r="I1153" s="48"/>
      <c r="J1153" s="48"/>
      <c r="L1153" s="65"/>
    </row>
    <row r="1154" spans="5:12">
      <c r="E1154" s="49">
        <v>45052.694444440072</v>
      </c>
      <c r="F1154" s="56">
        <v>0</v>
      </c>
      <c r="G1154" s="48"/>
      <c r="H1154" s="48"/>
      <c r="I1154" s="48"/>
      <c r="J1154" s="48"/>
      <c r="L1154" s="65"/>
    </row>
    <row r="1155" spans="5:12">
      <c r="E1155" s="49">
        <v>45052.697916662291</v>
      </c>
      <c r="F1155" s="56">
        <v>0</v>
      </c>
      <c r="G1155" s="48"/>
      <c r="H1155" s="48"/>
      <c r="I1155" s="48"/>
      <c r="J1155" s="48"/>
      <c r="L1155" s="65"/>
    </row>
    <row r="1156" spans="5:12">
      <c r="E1156" s="49">
        <v>45052.70138888451</v>
      </c>
      <c r="F1156" s="56">
        <v>0</v>
      </c>
      <c r="G1156" s="48"/>
      <c r="H1156" s="48"/>
      <c r="I1156" s="48"/>
      <c r="J1156" s="48"/>
      <c r="L1156" s="65"/>
    </row>
    <row r="1157" spans="5:12">
      <c r="E1157" s="49">
        <v>45052.704861106729</v>
      </c>
      <c r="F1157" s="56">
        <v>0</v>
      </c>
      <c r="G1157" s="48"/>
      <c r="H1157" s="48"/>
      <c r="I1157" s="48"/>
      <c r="J1157" s="48"/>
      <c r="L1157" s="65"/>
    </row>
    <row r="1158" spans="5:12">
      <c r="E1158" s="49">
        <v>45052.708333328948</v>
      </c>
      <c r="F1158" s="56">
        <v>6.5520882926973849</v>
      </c>
      <c r="G1158" s="48"/>
      <c r="H1158" s="48"/>
      <c r="I1158" s="48"/>
      <c r="J1158" s="48"/>
      <c r="L1158" s="65"/>
    </row>
    <row r="1159" spans="5:12">
      <c r="E1159" s="49">
        <v>45052.711805551167</v>
      </c>
      <c r="F1159" s="56">
        <v>6.5520882926973849</v>
      </c>
      <c r="G1159" s="48"/>
      <c r="H1159" s="48"/>
      <c r="I1159" s="48"/>
      <c r="J1159" s="48"/>
      <c r="L1159" s="65"/>
    </row>
    <row r="1160" spans="5:12">
      <c r="E1160" s="49">
        <v>45052.715277773386</v>
      </c>
      <c r="F1160" s="56">
        <v>6.5520882926973849</v>
      </c>
      <c r="G1160" s="48"/>
      <c r="H1160" s="48"/>
      <c r="I1160" s="48"/>
      <c r="J1160" s="48"/>
      <c r="L1160" s="65"/>
    </row>
    <row r="1161" spans="5:12">
      <c r="E1161" s="49">
        <v>45052.718749995605</v>
      </c>
      <c r="F1161" s="56">
        <v>6.5520882926973849</v>
      </c>
      <c r="G1161" s="48"/>
      <c r="H1161" s="48"/>
      <c r="I1161" s="48"/>
      <c r="J1161" s="48"/>
      <c r="L1161" s="65"/>
    </row>
    <row r="1162" spans="5:12">
      <c r="E1162" s="49">
        <v>45052.722222217824</v>
      </c>
      <c r="F1162" s="56">
        <v>6.5520882926973849</v>
      </c>
      <c r="G1162" s="48"/>
      <c r="H1162" s="48"/>
      <c r="I1162" s="48"/>
      <c r="J1162" s="48"/>
      <c r="L1162" s="65"/>
    </row>
    <row r="1163" spans="5:12">
      <c r="E1163" s="49">
        <v>45052.725694440043</v>
      </c>
      <c r="F1163" s="56">
        <v>6.5520882926973849</v>
      </c>
      <c r="G1163" s="48"/>
      <c r="H1163" s="48"/>
      <c r="I1163" s="48"/>
      <c r="J1163" s="48"/>
      <c r="L1163" s="65"/>
    </row>
    <row r="1164" spans="5:12">
      <c r="E1164" s="49">
        <v>45052.729166662262</v>
      </c>
      <c r="F1164" s="56">
        <v>6.5520882926973849</v>
      </c>
      <c r="G1164" s="48"/>
      <c r="H1164" s="48"/>
      <c r="I1164" s="48"/>
      <c r="J1164" s="48"/>
      <c r="L1164" s="65"/>
    </row>
    <row r="1165" spans="5:12">
      <c r="E1165" s="49">
        <v>45052.732638884481</v>
      </c>
      <c r="F1165" s="56">
        <v>6.5520882926973849</v>
      </c>
      <c r="G1165" s="48"/>
      <c r="H1165" s="48"/>
      <c r="I1165" s="48"/>
      <c r="J1165" s="48"/>
      <c r="L1165" s="65"/>
    </row>
    <row r="1166" spans="5:12">
      <c r="E1166" s="49">
        <v>45052.7361111067</v>
      </c>
      <c r="F1166" s="56">
        <v>6.5520882926973849</v>
      </c>
      <c r="G1166" s="48"/>
      <c r="H1166" s="48"/>
      <c r="I1166" s="48"/>
      <c r="J1166" s="48"/>
      <c r="L1166" s="65"/>
    </row>
    <row r="1167" spans="5:12">
      <c r="E1167" s="49">
        <v>45052.739583328919</v>
      </c>
      <c r="F1167" s="56">
        <v>6.5520882926973849</v>
      </c>
      <c r="G1167" s="48"/>
      <c r="H1167" s="48"/>
      <c r="I1167" s="48"/>
      <c r="J1167" s="48"/>
      <c r="L1167" s="65"/>
    </row>
    <row r="1168" spans="5:12">
      <c r="E1168" s="49">
        <v>45052.743055551138</v>
      </c>
      <c r="F1168" s="56">
        <v>6.5520882926973849</v>
      </c>
      <c r="G1168" s="48"/>
      <c r="H1168" s="48"/>
      <c r="I1168" s="48"/>
      <c r="J1168" s="48"/>
      <c r="L1168" s="65"/>
    </row>
    <row r="1169" spans="5:12">
      <c r="E1169" s="49">
        <v>45052.746527773357</v>
      </c>
      <c r="F1169" s="56">
        <v>6.5520882926973849</v>
      </c>
      <c r="G1169" s="48"/>
      <c r="H1169" s="48"/>
      <c r="I1169" s="48"/>
      <c r="J1169" s="48"/>
      <c r="L1169" s="65"/>
    </row>
    <row r="1170" spans="5:12">
      <c r="E1170" s="49">
        <v>45052.749999995576</v>
      </c>
      <c r="F1170" s="56">
        <v>6.5520882926973849</v>
      </c>
      <c r="G1170" s="48"/>
      <c r="H1170" s="48"/>
      <c r="I1170" s="48"/>
      <c r="J1170" s="48"/>
      <c r="L1170" s="65"/>
    </row>
    <row r="1171" spans="5:12">
      <c r="E1171" s="49">
        <v>45052.753472217795</v>
      </c>
      <c r="F1171" s="56">
        <v>6.5520882926973849</v>
      </c>
      <c r="G1171" s="48"/>
      <c r="H1171" s="48"/>
      <c r="I1171" s="48"/>
      <c r="J1171" s="48"/>
      <c r="L1171" s="65"/>
    </row>
    <row r="1172" spans="5:12">
      <c r="E1172" s="49">
        <v>45052.756944440014</v>
      </c>
      <c r="F1172" s="56">
        <v>6.5520882926973849</v>
      </c>
      <c r="G1172" s="48"/>
      <c r="H1172" s="48"/>
      <c r="I1172" s="48"/>
      <c r="J1172" s="48"/>
      <c r="L1172" s="65"/>
    </row>
    <row r="1173" spans="5:12">
      <c r="E1173" s="49">
        <v>45052.760416662233</v>
      </c>
      <c r="F1173" s="56">
        <v>6.5520882926973849</v>
      </c>
      <c r="G1173" s="48"/>
      <c r="H1173" s="48"/>
      <c r="I1173" s="48"/>
      <c r="J1173" s="48"/>
      <c r="L1173" s="65"/>
    </row>
    <row r="1174" spans="5:12">
      <c r="E1174" s="49">
        <v>45052.763888884452</v>
      </c>
      <c r="F1174" s="56">
        <v>6.5520882926973849</v>
      </c>
      <c r="G1174" s="48"/>
      <c r="H1174" s="48"/>
      <c r="I1174" s="48"/>
      <c r="J1174" s="48"/>
      <c r="L1174" s="65"/>
    </row>
    <row r="1175" spans="5:12">
      <c r="E1175" s="49">
        <v>45052.767361106671</v>
      </c>
      <c r="F1175" s="56">
        <v>6.5520882926973849</v>
      </c>
      <c r="G1175" s="48"/>
      <c r="H1175" s="48"/>
      <c r="I1175" s="48"/>
      <c r="J1175" s="48"/>
      <c r="L1175" s="65"/>
    </row>
    <row r="1176" spans="5:12">
      <c r="E1176" s="49">
        <v>45052.77083332889</v>
      </c>
      <c r="F1176" s="56">
        <v>6.5520882926973849</v>
      </c>
      <c r="G1176" s="48"/>
      <c r="H1176" s="48"/>
      <c r="I1176" s="48"/>
      <c r="J1176" s="48"/>
      <c r="L1176" s="65"/>
    </row>
    <row r="1177" spans="5:12">
      <c r="E1177" s="49">
        <v>45052.774305551109</v>
      </c>
      <c r="F1177" s="56">
        <v>6.5520882926973849</v>
      </c>
      <c r="G1177" s="48"/>
      <c r="H1177" s="48"/>
      <c r="I1177" s="48"/>
      <c r="J1177" s="48"/>
      <c r="L1177" s="65"/>
    </row>
    <row r="1178" spans="5:12">
      <c r="E1178" s="49">
        <v>45052.777777773328</v>
      </c>
      <c r="F1178" s="56">
        <v>6.5520882926973849</v>
      </c>
      <c r="G1178" s="48"/>
      <c r="H1178" s="48"/>
      <c r="I1178" s="48"/>
      <c r="J1178" s="48"/>
      <c r="L1178" s="65"/>
    </row>
    <row r="1179" spans="5:12">
      <c r="E1179" s="49">
        <v>45052.781249995547</v>
      </c>
      <c r="F1179" s="56">
        <v>6.5520882926973849</v>
      </c>
      <c r="G1179" s="48"/>
      <c r="H1179" s="48"/>
      <c r="I1179" s="48"/>
      <c r="J1179" s="48"/>
      <c r="L1179" s="65"/>
    </row>
    <row r="1180" spans="5:12">
      <c r="E1180" s="49">
        <v>45052.784722217766</v>
      </c>
      <c r="F1180" s="56">
        <v>6.5520882926973849</v>
      </c>
      <c r="G1180" s="48"/>
      <c r="H1180" s="48"/>
      <c r="I1180" s="48"/>
      <c r="J1180" s="48"/>
      <c r="L1180" s="65"/>
    </row>
    <row r="1181" spans="5:12">
      <c r="E1181" s="49">
        <v>45052.788194439985</v>
      </c>
      <c r="F1181" s="56">
        <v>6.5520882926973849</v>
      </c>
      <c r="G1181" s="48"/>
      <c r="H1181" s="48"/>
      <c r="I1181" s="48"/>
      <c r="J1181" s="48"/>
      <c r="L1181" s="65"/>
    </row>
    <row r="1182" spans="5:12">
      <c r="E1182" s="49">
        <v>45052.791666662204</v>
      </c>
      <c r="F1182" s="56">
        <v>6.5520882926973849</v>
      </c>
      <c r="G1182" s="48"/>
      <c r="H1182" s="48"/>
      <c r="I1182" s="48"/>
      <c r="J1182" s="48"/>
      <c r="L1182" s="65"/>
    </row>
    <row r="1183" spans="5:12">
      <c r="E1183" s="49">
        <v>45052.795138884423</v>
      </c>
      <c r="F1183" s="56">
        <v>6.5520882926973849</v>
      </c>
      <c r="G1183" s="48"/>
      <c r="H1183" s="48"/>
      <c r="I1183" s="48"/>
      <c r="J1183" s="48"/>
      <c r="L1183" s="65"/>
    </row>
    <row r="1184" spans="5:12">
      <c r="E1184" s="49">
        <v>45052.798611106642</v>
      </c>
      <c r="F1184" s="56">
        <v>6.5520882926973849</v>
      </c>
      <c r="G1184" s="48"/>
      <c r="H1184" s="48"/>
      <c r="I1184" s="48"/>
      <c r="J1184" s="48"/>
      <c r="L1184" s="65"/>
    </row>
    <row r="1185" spans="5:12">
      <c r="E1185" s="49">
        <v>45052.802083328861</v>
      </c>
      <c r="F1185" s="56">
        <v>6.5520882926973849</v>
      </c>
      <c r="G1185" s="48"/>
      <c r="H1185" s="48"/>
      <c r="I1185" s="48"/>
      <c r="J1185" s="48"/>
      <c r="L1185" s="65"/>
    </row>
    <row r="1186" spans="5:12">
      <c r="E1186" s="49">
        <v>45052.80555555108</v>
      </c>
      <c r="F1186" s="56">
        <v>6.5520882926973849</v>
      </c>
      <c r="G1186" s="48"/>
      <c r="H1186" s="48"/>
      <c r="I1186" s="48"/>
      <c r="J1186" s="48"/>
      <c r="L1186" s="65"/>
    </row>
    <row r="1187" spans="5:12">
      <c r="E1187" s="49">
        <v>45052.809027773299</v>
      </c>
      <c r="F1187" s="56">
        <v>6.5520882926973849</v>
      </c>
      <c r="G1187" s="48"/>
      <c r="H1187" s="48"/>
      <c r="I1187" s="48"/>
      <c r="J1187" s="48"/>
      <c r="L1187" s="65"/>
    </row>
    <row r="1188" spans="5:12">
      <c r="E1188" s="49">
        <v>45052.812499995518</v>
      </c>
      <c r="F1188" s="56">
        <v>6.5520882926973849</v>
      </c>
      <c r="G1188" s="48"/>
      <c r="H1188" s="48"/>
      <c r="I1188" s="48"/>
      <c r="J1188" s="48"/>
      <c r="L1188" s="65"/>
    </row>
    <row r="1189" spans="5:12">
      <c r="E1189" s="49">
        <v>45052.815972217737</v>
      </c>
      <c r="F1189" s="56">
        <v>6.5520882926973849</v>
      </c>
      <c r="G1189" s="48"/>
      <c r="H1189" s="48"/>
      <c r="I1189" s="48"/>
      <c r="J1189" s="48"/>
      <c r="L1189" s="65"/>
    </row>
    <row r="1190" spans="5:12">
      <c r="E1190" s="49">
        <v>45052.819444439956</v>
      </c>
      <c r="F1190" s="56">
        <v>6.5520882926973849</v>
      </c>
      <c r="G1190" s="48"/>
      <c r="H1190" s="48"/>
      <c r="I1190" s="48"/>
      <c r="J1190" s="48"/>
      <c r="L1190" s="65"/>
    </row>
    <row r="1191" spans="5:12">
      <c r="E1191" s="49">
        <v>45052.822916662175</v>
      </c>
      <c r="F1191" s="56">
        <v>6.5520882926973849</v>
      </c>
      <c r="G1191" s="48"/>
      <c r="H1191" s="48"/>
      <c r="I1191" s="48"/>
      <c r="J1191" s="48"/>
      <c r="L1191" s="65"/>
    </row>
    <row r="1192" spans="5:12">
      <c r="E1192" s="49">
        <v>45052.826388884394</v>
      </c>
      <c r="F1192" s="56">
        <v>6.5520882926973849</v>
      </c>
      <c r="G1192" s="48"/>
      <c r="H1192" s="48"/>
      <c r="I1192" s="48"/>
      <c r="J1192" s="48"/>
      <c r="L1192" s="65"/>
    </row>
    <row r="1193" spans="5:12">
      <c r="E1193" s="49">
        <v>45052.829861106613</v>
      </c>
      <c r="F1193" s="56">
        <v>6.5520882926973849</v>
      </c>
      <c r="G1193" s="48"/>
      <c r="H1193" s="48"/>
      <c r="I1193" s="48"/>
      <c r="J1193" s="48"/>
      <c r="L1193" s="65"/>
    </row>
    <row r="1194" spans="5:12">
      <c r="E1194" s="49">
        <v>45052.833333328832</v>
      </c>
      <c r="F1194" s="56">
        <v>6.5520882926973849</v>
      </c>
      <c r="G1194" s="48"/>
      <c r="H1194" s="48"/>
      <c r="I1194" s="48"/>
      <c r="J1194" s="48"/>
      <c r="L1194" s="65"/>
    </row>
    <row r="1195" spans="5:12">
      <c r="E1195" s="49">
        <v>45052.836805551051</v>
      </c>
      <c r="F1195" s="56">
        <v>6.5520882926973849</v>
      </c>
      <c r="G1195" s="48"/>
      <c r="H1195" s="48"/>
      <c r="I1195" s="48"/>
      <c r="J1195" s="48"/>
      <c r="L1195" s="65"/>
    </row>
    <row r="1196" spans="5:12">
      <c r="E1196" s="49">
        <v>45052.84027777327</v>
      </c>
      <c r="F1196" s="56">
        <v>6.5520882926973849</v>
      </c>
      <c r="G1196" s="48"/>
      <c r="H1196" s="48"/>
      <c r="I1196" s="48"/>
      <c r="J1196" s="48"/>
      <c r="L1196" s="65"/>
    </row>
    <row r="1197" spans="5:12">
      <c r="E1197" s="49">
        <v>45052.843749995489</v>
      </c>
      <c r="F1197" s="56">
        <v>6.5520882926973849</v>
      </c>
      <c r="G1197" s="48"/>
      <c r="H1197" s="48"/>
      <c r="I1197" s="48"/>
      <c r="J1197" s="48"/>
      <c r="L1197" s="65"/>
    </row>
    <row r="1198" spans="5:12">
      <c r="E1198" s="49">
        <v>45052.847222217708</v>
      </c>
      <c r="F1198" s="56">
        <v>6.5520882926973849</v>
      </c>
      <c r="G1198" s="48"/>
      <c r="H1198" s="48"/>
      <c r="I1198" s="48"/>
      <c r="J1198" s="48"/>
      <c r="L1198" s="65"/>
    </row>
    <row r="1199" spans="5:12">
      <c r="E1199" s="49">
        <v>45052.850694439927</v>
      </c>
      <c r="F1199" s="56">
        <v>6.5520882926973849</v>
      </c>
      <c r="G1199" s="48"/>
      <c r="H1199" s="48"/>
      <c r="I1199" s="48"/>
      <c r="J1199" s="48"/>
      <c r="L1199" s="65"/>
    </row>
    <row r="1200" spans="5:12">
      <c r="E1200" s="49">
        <v>45052.854166662146</v>
      </c>
      <c r="F1200" s="56">
        <v>6.5520882926973849</v>
      </c>
      <c r="G1200" s="48"/>
      <c r="H1200" s="48"/>
      <c r="I1200" s="48"/>
      <c r="J1200" s="48"/>
      <c r="L1200" s="65"/>
    </row>
    <row r="1201" spans="5:12">
      <c r="E1201" s="49">
        <v>45052.857638884365</v>
      </c>
      <c r="F1201" s="56">
        <v>6.5520882926973849</v>
      </c>
      <c r="G1201" s="48"/>
      <c r="H1201" s="48"/>
      <c r="I1201" s="48"/>
      <c r="J1201" s="48"/>
      <c r="L1201" s="65"/>
    </row>
    <row r="1202" spans="5:12">
      <c r="E1202" s="49">
        <v>45052.861111106584</v>
      </c>
      <c r="F1202" s="56">
        <v>6.5520882926973849</v>
      </c>
      <c r="G1202" s="48"/>
      <c r="H1202" s="48"/>
      <c r="I1202" s="48"/>
      <c r="J1202" s="48"/>
      <c r="L1202" s="65"/>
    </row>
    <row r="1203" spans="5:12">
      <c r="E1203" s="49">
        <v>45052.864583328803</v>
      </c>
      <c r="F1203" s="56">
        <v>6.5520882926973849</v>
      </c>
      <c r="G1203" s="48"/>
      <c r="H1203" s="48"/>
      <c r="I1203" s="48"/>
      <c r="J1203" s="48"/>
      <c r="L1203" s="65"/>
    </row>
    <row r="1204" spans="5:12">
      <c r="E1204" s="49">
        <v>45052.868055551022</v>
      </c>
      <c r="F1204" s="56">
        <v>6.5520882926973849</v>
      </c>
      <c r="G1204" s="48"/>
      <c r="H1204" s="48"/>
      <c r="I1204" s="48"/>
      <c r="J1204" s="48"/>
      <c r="L1204" s="65"/>
    </row>
    <row r="1205" spans="5:12">
      <c r="E1205" s="49">
        <v>45052.871527773241</v>
      </c>
      <c r="F1205" s="56">
        <v>6.5520882926973849</v>
      </c>
      <c r="G1205" s="48"/>
      <c r="H1205" s="48"/>
      <c r="I1205" s="48"/>
      <c r="J1205" s="48"/>
      <c r="L1205" s="65"/>
    </row>
    <row r="1206" spans="5:12">
      <c r="E1206" s="49">
        <v>45052.87499999546</v>
      </c>
      <c r="F1206" s="56">
        <v>6.5520882926973849</v>
      </c>
      <c r="G1206" s="48"/>
      <c r="H1206" s="48"/>
      <c r="I1206" s="48"/>
      <c r="J1206" s="48"/>
      <c r="L1206" s="65"/>
    </row>
    <row r="1207" spans="5:12">
      <c r="E1207" s="49">
        <v>45052.878472217679</v>
      </c>
      <c r="F1207" s="56">
        <v>6.5520882926973849</v>
      </c>
      <c r="G1207" s="48"/>
      <c r="H1207" s="48"/>
      <c r="I1207" s="48"/>
      <c r="J1207" s="48"/>
      <c r="L1207" s="65"/>
    </row>
    <row r="1208" spans="5:12">
      <c r="E1208" s="49">
        <v>45052.881944439898</v>
      </c>
      <c r="F1208" s="56">
        <v>6.5520882926973849</v>
      </c>
      <c r="G1208" s="48"/>
      <c r="H1208" s="48"/>
      <c r="I1208" s="48"/>
      <c r="J1208" s="48"/>
      <c r="L1208" s="65"/>
    </row>
    <row r="1209" spans="5:12">
      <c r="E1209" s="49">
        <v>45052.885416662117</v>
      </c>
      <c r="F1209" s="56">
        <v>6.5520882926973849</v>
      </c>
      <c r="G1209" s="48"/>
      <c r="H1209" s="48"/>
      <c r="I1209" s="48"/>
      <c r="J1209" s="48"/>
      <c r="L1209" s="65"/>
    </row>
    <row r="1210" spans="5:12">
      <c r="E1210" s="49">
        <v>45052.888888884336</v>
      </c>
      <c r="F1210" s="56">
        <v>6.5520882926973849</v>
      </c>
      <c r="G1210" s="48"/>
      <c r="H1210" s="48"/>
      <c r="I1210" s="48"/>
      <c r="J1210" s="48"/>
      <c r="L1210" s="65"/>
    </row>
    <row r="1211" spans="5:12">
      <c r="E1211" s="49">
        <v>45052.892361106555</v>
      </c>
      <c r="F1211" s="56">
        <v>6.5520882926973849</v>
      </c>
      <c r="G1211" s="48"/>
      <c r="H1211" s="48"/>
      <c r="I1211" s="48"/>
      <c r="J1211" s="48"/>
      <c r="L1211" s="65"/>
    </row>
    <row r="1212" spans="5:12">
      <c r="E1212" s="49">
        <v>45052.895833328774</v>
      </c>
      <c r="F1212" s="56">
        <v>6.5520882926973849</v>
      </c>
      <c r="G1212" s="48"/>
      <c r="H1212" s="48"/>
      <c r="I1212" s="48"/>
      <c r="J1212" s="48"/>
      <c r="L1212" s="65"/>
    </row>
    <row r="1213" spans="5:12">
      <c r="E1213" s="49">
        <v>45052.899305550993</v>
      </c>
      <c r="F1213" s="56">
        <v>6.5520882926973849</v>
      </c>
      <c r="G1213" s="48"/>
      <c r="H1213" s="48"/>
      <c r="I1213" s="48"/>
      <c r="J1213" s="48"/>
      <c r="L1213" s="65"/>
    </row>
    <row r="1214" spans="5:12">
      <c r="E1214" s="49">
        <v>45052.902777773212</v>
      </c>
      <c r="F1214" s="56">
        <v>6.5520882926973849</v>
      </c>
      <c r="G1214" s="48"/>
      <c r="H1214" s="48"/>
      <c r="I1214" s="48"/>
      <c r="J1214" s="48"/>
      <c r="L1214" s="65"/>
    </row>
    <row r="1215" spans="5:12">
      <c r="E1215" s="49">
        <v>45052.906249995431</v>
      </c>
      <c r="F1215" s="56">
        <v>6.5520882926973849</v>
      </c>
      <c r="G1215" s="48"/>
      <c r="H1215" s="48"/>
      <c r="I1215" s="48"/>
      <c r="J1215" s="48"/>
      <c r="L1215" s="65"/>
    </row>
    <row r="1216" spans="5:12">
      <c r="E1216" s="49">
        <v>45052.90972221765</v>
      </c>
      <c r="F1216" s="56">
        <v>6.5520882926973849</v>
      </c>
      <c r="G1216" s="48"/>
      <c r="H1216" s="48"/>
      <c r="I1216" s="48"/>
      <c r="J1216" s="48"/>
      <c r="L1216" s="65"/>
    </row>
    <row r="1217" spans="5:12">
      <c r="E1217" s="49">
        <v>45052.913194439869</v>
      </c>
      <c r="F1217" s="56">
        <v>6.5520882926973849</v>
      </c>
      <c r="G1217" s="48"/>
      <c r="H1217" s="48"/>
      <c r="I1217" s="48"/>
      <c r="J1217" s="48"/>
      <c r="L1217" s="65"/>
    </row>
    <row r="1218" spans="5:12">
      <c r="E1218" s="49">
        <v>45052.916666662088</v>
      </c>
      <c r="F1218" s="56">
        <v>6.5520882926973849</v>
      </c>
      <c r="G1218" s="48"/>
      <c r="H1218" s="48"/>
      <c r="I1218" s="48"/>
      <c r="J1218" s="48"/>
      <c r="L1218" s="65"/>
    </row>
    <row r="1219" spans="5:12">
      <c r="E1219" s="49">
        <v>45052.920138884307</v>
      </c>
      <c r="F1219" s="56">
        <v>6.5520882926973849</v>
      </c>
      <c r="G1219" s="48"/>
      <c r="H1219" s="48"/>
      <c r="I1219" s="48"/>
      <c r="J1219" s="48"/>
      <c r="L1219" s="65"/>
    </row>
    <row r="1220" spans="5:12">
      <c r="E1220" s="49">
        <v>45052.923611106526</v>
      </c>
      <c r="F1220" s="56">
        <v>6.5520882926973849</v>
      </c>
      <c r="G1220" s="48"/>
      <c r="H1220" s="48"/>
      <c r="I1220" s="48"/>
      <c r="J1220" s="48"/>
      <c r="L1220" s="65"/>
    </row>
    <row r="1221" spans="5:12">
      <c r="E1221" s="49">
        <v>45052.927083328745</v>
      </c>
      <c r="F1221" s="56">
        <v>6.5520882926973849</v>
      </c>
      <c r="G1221" s="48"/>
      <c r="H1221" s="48"/>
      <c r="I1221" s="48"/>
      <c r="J1221" s="48"/>
      <c r="L1221" s="65"/>
    </row>
    <row r="1222" spans="5:12">
      <c r="E1222" s="49">
        <v>45052.930555550964</v>
      </c>
      <c r="F1222" s="56">
        <v>6.5520882926973849</v>
      </c>
      <c r="G1222" s="48"/>
      <c r="H1222" s="48"/>
      <c r="I1222" s="48"/>
      <c r="J1222" s="48"/>
      <c r="L1222" s="65"/>
    </row>
    <row r="1223" spans="5:12">
      <c r="E1223" s="49">
        <v>45052.934027773183</v>
      </c>
      <c r="F1223" s="56">
        <v>6.5520882926973849</v>
      </c>
      <c r="G1223" s="48"/>
      <c r="H1223" s="48"/>
      <c r="I1223" s="48"/>
      <c r="J1223" s="48"/>
      <c r="L1223" s="65"/>
    </row>
    <row r="1224" spans="5:12">
      <c r="E1224" s="49">
        <v>45052.937499995402</v>
      </c>
      <c r="F1224" s="56">
        <v>6.5520882926973849</v>
      </c>
      <c r="G1224" s="48"/>
      <c r="H1224" s="48"/>
      <c r="I1224" s="48"/>
      <c r="J1224" s="48"/>
      <c r="L1224" s="65"/>
    </row>
    <row r="1225" spans="5:12">
      <c r="E1225" s="49">
        <v>45052.940972217621</v>
      </c>
      <c r="F1225" s="56">
        <v>6.5520882926973849</v>
      </c>
      <c r="G1225" s="48"/>
      <c r="H1225" s="48"/>
      <c r="I1225" s="48"/>
      <c r="J1225" s="48"/>
      <c r="L1225" s="65"/>
    </row>
    <row r="1226" spans="5:12">
      <c r="E1226" s="49">
        <v>45052.94444443984</v>
      </c>
      <c r="F1226" s="56">
        <v>6.5520882926973849</v>
      </c>
      <c r="G1226" s="48"/>
      <c r="H1226" s="48"/>
      <c r="I1226" s="48"/>
      <c r="J1226" s="48"/>
      <c r="L1226" s="65"/>
    </row>
    <row r="1227" spans="5:12">
      <c r="E1227" s="49">
        <v>45052.947916662059</v>
      </c>
      <c r="F1227" s="56">
        <v>6.5520882926973849</v>
      </c>
      <c r="G1227" s="48"/>
      <c r="H1227" s="48"/>
      <c r="I1227" s="48"/>
      <c r="J1227" s="48"/>
      <c r="L1227" s="65"/>
    </row>
    <row r="1228" spans="5:12">
      <c r="E1228" s="49">
        <v>45052.951388884278</v>
      </c>
      <c r="F1228" s="56">
        <v>6.5520882926973849</v>
      </c>
      <c r="G1228" s="48"/>
      <c r="H1228" s="48"/>
      <c r="I1228" s="48"/>
      <c r="J1228" s="48"/>
      <c r="L1228" s="65"/>
    </row>
    <row r="1229" spans="5:12">
      <c r="E1229" s="49">
        <v>45052.954861106497</v>
      </c>
      <c r="F1229" s="56">
        <v>6.5520882926973849</v>
      </c>
      <c r="G1229" s="48"/>
      <c r="H1229" s="48"/>
      <c r="I1229" s="48"/>
      <c r="J1229" s="48"/>
      <c r="L1229" s="65"/>
    </row>
    <row r="1230" spans="5:12">
      <c r="E1230" s="49">
        <v>45052.958333328716</v>
      </c>
      <c r="F1230" s="56">
        <v>6.5520882926973849</v>
      </c>
      <c r="G1230" s="48"/>
      <c r="H1230" s="48"/>
      <c r="I1230" s="48"/>
      <c r="J1230" s="48"/>
      <c r="L1230" s="65"/>
    </row>
    <row r="1231" spans="5:12">
      <c r="E1231" s="49">
        <v>45052.961805550935</v>
      </c>
      <c r="F1231" s="56">
        <v>6.5520882926973849</v>
      </c>
      <c r="G1231" s="48"/>
      <c r="H1231" s="48"/>
      <c r="I1231" s="48"/>
      <c r="J1231" s="48"/>
      <c r="L1231" s="65"/>
    </row>
    <row r="1232" spans="5:12">
      <c r="E1232" s="49">
        <v>45052.965277773154</v>
      </c>
      <c r="F1232" s="56">
        <v>6.5520882926973849</v>
      </c>
      <c r="G1232" s="48"/>
      <c r="H1232" s="48"/>
      <c r="I1232" s="48"/>
      <c r="J1232" s="48"/>
      <c r="L1232" s="65"/>
    </row>
    <row r="1233" spans="5:12">
      <c r="E1233" s="49">
        <v>45052.968749995372</v>
      </c>
      <c r="F1233" s="56">
        <v>6.5520882926973849</v>
      </c>
      <c r="G1233" s="48"/>
      <c r="H1233" s="48"/>
      <c r="I1233" s="48"/>
      <c r="J1233" s="48"/>
      <c r="L1233" s="65"/>
    </row>
    <row r="1234" spans="5:12">
      <c r="E1234" s="49">
        <v>45052.972222217591</v>
      </c>
      <c r="F1234" s="56">
        <v>6.5520882926973849</v>
      </c>
      <c r="G1234" s="48"/>
      <c r="H1234" s="48"/>
      <c r="I1234" s="48"/>
      <c r="J1234" s="48"/>
      <c r="L1234" s="65"/>
    </row>
    <row r="1235" spans="5:12">
      <c r="E1235" s="49">
        <v>45052.97569443981</v>
      </c>
      <c r="F1235" s="56">
        <v>6.5520882926973849</v>
      </c>
      <c r="G1235" s="48"/>
      <c r="H1235" s="48"/>
      <c r="I1235" s="48"/>
      <c r="J1235" s="48"/>
      <c r="L1235" s="65"/>
    </row>
    <row r="1236" spans="5:12">
      <c r="E1236" s="49">
        <v>45052.979166662029</v>
      </c>
      <c r="F1236" s="56">
        <v>6.5520882926973849</v>
      </c>
      <c r="G1236" s="48"/>
      <c r="H1236" s="48"/>
      <c r="I1236" s="48"/>
      <c r="J1236" s="48"/>
      <c r="L1236" s="65"/>
    </row>
    <row r="1237" spans="5:12">
      <c r="E1237" s="49">
        <v>45052.982638884248</v>
      </c>
      <c r="F1237" s="56">
        <v>6.5520882926973849</v>
      </c>
      <c r="G1237" s="48"/>
      <c r="H1237" s="48"/>
      <c r="I1237" s="48"/>
      <c r="J1237" s="48"/>
      <c r="L1237" s="65"/>
    </row>
    <row r="1238" spans="5:12">
      <c r="E1238" s="49">
        <v>45052.986111106467</v>
      </c>
      <c r="F1238" s="56">
        <v>6.5520882926973849</v>
      </c>
      <c r="G1238" s="48"/>
      <c r="H1238" s="48"/>
      <c r="I1238" s="48"/>
      <c r="J1238" s="48"/>
      <c r="L1238" s="65"/>
    </row>
    <row r="1239" spans="5:12">
      <c r="E1239" s="49">
        <v>45052.989583328686</v>
      </c>
      <c r="F1239" s="56">
        <v>6.5520882926973849</v>
      </c>
      <c r="G1239" s="48"/>
      <c r="H1239" s="48"/>
      <c r="I1239" s="48"/>
      <c r="J1239" s="48"/>
      <c r="L1239" s="65"/>
    </row>
    <row r="1240" spans="5:12">
      <c r="E1240" s="49">
        <v>45052.993055550905</v>
      </c>
      <c r="F1240" s="56">
        <v>6.5520882926973849</v>
      </c>
      <c r="G1240" s="48"/>
      <c r="H1240" s="48"/>
      <c r="I1240" s="48"/>
      <c r="J1240" s="48"/>
      <c r="L1240" s="65"/>
    </row>
    <row r="1241" spans="5:12">
      <c r="E1241" s="49">
        <v>45052.996527773124</v>
      </c>
      <c r="F1241" s="56">
        <v>6.5520882926973849</v>
      </c>
      <c r="G1241" s="48"/>
      <c r="H1241" s="48"/>
      <c r="I1241" s="48"/>
      <c r="J1241" s="48"/>
      <c r="L1241" s="65"/>
    </row>
    <row r="1242" spans="5:12">
      <c r="E1242" s="49">
        <v>45052.999999995343</v>
      </c>
      <c r="F1242" s="56">
        <v>6.5520882926973849</v>
      </c>
      <c r="G1242" s="48"/>
      <c r="H1242" s="48"/>
      <c r="I1242" s="48"/>
      <c r="J1242" s="48"/>
      <c r="L1242" s="65"/>
    </row>
    <row r="1243" spans="5:12">
      <c r="E1243" s="49">
        <v>45053.003472217562</v>
      </c>
      <c r="F1243" s="56">
        <v>6.5520882926973849</v>
      </c>
      <c r="G1243" s="48"/>
      <c r="H1243" s="48"/>
      <c r="I1243" s="48"/>
      <c r="J1243" s="48"/>
      <c r="L1243" s="65"/>
    </row>
    <row r="1244" spans="5:12">
      <c r="E1244" s="49">
        <v>45053.006944439781</v>
      </c>
      <c r="F1244" s="56">
        <v>6.5520882926973849</v>
      </c>
      <c r="G1244" s="48"/>
      <c r="H1244" s="48"/>
      <c r="I1244" s="48"/>
      <c r="J1244" s="48"/>
      <c r="L1244" s="65"/>
    </row>
    <row r="1245" spans="5:12">
      <c r="E1245" s="49">
        <v>45053.010416662</v>
      </c>
      <c r="F1245" s="56">
        <v>6.5520882926973849</v>
      </c>
      <c r="G1245" s="48"/>
      <c r="H1245" s="48"/>
      <c r="I1245" s="48"/>
      <c r="J1245" s="48"/>
      <c r="L1245" s="65"/>
    </row>
    <row r="1246" spans="5:12">
      <c r="E1246" s="49">
        <v>45053.013888884219</v>
      </c>
      <c r="F1246" s="56">
        <v>6.5520882926973849</v>
      </c>
      <c r="G1246" s="48"/>
      <c r="H1246" s="48"/>
      <c r="I1246" s="48"/>
      <c r="J1246" s="48"/>
      <c r="L1246" s="65"/>
    </row>
    <row r="1247" spans="5:12">
      <c r="E1247" s="49">
        <v>45053.017361106438</v>
      </c>
      <c r="F1247" s="56">
        <v>6.5520882926973849</v>
      </c>
      <c r="G1247" s="48"/>
      <c r="H1247" s="48"/>
      <c r="I1247" s="48"/>
      <c r="J1247" s="48"/>
      <c r="L1247" s="65"/>
    </row>
    <row r="1248" spans="5:12">
      <c r="E1248" s="49">
        <v>45053.020833328657</v>
      </c>
      <c r="F1248" s="56">
        <v>6.5520882926973849</v>
      </c>
      <c r="G1248" s="48"/>
      <c r="H1248" s="48"/>
      <c r="I1248" s="48"/>
      <c r="J1248" s="48"/>
      <c r="L1248" s="65"/>
    </row>
    <row r="1249" spans="5:12">
      <c r="E1249" s="49">
        <v>45053.024305550876</v>
      </c>
      <c r="F1249" s="56">
        <v>6.5520882926973849</v>
      </c>
      <c r="G1249" s="48"/>
      <c r="H1249" s="48"/>
      <c r="I1249" s="48"/>
      <c r="J1249" s="48"/>
      <c r="L1249" s="65"/>
    </row>
    <row r="1250" spans="5:12">
      <c r="E1250" s="49">
        <v>45053.027777773095</v>
      </c>
      <c r="F1250" s="56">
        <v>6.5520882926973849</v>
      </c>
      <c r="G1250" s="48"/>
      <c r="H1250" s="48"/>
      <c r="I1250" s="48"/>
      <c r="J1250" s="48"/>
      <c r="L1250" s="65"/>
    </row>
    <row r="1251" spans="5:12">
      <c r="E1251" s="49">
        <v>45053.031249995314</v>
      </c>
      <c r="F1251" s="56">
        <v>6.5520882926973849</v>
      </c>
      <c r="G1251" s="48"/>
      <c r="H1251" s="48"/>
      <c r="I1251" s="48"/>
      <c r="J1251" s="48"/>
      <c r="L1251" s="65"/>
    </row>
    <row r="1252" spans="5:12">
      <c r="E1252" s="49">
        <v>45053.034722217533</v>
      </c>
      <c r="F1252" s="56">
        <v>6.5520882926973849</v>
      </c>
      <c r="G1252" s="48"/>
      <c r="H1252" s="48"/>
      <c r="I1252" s="48"/>
      <c r="J1252" s="48"/>
      <c r="L1252" s="65"/>
    </row>
    <row r="1253" spans="5:12">
      <c r="E1253" s="49">
        <v>45053.038194439752</v>
      </c>
      <c r="F1253" s="56">
        <v>6.5520882926973849</v>
      </c>
      <c r="G1253" s="48"/>
      <c r="H1253" s="48"/>
      <c r="I1253" s="48"/>
      <c r="J1253" s="48"/>
      <c r="L1253" s="65"/>
    </row>
    <row r="1254" spans="5:12">
      <c r="E1254" s="49">
        <v>45053.041666661971</v>
      </c>
      <c r="F1254" s="56">
        <v>6.5520882926973849</v>
      </c>
      <c r="G1254" s="48"/>
      <c r="H1254" s="48"/>
      <c r="I1254" s="48"/>
      <c r="J1254" s="48"/>
      <c r="L1254" s="65"/>
    </row>
    <row r="1255" spans="5:12">
      <c r="E1255" s="49">
        <v>45053.04513888419</v>
      </c>
      <c r="F1255" s="56">
        <v>6.5520882926973849</v>
      </c>
      <c r="G1255" s="48"/>
      <c r="H1255" s="48"/>
      <c r="I1255" s="48"/>
      <c r="J1255" s="48"/>
      <c r="L1255" s="65"/>
    </row>
    <row r="1256" spans="5:12">
      <c r="E1256" s="49">
        <v>45053.048611106409</v>
      </c>
      <c r="F1256" s="56">
        <v>6.5520882926973849</v>
      </c>
      <c r="G1256" s="48"/>
      <c r="H1256" s="48"/>
      <c r="I1256" s="48"/>
      <c r="J1256" s="48"/>
      <c r="L1256" s="65"/>
    </row>
    <row r="1257" spans="5:12">
      <c r="E1257" s="49">
        <v>45053.052083328628</v>
      </c>
      <c r="F1257" s="56">
        <v>6.5520882926973849</v>
      </c>
      <c r="G1257" s="48"/>
      <c r="H1257" s="48"/>
      <c r="I1257" s="48"/>
      <c r="J1257" s="48"/>
      <c r="L1257" s="65"/>
    </row>
    <row r="1258" spans="5:12">
      <c r="E1258" s="49">
        <v>45053.055555550847</v>
      </c>
      <c r="F1258" s="56">
        <v>6.5520882926973849</v>
      </c>
      <c r="G1258" s="48"/>
      <c r="H1258" s="48"/>
      <c r="I1258" s="48"/>
      <c r="J1258" s="48"/>
      <c r="L1258" s="65"/>
    </row>
    <row r="1259" spans="5:12">
      <c r="E1259" s="49">
        <v>45053.059027773066</v>
      </c>
      <c r="F1259" s="56">
        <v>6.5520882926973849</v>
      </c>
      <c r="G1259" s="48"/>
      <c r="H1259" s="48"/>
      <c r="I1259" s="48"/>
      <c r="J1259" s="48"/>
      <c r="L1259" s="65"/>
    </row>
    <row r="1260" spans="5:12">
      <c r="E1260" s="49">
        <v>45053.062499995285</v>
      </c>
      <c r="F1260" s="56">
        <v>6.5520882926973849</v>
      </c>
      <c r="G1260" s="48"/>
      <c r="H1260" s="48"/>
      <c r="I1260" s="48"/>
      <c r="J1260" s="48"/>
      <c r="L1260" s="65"/>
    </row>
    <row r="1261" spans="5:12">
      <c r="E1261" s="49">
        <v>45053.065972217504</v>
      </c>
      <c r="F1261" s="56">
        <v>6.5520882926973849</v>
      </c>
      <c r="G1261" s="48"/>
      <c r="H1261" s="48"/>
      <c r="I1261" s="48"/>
      <c r="J1261" s="48"/>
      <c r="L1261" s="65"/>
    </row>
    <row r="1262" spans="5:12">
      <c r="E1262" s="49">
        <v>45053.069444439723</v>
      </c>
      <c r="F1262" s="56">
        <v>6.5520882926973849</v>
      </c>
      <c r="G1262" s="48"/>
      <c r="H1262" s="48"/>
      <c r="I1262" s="48"/>
      <c r="J1262" s="48"/>
      <c r="L1262" s="65"/>
    </row>
    <row r="1263" spans="5:12">
      <c r="E1263" s="49">
        <v>45053.072916661942</v>
      </c>
      <c r="F1263" s="56">
        <v>6.5520882926973849</v>
      </c>
      <c r="G1263" s="48"/>
      <c r="H1263" s="48"/>
      <c r="I1263" s="48"/>
      <c r="J1263" s="48"/>
      <c r="L1263" s="65"/>
    </row>
    <row r="1264" spans="5:12">
      <c r="E1264" s="49">
        <v>45053.076388884161</v>
      </c>
      <c r="F1264" s="56">
        <v>6.5520882926973849</v>
      </c>
      <c r="G1264" s="48"/>
      <c r="H1264" s="48"/>
      <c r="I1264" s="48"/>
      <c r="J1264" s="48"/>
      <c r="L1264" s="65"/>
    </row>
    <row r="1265" spans="5:12">
      <c r="E1265" s="49">
        <v>45053.07986110638</v>
      </c>
      <c r="F1265" s="56">
        <v>6.5520882926973849</v>
      </c>
      <c r="G1265" s="48"/>
      <c r="H1265" s="48"/>
      <c r="I1265" s="48"/>
      <c r="J1265" s="48"/>
      <c r="L1265" s="65"/>
    </row>
    <row r="1266" spans="5:12">
      <c r="E1266" s="49">
        <v>45053.083333328599</v>
      </c>
      <c r="F1266" s="56">
        <v>6.5520882926973849</v>
      </c>
      <c r="G1266" s="48"/>
      <c r="H1266" s="48"/>
      <c r="I1266" s="48"/>
      <c r="J1266" s="48"/>
      <c r="L1266" s="65"/>
    </row>
    <row r="1267" spans="5:12">
      <c r="E1267" s="49">
        <v>45053.086805550818</v>
      </c>
      <c r="F1267" s="56">
        <v>6.5520882926973849</v>
      </c>
      <c r="G1267" s="48"/>
      <c r="H1267" s="48"/>
      <c r="I1267" s="48"/>
      <c r="J1267" s="48"/>
      <c r="L1267" s="65"/>
    </row>
    <row r="1268" spans="5:12">
      <c r="E1268" s="49">
        <v>45053.090277773037</v>
      </c>
      <c r="F1268" s="56">
        <v>6.5520882926973849</v>
      </c>
      <c r="G1268" s="48"/>
      <c r="H1268" s="48"/>
      <c r="I1268" s="48"/>
      <c r="J1268" s="48"/>
      <c r="L1268" s="65"/>
    </row>
    <row r="1269" spans="5:12">
      <c r="E1269" s="49">
        <v>45053.093749995256</v>
      </c>
      <c r="F1269" s="56">
        <v>6.5520882926973849</v>
      </c>
      <c r="G1269" s="48"/>
      <c r="H1269" s="48"/>
      <c r="I1269" s="48"/>
      <c r="J1269" s="48"/>
      <c r="L1269" s="65"/>
    </row>
    <row r="1270" spans="5:12">
      <c r="E1270" s="49">
        <v>45053.097222217475</v>
      </c>
      <c r="F1270" s="56">
        <v>6.5520882926973849</v>
      </c>
      <c r="G1270" s="48"/>
      <c r="H1270" s="48"/>
      <c r="I1270" s="48"/>
      <c r="J1270" s="48"/>
      <c r="L1270" s="65"/>
    </row>
    <row r="1271" spans="5:12">
      <c r="E1271" s="49">
        <v>45053.100694439694</v>
      </c>
      <c r="F1271" s="56">
        <v>6.5520882926973849</v>
      </c>
      <c r="G1271" s="48"/>
      <c r="H1271" s="48"/>
      <c r="I1271" s="48"/>
      <c r="J1271" s="48"/>
      <c r="L1271" s="65"/>
    </row>
    <row r="1272" spans="5:12">
      <c r="E1272" s="49">
        <v>45053.104166661913</v>
      </c>
      <c r="F1272" s="56">
        <v>6.5520882926973849</v>
      </c>
      <c r="G1272" s="48"/>
      <c r="H1272" s="48"/>
      <c r="I1272" s="48"/>
      <c r="J1272" s="48"/>
      <c r="L1272" s="65"/>
    </row>
    <row r="1273" spans="5:12">
      <c r="E1273" s="49">
        <v>45053.107638884132</v>
      </c>
      <c r="F1273" s="56">
        <v>6.5520882926973849</v>
      </c>
      <c r="G1273" s="48"/>
      <c r="H1273" s="48"/>
      <c r="I1273" s="48"/>
      <c r="J1273" s="48"/>
      <c r="L1273" s="65"/>
    </row>
    <row r="1274" spans="5:12">
      <c r="E1274" s="49">
        <v>45053.111111106351</v>
      </c>
      <c r="F1274" s="56">
        <v>6.5520882926973849</v>
      </c>
      <c r="G1274" s="48"/>
      <c r="H1274" s="48"/>
      <c r="I1274" s="48"/>
      <c r="J1274" s="48"/>
      <c r="L1274" s="65"/>
    </row>
    <row r="1275" spans="5:12">
      <c r="E1275" s="49">
        <v>45053.11458332857</v>
      </c>
      <c r="F1275" s="56">
        <v>6.5520882926973849</v>
      </c>
      <c r="G1275" s="48"/>
      <c r="H1275" s="48"/>
      <c r="I1275" s="48"/>
      <c r="J1275" s="48"/>
      <c r="L1275" s="65"/>
    </row>
    <row r="1276" spans="5:12">
      <c r="E1276" s="49">
        <v>45053.118055550789</v>
      </c>
      <c r="F1276" s="56">
        <v>6.5520882926973849</v>
      </c>
      <c r="G1276" s="48"/>
      <c r="H1276" s="48"/>
      <c r="I1276" s="48"/>
      <c r="J1276" s="48"/>
      <c r="L1276" s="65"/>
    </row>
    <row r="1277" spans="5:12">
      <c r="E1277" s="49">
        <v>45053.121527773008</v>
      </c>
      <c r="F1277" s="56">
        <v>6.5520882926973849</v>
      </c>
      <c r="G1277" s="48"/>
      <c r="H1277" s="48"/>
      <c r="I1277" s="48"/>
      <c r="J1277" s="48"/>
      <c r="L1277" s="65"/>
    </row>
    <row r="1278" spans="5:12">
      <c r="E1278" s="49">
        <v>45053.124999995227</v>
      </c>
      <c r="F1278" s="56">
        <v>6.5520882926973849</v>
      </c>
      <c r="G1278" s="48"/>
      <c r="H1278" s="48"/>
      <c r="I1278" s="48"/>
      <c r="J1278" s="48"/>
      <c r="L1278" s="65"/>
    </row>
    <row r="1279" spans="5:12">
      <c r="E1279" s="49">
        <v>45053.128472217446</v>
      </c>
      <c r="F1279" s="56">
        <v>6.5520882926973849</v>
      </c>
      <c r="G1279" s="48"/>
      <c r="H1279" s="48"/>
      <c r="I1279" s="48"/>
      <c r="J1279" s="48"/>
      <c r="L1279" s="65"/>
    </row>
    <row r="1280" spans="5:12">
      <c r="E1280" s="49">
        <v>45053.131944439665</v>
      </c>
      <c r="F1280" s="56">
        <v>6.5520882926973849</v>
      </c>
      <c r="G1280" s="48"/>
      <c r="H1280" s="48"/>
      <c r="I1280" s="48"/>
      <c r="J1280" s="48"/>
      <c r="L1280" s="65"/>
    </row>
    <row r="1281" spans="5:12">
      <c r="E1281" s="49">
        <v>45053.135416661884</v>
      </c>
      <c r="F1281" s="56">
        <v>6.5520882926973849</v>
      </c>
      <c r="G1281" s="48"/>
      <c r="H1281" s="48"/>
      <c r="I1281" s="48"/>
      <c r="J1281" s="48"/>
      <c r="L1281" s="65"/>
    </row>
    <row r="1282" spans="5:12">
      <c r="E1282" s="49">
        <v>45053.138888884103</v>
      </c>
      <c r="F1282" s="56">
        <v>6.5520882926973849</v>
      </c>
      <c r="G1282" s="48"/>
      <c r="H1282" s="48"/>
      <c r="I1282" s="48"/>
      <c r="J1282" s="48"/>
      <c r="L1282" s="65"/>
    </row>
    <row r="1283" spans="5:12">
      <c r="E1283" s="49">
        <v>45053.142361106322</v>
      </c>
      <c r="F1283" s="56">
        <v>6.5520882926973849</v>
      </c>
      <c r="G1283" s="48"/>
      <c r="H1283" s="48"/>
      <c r="I1283" s="48"/>
      <c r="J1283" s="48"/>
      <c r="L1283" s="65"/>
    </row>
    <row r="1284" spans="5:12">
      <c r="E1284" s="49">
        <v>45053.145833328541</v>
      </c>
      <c r="F1284" s="56">
        <v>6.5520882926973849</v>
      </c>
      <c r="G1284" s="48"/>
      <c r="H1284" s="48"/>
      <c r="I1284" s="48"/>
      <c r="J1284" s="48"/>
      <c r="L1284" s="65"/>
    </row>
    <row r="1285" spans="5:12">
      <c r="E1285" s="49">
        <v>45053.14930555076</v>
      </c>
      <c r="F1285" s="56">
        <v>6.5520882926973849</v>
      </c>
      <c r="G1285" s="48"/>
      <c r="H1285" s="48"/>
      <c r="I1285" s="48"/>
      <c r="J1285" s="48"/>
      <c r="L1285" s="65"/>
    </row>
    <row r="1286" spans="5:12">
      <c r="E1286" s="49">
        <v>45053.152777772979</v>
      </c>
      <c r="F1286" s="56">
        <v>6.5520882926973849</v>
      </c>
      <c r="G1286" s="48"/>
      <c r="H1286" s="48"/>
      <c r="I1286" s="48"/>
      <c r="J1286" s="48"/>
      <c r="L1286" s="65"/>
    </row>
    <row r="1287" spans="5:12">
      <c r="E1287" s="49">
        <v>45053.156249995198</v>
      </c>
      <c r="F1287" s="56">
        <v>6.5520882926973849</v>
      </c>
      <c r="G1287" s="48"/>
      <c r="H1287" s="48"/>
      <c r="I1287" s="48"/>
      <c r="J1287" s="48"/>
      <c r="L1287" s="65"/>
    </row>
    <row r="1288" spans="5:12">
      <c r="E1288" s="49">
        <v>45053.159722217417</v>
      </c>
      <c r="F1288" s="56">
        <v>6.5520882926973849</v>
      </c>
      <c r="G1288" s="48"/>
      <c r="H1288" s="48"/>
      <c r="I1288" s="48"/>
      <c r="J1288" s="48"/>
      <c r="L1288" s="65"/>
    </row>
    <row r="1289" spans="5:12">
      <c r="E1289" s="49">
        <v>45053.163194439636</v>
      </c>
      <c r="F1289" s="56">
        <v>6.5520882926973849</v>
      </c>
      <c r="G1289" s="48"/>
      <c r="H1289" s="48"/>
      <c r="I1289" s="48"/>
      <c r="J1289" s="48"/>
      <c r="L1289" s="65"/>
    </row>
    <row r="1290" spans="5:12">
      <c r="E1290" s="49">
        <v>45053.166666661855</v>
      </c>
      <c r="F1290" s="56">
        <v>6.5520882926973849</v>
      </c>
      <c r="G1290" s="48"/>
      <c r="H1290" s="48"/>
      <c r="I1290" s="48"/>
      <c r="J1290" s="48"/>
      <c r="L1290" s="65"/>
    </row>
    <row r="1291" spans="5:12">
      <c r="E1291" s="49">
        <v>45053.170138884074</v>
      </c>
      <c r="F1291" s="56">
        <v>6.5520882926973849</v>
      </c>
      <c r="G1291" s="48"/>
      <c r="H1291" s="48"/>
      <c r="I1291" s="48"/>
      <c r="J1291" s="48"/>
      <c r="L1291" s="65"/>
    </row>
    <row r="1292" spans="5:12">
      <c r="E1292" s="49">
        <v>45053.173611106293</v>
      </c>
      <c r="F1292" s="56">
        <v>6.5520882926973849</v>
      </c>
      <c r="G1292" s="48"/>
      <c r="H1292" s="48"/>
      <c r="I1292" s="48"/>
      <c r="J1292" s="48"/>
      <c r="L1292" s="65"/>
    </row>
    <row r="1293" spans="5:12">
      <c r="E1293" s="49">
        <v>45053.177083328512</v>
      </c>
      <c r="F1293" s="56">
        <v>6.5520882926973849</v>
      </c>
      <c r="G1293" s="48"/>
      <c r="H1293" s="48"/>
      <c r="I1293" s="48"/>
      <c r="J1293" s="48"/>
      <c r="L1293" s="65"/>
    </row>
    <row r="1294" spans="5:12">
      <c r="E1294" s="49">
        <v>45053.180555550731</v>
      </c>
      <c r="F1294" s="56">
        <v>6.5520882926973849</v>
      </c>
      <c r="G1294" s="48"/>
      <c r="H1294" s="48"/>
      <c r="I1294" s="48"/>
      <c r="J1294" s="48"/>
      <c r="L1294" s="65"/>
    </row>
    <row r="1295" spans="5:12">
      <c r="E1295" s="49">
        <v>45053.18402777295</v>
      </c>
      <c r="F1295" s="56">
        <v>6.5520882926973849</v>
      </c>
      <c r="G1295" s="48"/>
      <c r="H1295" s="48"/>
      <c r="I1295" s="48"/>
      <c r="J1295" s="48"/>
      <c r="L1295" s="65"/>
    </row>
    <row r="1296" spans="5:12">
      <c r="E1296" s="49">
        <v>45053.187499995169</v>
      </c>
      <c r="F1296" s="56">
        <v>6.5520882926973849</v>
      </c>
      <c r="G1296" s="48"/>
      <c r="H1296" s="48"/>
      <c r="I1296" s="48"/>
      <c r="J1296" s="48"/>
      <c r="L1296" s="65"/>
    </row>
    <row r="1297" spans="5:12">
      <c r="E1297" s="49">
        <v>45053.190972217388</v>
      </c>
      <c r="F1297" s="56">
        <v>6.5520882926973849</v>
      </c>
      <c r="G1297" s="48"/>
      <c r="H1297" s="48"/>
      <c r="I1297" s="48"/>
      <c r="J1297" s="48"/>
      <c r="L1297" s="65"/>
    </row>
    <row r="1298" spans="5:12">
      <c r="E1298" s="49">
        <v>45053.194444439607</v>
      </c>
      <c r="F1298" s="56">
        <v>6.5520882926973849</v>
      </c>
      <c r="G1298" s="48"/>
      <c r="H1298" s="48"/>
      <c r="I1298" s="48"/>
      <c r="J1298" s="48"/>
      <c r="L1298" s="65"/>
    </row>
    <row r="1299" spans="5:12">
      <c r="E1299" s="49">
        <v>45053.197916661826</v>
      </c>
      <c r="F1299" s="56">
        <v>6.5520882926973849</v>
      </c>
      <c r="G1299" s="48"/>
      <c r="H1299" s="48"/>
      <c r="I1299" s="48"/>
      <c r="J1299" s="48"/>
      <c r="L1299" s="65"/>
    </row>
    <row r="1300" spans="5:12">
      <c r="E1300" s="49">
        <v>45053.201388884045</v>
      </c>
      <c r="F1300" s="56">
        <v>6.5520882926973849</v>
      </c>
      <c r="G1300" s="48"/>
      <c r="H1300" s="48"/>
      <c r="I1300" s="48"/>
      <c r="J1300" s="48"/>
      <c r="L1300" s="65"/>
    </row>
    <row r="1301" spans="5:12">
      <c r="E1301" s="49">
        <v>45053.204861106264</v>
      </c>
      <c r="F1301" s="56">
        <v>6.5520882926973849</v>
      </c>
      <c r="G1301" s="48"/>
      <c r="H1301" s="48"/>
      <c r="I1301" s="48"/>
      <c r="J1301" s="48"/>
      <c r="L1301" s="65"/>
    </row>
    <row r="1302" spans="5:12">
      <c r="E1302" s="49">
        <v>45053.208333328483</v>
      </c>
      <c r="F1302" s="56">
        <v>6.5520882926973849</v>
      </c>
      <c r="G1302" s="48"/>
      <c r="H1302" s="48"/>
      <c r="I1302" s="48"/>
      <c r="J1302" s="48"/>
      <c r="L1302" s="65"/>
    </row>
    <row r="1303" spans="5:12">
      <c r="E1303" s="49">
        <v>45053.211805550702</v>
      </c>
      <c r="F1303" s="56">
        <v>6.5520882926973849</v>
      </c>
      <c r="G1303" s="48"/>
      <c r="H1303" s="48"/>
      <c r="I1303" s="48"/>
      <c r="J1303" s="48"/>
      <c r="L1303" s="65"/>
    </row>
    <row r="1304" spans="5:12">
      <c r="E1304" s="49">
        <v>45053.215277772921</v>
      </c>
      <c r="F1304" s="56">
        <v>6.5520882926973849</v>
      </c>
      <c r="G1304" s="48"/>
      <c r="H1304" s="48"/>
      <c r="I1304" s="48"/>
      <c r="J1304" s="48"/>
      <c r="L1304" s="65"/>
    </row>
    <row r="1305" spans="5:12">
      <c r="E1305" s="49">
        <v>45053.21874999514</v>
      </c>
      <c r="F1305" s="56">
        <v>6.5520882926973849</v>
      </c>
      <c r="G1305" s="48"/>
      <c r="H1305" s="48"/>
      <c r="I1305" s="48"/>
      <c r="J1305" s="48"/>
      <c r="L1305" s="65"/>
    </row>
    <row r="1306" spans="5:12">
      <c r="E1306" s="49">
        <v>45053.222222217359</v>
      </c>
      <c r="F1306" s="56">
        <v>6.5520882926973849</v>
      </c>
      <c r="G1306" s="48"/>
      <c r="H1306" s="48"/>
      <c r="I1306" s="48"/>
      <c r="J1306" s="48"/>
      <c r="L1306" s="65"/>
    </row>
    <row r="1307" spans="5:12">
      <c r="E1307" s="49">
        <v>45053.225694439578</v>
      </c>
      <c r="F1307" s="56">
        <v>6.5520882926973849</v>
      </c>
      <c r="G1307" s="48"/>
      <c r="H1307" s="48"/>
      <c r="I1307" s="48"/>
      <c r="J1307" s="48"/>
      <c r="L1307" s="65"/>
    </row>
    <row r="1308" spans="5:12">
      <c r="E1308" s="49">
        <v>45053.229166661797</v>
      </c>
      <c r="F1308" s="56">
        <v>6.5520882926973849</v>
      </c>
      <c r="G1308" s="48"/>
      <c r="H1308" s="48"/>
      <c r="I1308" s="48"/>
      <c r="J1308" s="48"/>
      <c r="L1308" s="65"/>
    </row>
    <row r="1309" spans="5:12">
      <c r="E1309" s="49">
        <v>45053.232638884016</v>
      </c>
      <c r="F1309" s="56">
        <v>6.5520882926973849</v>
      </c>
      <c r="G1309" s="48"/>
      <c r="H1309" s="48"/>
      <c r="I1309" s="48"/>
      <c r="J1309" s="48"/>
      <c r="L1309" s="65"/>
    </row>
    <row r="1310" spans="5:12">
      <c r="E1310" s="49">
        <v>45053.236111106235</v>
      </c>
      <c r="F1310" s="56">
        <v>6.5520882926973849</v>
      </c>
      <c r="G1310" s="48"/>
      <c r="H1310" s="48"/>
      <c r="I1310" s="48"/>
      <c r="J1310" s="48"/>
      <c r="L1310" s="65"/>
    </row>
    <row r="1311" spans="5:12">
      <c r="E1311" s="49">
        <v>45053.239583328454</v>
      </c>
      <c r="F1311" s="56">
        <v>6.5520882926973849</v>
      </c>
      <c r="G1311" s="48"/>
      <c r="H1311" s="48"/>
      <c r="I1311" s="48"/>
      <c r="J1311" s="48"/>
      <c r="L1311" s="65"/>
    </row>
    <row r="1312" spans="5:12">
      <c r="E1312" s="49">
        <v>45053.243055550673</v>
      </c>
      <c r="F1312" s="56">
        <v>6.5520882926973849</v>
      </c>
      <c r="G1312" s="48"/>
      <c r="H1312" s="48"/>
      <c r="I1312" s="48"/>
      <c r="J1312" s="48"/>
      <c r="L1312" s="65"/>
    </row>
    <row r="1313" spans="5:12">
      <c r="E1313" s="49">
        <v>45053.246527772892</v>
      </c>
      <c r="F1313" s="56">
        <v>6.5520882926973849</v>
      </c>
      <c r="G1313" s="48"/>
      <c r="H1313" s="48"/>
      <c r="I1313" s="48"/>
      <c r="J1313" s="48"/>
      <c r="L1313" s="65"/>
    </row>
    <row r="1314" spans="5:12">
      <c r="E1314" s="49">
        <v>45053.249999995111</v>
      </c>
      <c r="F1314" s="56">
        <v>6.5520882926973849</v>
      </c>
      <c r="G1314" s="48"/>
      <c r="H1314" s="48"/>
      <c r="I1314" s="48"/>
      <c r="J1314" s="48"/>
      <c r="L1314" s="65"/>
    </row>
    <row r="1315" spans="5:12">
      <c r="E1315" s="49">
        <v>45053.25347221733</v>
      </c>
      <c r="F1315" s="56">
        <v>6.5520882926973849</v>
      </c>
      <c r="G1315" s="48"/>
      <c r="H1315" s="48"/>
      <c r="I1315" s="48"/>
      <c r="J1315" s="48"/>
      <c r="L1315" s="65"/>
    </row>
    <row r="1316" spans="5:12">
      <c r="E1316" s="49">
        <v>45053.256944439549</v>
      </c>
      <c r="F1316" s="56">
        <v>6.5520882926973849</v>
      </c>
      <c r="G1316" s="48"/>
      <c r="H1316" s="48"/>
      <c r="I1316" s="48"/>
      <c r="J1316" s="48"/>
      <c r="L1316" s="65"/>
    </row>
    <row r="1317" spans="5:12">
      <c r="E1317" s="49">
        <v>45053.260416661768</v>
      </c>
      <c r="F1317" s="56">
        <v>6.5520882926973849</v>
      </c>
      <c r="G1317" s="48"/>
      <c r="H1317" s="48"/>
      <c r="I1317" s="48"/>
      <c r="J1317" s="48"/>
      <c r="L1317" s="65"/>
    </row>
    <row r="1318" spans="5:12">
      <c r="E1318" s="49">
        <v>45053.263888883987</v>
      </c>
      <c r="F1318" s="56">
        <v>6.5520882926973849</v>
      </c>
      <c r="G1318" s="48"/>
      <c r="H1318" s="48"/>
      <c r="I1318" s="48"/>
      <c r="J1318" s="48"/>
      <c r="L1318" s="65"/>
    </row>
    <row r="1319" spans="5:12">
      <c r="E1319" s="49">
        <v>45053.267361106205</v>
      </c>
      <c r="F1319" s="56">
        <v>6.5520882926973849</v>
      </c>
      <c r="G1319" s="48"/>
      <c r="H1319" s="48"/>
      <c r="I1319" s="48"/>
      <c r="J1319" s="48"/>
      <c r="L1319" s="65"/>
    </row>
    <row r="1320" spans="5:12">
      <c r="E1320" s="49">
        <v>45053.270833328424</v>
      </c>
      <c r="F1320" s="56">
        <v>6.5520882926973849</v>
      </c>
      <c r="G1320" s="48"/>
      <c r="H1320" s="48"/>
      <c r="I1320" s="48"/>
      <c r="J1320" s="48"/>
      <c r="L1320" s="65"/>
    </row>
    <row r="1321" spans="5:12">
      <c r="E1321" s="49">
        <v>45053.274305550643</v>
      </c>
      <c r="F1321" s="56">
        <v>6.5520882926973849</v>
      </c>
      <c r="G1321" s="48"/>
      <c r="H1321" s="48"/>
      <c r="I1321" s="48"/>
      <c r="J1321" s="48"/>
      <c r="L1321" s="65"/>
    </row>
    <row r="1322" spans="5:12">
      <c r="E1322" s="49">
        <v>45053.277777772862</v>
      </c>
      <c r="F1322" s="56">
        <v>6.5520882926973849</v>
      </c>
      <c r="G1322" s="48"/>
      <c r="H1322" s="48"/>
      <c r="I1322" s="48"/>
      <c r="J1322" s="48"/>
      <c r="L1322" s="65"/>
    </row>
    <row r="1323" spans="5:12">
      <c r="E1323" s="49">
        <v>45053.281249995081</v>
      </c>
      <c r="F1323" s="56">
        <v>6.5520882926973849</v>
      </c>
      <c r="G1323" s="48"/>
      <c r="H1323" s="48"/>
      <c r="I1323" s="48"/>
      <c r="J1323" s="48"/>
      <c r="L1323" s="65"/>
    </row>
    <row r="1324" spans="5:12">
      <c r="E1324" s="49">
        <v>45053.2847222173</v>
      </c>
      <c r="F1324" s="56">
        <v>6.5520882926973849</v>
      </c>
      <c r="G1324" s="48"/>
      <c r="H1324" s="48"/>
      <c r="I1324" s="48"/>
      <c r="J1324" s="48"/>
      <c r="L1324" s="65"/>
    </row>
    <row r="1325" spans="5:12">
      <c r="E1325" s="49">
        <v>45053.288194439519</v>
      </c>
      <c r="F1325" s="56">
        <v>6.5520882926973849</v>
      </c>
      <c r="G1325" s="48"/>
      <c r="H1325" s="48"/>
      <c r="I1325" s="48"/>
      <c r="J1325" s="48"/>
      <c r="L1325" s="65"/>
    </row>
    <row r="1326" spans="5:12">
      <c r="E1326" s="49">
        <v>45053.291666661738</v>
      </c>
      <c r="F1326" s="56">
        <v>6.5520882926973849</v>
      </c>
      <c r="G1326" s="48"/>
      <c r="H1326" s="48"/>
      <c r="I1326" s="48"/>
      <c r="J1326" s="48"/>
      <c r="L1326" s="65"/>
    </row>
    <row r="1327" spans="5:12">
      <c r="E1327" s="49">
        <v>45053.295138883957</v>
      </c>
      <c r="F1327" s="56">
        <v>6.5520882926973849</v>
      </c>
      <c r="G1327" s="48"/>
      <c r="H1327" s="48"/>
      <c r="I1327" s="48"/>
      <c r="J1327" s="48"/>
      <c r="L1327" s="65"/>
    </row>
    <row r="1328" spans="5:12">
      <c r="E1328" s="49">
        <v>45053.298611106176</v>
      </c>
      <c r="F1328" s="56">
        <v>6.5520882926973849</v>
      </c>
      <c r="G1328" s="48"/>
      <c r="H1328" s="48"/>
      <c r="I1328" s="48"/>
      <c r="J1328" s="48"/>
      <c r="L1328" s="65"/>
    </row>
    <row r="1329" spans="5:12">
      <c r="E1329" s="49">
        <v>45053.302083328395</v>
      </c>
      <c r="F1329" s="56">
        <v>6.5520882926973849</v>
      </c>
      <c r="G1329" s="48"/>
      <c r="H1329" s="48"/>
      <c r="I1329" s="48"/>
      <c r="J1329" s="48"/>
      <c r="L1329" s="65"/>
    </row>
    <row r="1330" spans="5:12">
      <c r="E1330" s="49">
        <v>45053.305555550614</v>
      </c>
      <c r="F1330" s="56">
        <v>6.5520882926973849</v>
      </c>
      <c r="G1330" s="48"/>
      <c r="H1330" s="48"/>
      <c r="I1330" s="48"/>
      <c r="J1330" s="48"/>
      <c r="L1330" s="65"/>
    </row>
    <row r="1331" spans="5:12">
      <c r="E1331" s="49">
        <v>45053.309027772833</v>
      </c>
      <c r="F1331" s="56">
        <v>6.5520882926973849</v>
      </c>
      <c r="G1331" s="48"/>
      <c r="H1331" s="48"/>
      <c r="I1331" s="48"/>
      <c r="J1331" s="48"/>
      <c r="L1331" s="65"/>
    </row>
    <row r="1332" spans="5:12">
      <c r="E1332" s="49">
        <v>45053.312499995052</v>
      </c>
      <c r="F1332" s="56">
        <v>6.5520882926973849</v>
      </c>
      <c r="G1332" s="48"/>
      <c r="H1332" s="48"/>
      <c r="I1332" s="48"/>
      <c r="J1332" s="48"/>
      <c r="L1332" s="65"/>
    </row>
    <row r="1333" spans="5:12">
      <c r="E1333" s="49">
        <v>45053.315972217271</v>
      </c>
      <c r="F1333" s="56">
        <v>6.5520882926973849</v>
      </c>
      <c r="G1333" s="48"/>
      <c r="H1333" s="48"/>
      <c r="I1333" s="48"/>
      <c r="J1333" s="48"/>
      <c r="L1333" s="65"/>
    </row>
    <row r="1334" spans="5:12">
      <c r="E1334" s="49">
        <v>45053.31944443949</v>
      </c>
      <c r="F1334" s="56">
        <v>6.5520882926973849</v>
      </c>
      <c r="G1334" s="48"/>
      <c r="H1334" s="48"/>
      <c r="I1334" s="48"/>
      <c r="J1334" s="48"/>
      <c r="L1334" s="65"/>
    </row>
    <row r="1335" spans="5:12">
      <c r="E1335" s="49">
        <v>45053.322916661709</v>
      </c>
      <c r="F1335" s="56">
        <v>6.5520882926973849</v>
      </c>
      <c r="G1335" s="48"/>
      <c r="H1335" s="48"/>
      <c r="I1335" s="48"/>
      <c r="J1335" s="48"/>
      <c r="L1335" s="65"/>
    </row>
    <row r="1336" spans="5:12">
      <c r="E1336" s="49">
        <v>45053.326388883928</v>
      </c>
      <c r="F1336" s="56">
        <v>6.5520882926973849</v>
      </c>
      <c r="G1336" s="48"/>
      <c r="H1336" s="48"/>
      <c r="I1336" s="48"/>
      <c r="J1336" s="48"/>
      <c r="L1336" s="65"/>
    </row>
    <row r="1337" spans="5:12">
      <c r="E1337" s="49">
        <v>45053.329861106147</v>
      </c>
      <c r="F1337" s="56">
        <v>6.5520882926973849</v>
      </c>
      <c r="G1337" s="48"/>
      <c r="H1337" s="48"/>
      <c r="I1337" s="48"/>
      <c r="J1337" s="48"/>
      <c r="L1337" s="65"/>
    </row>
    <row r="1338" spans="5:12">
      <c r="E1338" s="49">
        <v>45053.333333328366</v>
      </c>
      <c r="F1338" s="56">
        <v>6.5520882926973849</v>
      </c>
      <c r="G1338" s="48"/>
      <c r="H1338" s="48"/>
      <c r="I1338" s="48"/>
      <c r="J1338" s="48"/>
      <c r="L1338" s="65"/>
    </row>
    <row r="1339" spans="5:12">
      <c r="E1339" s="49">
        <v>45053.336805550585</v>
      </c>
      <c r="F1339" s="56">
        <v>6.5520882926973849</v>
      </c>
      <c r="G1339" s="48"/>
      <c r="H1339" s="48"/>
      <c r="I1339" s="48"/>
      <c r="J1339" s="48"/>
      <c r="L1339" s="65"/>
    </row>
    <row r="1340" spans="5:12">
      <c r="E1340" s="49">
        <v>45053.340277772804</v>
      </c>
      <c r="F1340" s="56">
        <v>6.5520882926973849</v>
      </c>
      <c r="G1340" s="48"/>
      <c r="H1340" s="48"/>
      <c r="I1340" s="48"/>
      <c r="J1340" s="48"/>
      <c r="L1340" s="65"/>
    </row>
    <row r="1341" spans="5:12">
      <c r="E1341" s="49">
        <v>45053.343749995023</v>
      </c>
      <c r="F1341" s="56">
        <v>6.5520882926973849</v>
      </c>
      <c r="G1341" s="48"/>
      <c r="H1341" s="48"/>
      <c r="I1341" s="48"/>
      <c r="J1341" s="48"/>
      <c r="L1341" s="65"/>
    </row>
    <row r="1342" spans="5:12">
      <c r="E1342" s="49">
        <v>45053.347222217242</v>
      </c>
      <c r="F1342" s="56">
        <v>6.5520882926973849</v>
      </c>
      <c r="G1342" s="48"/>
      <c r="H1342" s="48"/>
      <c r="I1342" s="48"/>
      <c r="J1342" s="48"/>
      <c r="L1342" s="65"/>
    </row>
    <row r="1343" spans="5:12">
      <c r="E1343" s="49">
        <v>45053.350694439461</v>
      </c>
      <c r="F1343" s="56">
        <v>6.5520882926973849</v>
      </c>
      <c r="G1343" s="48"/>
      <c r="H1343" s="48"/>
      <c r="I1343" s="48"/>
      <c r="J1343" s="48"/>
      <c r="L1343" s="65"/>
    </row>
    <row r="1344" spans="5:12">
      <c r="E1344" s="49">
        <v>45053.35416666168</v>
      </c>
      <c r="F1344" s="56">
        <v>6.5520882926973849</v>
      </c>
      <c r="G1344" s="48"/>
      <c r="H1344" s="48"/>
      <c r="I1344" s="48"/>
      <c r="J1344" s="48"/>
      <c r="L1344" s="65"/>
    </row>
    <row r="1345" spans="5:12">
      <c r="E1345" s="49">
        <v>45053.357638883899</v>
      </c>
      <c r="F1345" s="56">
        <v>6.5520882926973849</v>
      </c>
      <c r="G1345" s="48"/>
      <c r="H1345" s="48"/>
      <c r="I1345" s="48"/>
      <c r="J1345" s="48"/>
      <c r="L1345" s="65"/>
    </row>
    <row r="1346" spans="5:12">
      <c r="E1346" s="49">
        <v>45053.361111106118</v>
      </c>
      <c r="F1346" s="56">
        <v>6.5520882926973849</v>
      </c>
      <c r="G1346" s="48"/>
      <c r="H1346" s="48"/>
      <c r="I1346" s="48"/>
      <c r="J1346" s="48"/>
      <c r="L1346" s="65"/>
    </row>
    <row r="1347" spans="5:12">
      <c r="E1347" s="49">
        <v>45053.364583328337</v>
      </c>
      <c r="F1347" s="56">
        <v>6.5520882926973849</v>
      </c>
      <c r="G1347" s="48"/>
      <c r="H1347" s="48"/>
      <c r="I1347" s="48"/>
      <c r="J1347" s="48"/>
      <c r="L1347" s="65"/>
    </row>
    <row r="1348" spans="5:12">
      <c r="E1348" s="49">
        <v>45053.368055550556</v>
      </c>
      <c r="F1348" s="56">
        <v>6.5520882926973849</v>
      </c>
      <c r="G1348" s="48"/>
      <c r="H1348" s="48"/>
      <c r="I1348" s="48"/>
      <c r="J1348" s="48"/>
      <c r="L1348" s="65"/>
    </row>
    <row r="1349" spans="5:12">
      <c r="E1349" s="49">
        <v>45053.371527772775</v>
      </c>
      <c r="F1349" s="56">
        <v>6.5520882926973849</v>
      </c>
      <c r="G1349" s="48"/>
      <c r="H1349" s="48"/>
      <c r="I1349" s="48"/>
      <c r="J1349" s="48"/>
      <c r="L1349" s="65"/>
    </row>
    <row r="1350" spans="5:12">
      <c r="E1350" s="49">
        <v>45053.374999994994</v>
      </c>
      <c r="F1350" s="56">
        <v>6.5520882926973849</v>
      </c>
      <c r="G1350" s="48"/>
      <c r="H1350" s="48"/>
      <c r="I1350" s="48"/>
      <c r="J1350" s="48"/>
      <c r="L1350" s="65"/>
    </row>
    <row r="1351" spans="5:12">
      <c r="E1351" s="49">
        <v>45053.378472217213</v>
      </c>
      <c r="F1351" s="56">
        <v>6.5520882926973849</v>
      </c>
      <c r="G1351" s="48"/>
      <c r="H1351" s="48"/>
      <c r="I1351" s="48"/>
      <c r="J1351" s="48"/>
      <c r="L1351" s="65"/>
    </row>
    <row r="1352" spans="5:12">
      <c r="E1352" s="49">
        <v>45053.381944439432</v>
      </c>
      <c r="F1352" s="56">
        <v>6.5520882926973849</v>
      </c>
      <c r="G1352" s="48"/>
      <c r="H1352" s="48"/>
      <c r="I1352" s="48"/>
      <c r="J1352" s="48"/>
      <c r="L1352" s="65"/>
    </row>
    <row r="1353" spans="5:12">
      <c r="E1353" s="49">
        <v>45053.385416661651</v>
      </c>
      <c r="F1353" s="56">
        <v>6.5520882926973849</v>
      </c>
      <c r="G1353" s="48"/>
      <c r="H1353" s="48"/>
      <c r="I1353" s="48"/>
      <c r="J1353" s="48"/>
      <c r="L1353" s="65"/>
    </row>
    <row r="1354" spans="5:12">
      <c r="E1354" s="49">
        <v>45053.38888888387</v>
      </c>
      <c r="F1354" s="56">
        <v>6.5520882926973849</v>
      </c>
      <c r="G1354" s="48"/>
      <c r="H1354" s="48"/>
      <c r="I1354" s="48"/>
      <c r="J1354" s="48"/>
      <c r="L1354" s="65"/>
    </row>
    <row r="1355" spans="5:12">
      <c r="E1355" s="49">
        <v>45053.392361106089</v>
      </c>
      <c r="F1355" s="56">
        <v>6.5520882926973849</v>
      </c>
      <c r="G1355" s="48"/>
      <c r="H1355" s="48"/>
      <c r="I1355" s="48"/>
      <c r="J1355" s="48"/>
      <c r="L1355" s="65"/>
    </row>
    <row r="1356" spans="5:12">
      <c r="E1356" s="49">
        <v>45053.395833328308</v>
      </c>
      <c r="F1356" s="56">
        <v>6.5520882926973849</v>
      </c>
      <c r="G1356" s="48"/>
      <c r="H1356" s="48"/>
      <c r="I1356" s="48"/>
      <c r="J1356" s="48"/>
      <c r="L1356" s="65"/>
    </row>
    <row r="1357" spans="5:12">
      <c r="E1357" s="49">
        <v>45053.399305550527</v>
      </c>
      <c r="F1357" s="56">
        <v>6.5520882926973849</v>
      </c>
      <c r="G1357" s="48"/>
      <c r="H1357" s="48"/>
      <c r="I1357" s="48"/>
      <c r="J1357" s="48"/>
      <c r="L1357" s="65"/>
    </row>
    <row r="1358" spans="5:12">
      <c r="E1358" s="49">
        <v>45053.402777772746</v>
      </c>
      <c r="F1358" s="56">
        <v>6.5520882926973849</v>
      </c>
      <c r="G1358" s="48"/>
      <c r="H1358" s="48"/>
      <c r="I1358" s="48"/>
      <c r="J1358" s="48"/>
      <c r="L1358" s="65"/>
    </row>
    <row r="1359" spans="5:12">
      <c r="E1359" s="49">
        <v>45053.406249994965</v>
      </c>
      <c r="F1359" s="56">
        <v>6.5520882926973849</v>
      </c>
      <c r="G1359" s="48"/>
      <c r="H1359" s="48"/>
      <c r="I1359" s="48"/>
      <c r="J1359" s="48"/>
      <c r="L1359" s="65"/>
    </row>
    <row r="1360" spans="5:12">
      <c r="E1360" s="49">
        <v>45053.409722217184</v>
      </c>
      <c r="F1360" s="56">
        <v>6.5520882926973849</v>
      </c>
      <c r="G1360" s="48"/>
      <c r="H1360" s="48"/>
      <c r="I1360" s="48"/>
      <c r="J1360" s="48"/>
      <c r="L1360" s="65"/>
    </row>
    <row r="1361" spans="5:12">
      <c r="E1361" s="49">
        <v>45053.413194439403</v>
      </c>
      <c r="F1361" s="56">
        <v>6.5520882926973849</v>
      </c>
      <c r="G1361" s="48"/>
      <c r="H1361" s="48"/>
      <c r="I1361" s="48"/>
      <c r="J1361" s="48"/>
      <c r="L1361" s="65"/>
    </row>
    <row r="1362" spans="5:12">
      <c r="E1362" s="49">
        <v>45053.416666661622</v>
      </c>
      <c r="F1362" s="56">
        <v>6.5520882926973849</v>
      </c>
      <c r="G1362" s="48"/>
      <c r="H1362" s="48"/>
      <c r="I1362" s="48"/>
      <c r="J1362" s="48"/>
      <c r="L1362" s="65"/>
    </row>
    <row r="1363" spans="5:12">
      <c r="E1363" s="49">
        <v>45053.420138883841</v>
      </c>
      <c r="F1363" s="56">
        <v>6.5520882926973849</v>
      </c>
      <c r="G1363" s="48"/>
      <c r="H1363" s="48"/>
      <c r="I1363" s="48"/>
      <c r="J1363" s="48"/>
      <c r="L1363" s="65"/>
    </row>
    <row r="1364" spans="5:12">
      <c r="E1364" s="49">
        <v>45053.42361110606</v>
      </c>
      <c r="F1364" s="56">
        <v>6.5520882926973849</v>
      </c>
      <c r="G1364" s="48"/>
      <c r="H1364" s="48"/>
      <c r="I1364" s="48"/>
      <c r="J1364" s="48"/>
      <c r="L1364" s="65"/>
    </row>
    <row r="1365" spans="5:12">
      <c r="E1365" s="49">
        <v>45053.427083328279</v>
      </c>
      <c r="F1365" s="56">
        <v>6.5520882926973849</v>
      </c>
      <c r="G1365" s="48"/>
      <c r="H1365" s="48"/>
      <c r="I1365" s="48"/>
      <c r="J1365" s="48"/>
      <c r="L1365" s="65"/>
    </row>
    <row r="1366" spans="5:12">
      <c r="E1366" s="49">
        <v>45053.430555550498</v>
      </c>
      <c r="F1366" s="56">
        <v>6.5520882926973849</v>
      </c>
      <c r="G1366" s="48"/>
      <c r="H1366" s="48"/>
      <c r="I1366" s="48"/>
      <c r="J1366" s="48"/>
      <c r="L1366" s="65"/>
    </row>
    <row r="1367" spans="5:12">
      <c r="E1367" s="49">
        <v>45053.434027772717</v>
      </c>
      <c r="F1367" s="56">
        <v>6.5520882926973849</v>
      </c>
      <c r="G1367" s="48"/>
      <c r="H1367" s="48"/>
      <c r="I1367" s="48"/>
      <c r="J1367" s="48"/>
      <c r="L1367" s="65"/>
    </row>
    <row r="1368" spans="5:12">
      <c r="E1368" s="49">
        <v>45053.437499994936</v>
      </c>
      <c r="F1368" s="56">
        <v>6.5520882926973849</v>
      </c>
      <c r="G1368" s="48"/>
      <c r="H1368" s="48"/>
      <c r="I1368" s="48"/>
      <c r="J1368" s="48"/>
      <c r="L1368" s="65"/>
    </row>
    <row r="1369" spans="5:12">
      <c r="E1369" s="49">
        <v>45053.440972217155</v>
      </c>
      <c r="F1369" s="56">
        <v>6.5520882926973849</v>
      </c>
      <c r="G1369" s="48"/>
      <c r="H1369" s="48"/>
      <c r="I1369" s="48"/>
      <c r="J1369" s="48"/>
      <c r="L1369" s="65"/>
    </row>
    <row r="1370" spans="5:12">
      <c r="E1370" s="49">
        <v>45053.444444439374</v>
      </c>
      <c r="F1370" s="56">
        <v>6.5520882926973849</v>
      </c>
      <c r="G1370" s="48"/>
      <c r="H1370" s="48"/>
      <c r="I1370" s="48"/>
      <c r="J1370" s="48"/>
      <c r="L1370" s="65"/>
    </row>
    <row r="1371" spans="5:12">
      <c r="E1371" s="49">
        <v>45053.447916661593</v>
      </c>
      <c r="F1371" s="56">
        <v>6.5520882926973849</v>
      </c>
      <c r="G1371" s="48"/>
      <c r="H1371" s="48"/>
      <c r="I1371" s="48"/>
      <c r="J1371" s="48"/>
      <c r="L1371" s="65"/>
    </row>
    <row r="1372" spans="5:12">
      <c r="E1372" s="49">
        <v>45053.451388883812</v>
      </c>
      <c r="F1372" s="56">
        <v>6.5520882926973849</v>
      </c>
      <c r="G1372" s="48"/>
      <c r="H1372" s="48"/>
      <c r="I1372" s="48"/>
      <c r="J1372" s="48"/>
      <c r="L1372" s="65"/>
    </row>
    <row r="1373" spans="5:12">
      <c r="E1373" s="49">
        <v>45053.454861106031</v>
      </c>
      <c r="F1373" s="56">
        <v>6.5520882926973849</v>
      </c>
      <c r="G1373" s="48"/>
      <c r="H1373" s="48"/>
      <c r="I1373" s="48"/>
      <c r="J1373" s="48"/>
      <c r="L1373" s="65"/>
    </row>
    <row r="1374" spans="5:12">
      <c r="E1374" s="49">
        <v>45053.45833332825</v>
      </c>
      <c r="F1374" s="56">
        <v>6.5520882926973849</v>
      </c>
      <c r="G1374" s="48"/>
      <c r="H1374" s="48"/>
      <c r="I1374" s="48"/>
      <c r="J1374" s="48"/>
      <c r="L1374" s="65"/>
    </row>
    <row r="1375" spans="5:12">
      <c r="E1375" s="49">
        <v>45053.461805550469</v>
      </c>
      <c r="F1375" s="56">
        <v>6.5520882926973849</v>
      </c>
      <c r="G1375" s="48"/>
      <c r="H1375" s="48"/>
      <c r="I1375" s="48"/>
      <c r="J1375" s="48"/>
      <c r="L1375" s="65"/>
    </row>
    <row r="1376" spans="5:12">
      <c r="E1376" s="49">
        <v>45053.465277772688</v>
      </c>
      <c r="F1376" s="56">
        <v>6.5520882926973849</v>
      </c>
      <c r="G1376" s="48"/>
      <c r="H1376" s="48"/>
      <c r="I1376" s="48"/>
      <c r="J1376" s="48"/>
      <c r="L1376" s="65"/>
    </row>
    <row r="1377" spans="5:12">
      <c r="E1377" s="49">
        <v>45053.468749994907</v>
      </c>
      <c r="F1377" s="56">
        <v>6.5520882926973849</v>
      </c>
      <c r="G1377" s="48"/>
      <c r="H1377" s="48"/>
      <c r="I1377" s="48"/>
      <c r="J1377" s="48"/>
      <c r="L1377" s="65"/>
    </row>
    <row r="1378" spans="5:12">
      <c r="E1378" s="49">
        <v>45053.472222217126</v>
      </c>
      <c r="F1378" s="56">
        <v>6.5520882926973849</v>
      </c>
      <c r="G1378" s="48"/>
      <c r="H1378" s="48"/>
      <c r="I1378" s="48"/>
      <c r="J1378" s="48"/>
      <c r="L1378" s="65"/>
    </row>
    <row r="1379" spans="5:12">
      <c r="E1379" s="49">
        <v>45053.475694439345</v>
      </c>
      <c r="F1379" s="56">
        <v>6.5520882926973849</v>
      </c>
      <c r="G1379" s="48"/>
      <c r="H1379" s="48"/>
      <c r="I1379" s="48"/>
      <c r="J1379" s="48"/>
      <c r="L1379" s="65"/>
    </row>
    <row r="1380" spans="5:12">
      <c r="E1380" s="49">
        <v>45053.479166661564</v>
      </c>
      <c r="F1380" s="56">
        <v>6.5520882926973849</v>
      </c>
      <c r="G1380" s="48"/>
      <c r="H1380" s="48"/>
      <c r="I1380" s="48"/>
      <c r="J1380" s="48"/>
      <c r="L1380" s="65"/>
    </row>
    <row r="1381" spans="5:12">
      <c r="E1381" s="49">
        <v>45053.482638883783</v>
      </c>
      <c r="F1381" s="56">
        <v>6.5520882926973849</v>
      </c>
      <c r="G1381" s="48"/>
      <c r="H1381" s="48"/>
      <c r="I1381" s="48"/>
      <c r="J1381" s="48"/>
      <c r="L1381" s="65"/>
    </row>
    <row r="1382" spans="5:12">
      <c r="E1382" s="49">
        <v>45053.486111106002</v>
      </c>
      <c r="F1382" s="56">
        <v>6.5520882926973849</v>
      </c>
      <c r="G1382" s="48"/>
      <c r="H1382" s="48"/>
      <c r="I1382" s="48"/>
      <c r="J1382" s="48"/>
      <c r="L1382" s="65"/>
    </row>
    <row r="1383" spans="5:12">
      <c r="E1383" s="49">
        <v>45053.489583328221</v>
      </c>
      <c r="F1383" s="56">
        <v>6.5520882926973849</v>
      </c>
      <c r="G1383" s="48"/>
      <c r="H1383" s="48"/>
      <c r="I1383" s="48"/>
      <c r="J1383" s="48"/>
      <c r="L1383" s="65"/>
    </row>
    <row r="1384" spans="5:12">
      <c r="E1384" s="49">
        <v>45053.49305555044</v>
      </c>
      <c r="F1384" s="56">
        <v>6.5520882926973849</v>
      </c>
      <c r="G1384" s="48"/>
      <c r="H1384" s="48"/>
      <c r="I1384" s="48"/>
      <c r="J1384" s="48"/>
      <c r="L1384" s="65"/>
    </row>
    <row r="1385" spans="5:12">
      <c r="E1385" s="49">
        <v>45053.496527772659</v>
      </c>
      <c r="F1385" s="56">
        <v>6.5520882926973849</v>
      </c>
      <c r="G1385" s="48"/>
      <c r="H1385" s="48"/>
      <c r="I1385" s="48"/>
      <c r="J1385" s="48"/>
      <c r="L1385" s="65"/>
    </row>
    <row r="1386" spans="5:12">
      <c r="E1386" s="49">
        <v>45053.499999994878</v>
      </c>
      <c r="F1386" s="56">
        <v>6.5520882926973849</v>
      </c>
      <c r="G1386" s="48"/>
      <c r="H1386" s="48"/>
      <c r="I1386" s="48"/>
      <c r="J1386" s="48"/>
      <c r="L1386" s="65"/>
    </row>
    <row r="1387" spans="5:12">
      <c r="E1387" s="49">
        <v>45053.503472217097</v>
      </c>
      <c r="F1387" s="56">
        <v>6.5520882926973849</v>
      </c>
      <c r="G1387" s="48"/>
      <c r="H1387" s="48"/>
      <c r="I1387" s="48"/>
      <c r="J1387" s="48"/>
      <c r="L1387" s="65"/>
    </row>
    <row r="1388" spans="5:12">
      <c r="E1388" s="49">
        <v>45053.506944439316</v>
      </c>
      <c r="F1388" s="56">
        <v>6.5520882926973849</v>
      </c>
      <c r="G1388" s="48"/>
      <c r="H1388" s="48"/>
      <c r="I1388" s="48"/>
      <c r="J1388" s="48"/>
      <c r="L1388" s="65"/>
    </row>
    <row r="1389" spans="5:12">
      <c r="E1389" s="49">
        <v>45053.510416661535</v>
      </c>
      <c r="F1389" s="56">
        <v>6.5520882926973849</v>
      </c>
      <c r="G1389" s="48"/>
      <c r="H1389" s="48"/>
      <c r="I1389" s="48"/>
      <c r="J1389" s="48"/>
      <c r="L1389" s="65"/>
    </row>
    <row r="1390" spans="5:12">
      <c r="E1390" s="49">
        <v>45053.513888883754</v>
      </c>
      <c r="F1390" s="56">
        <v>6.5520882926973849</v>
      </c>
      <c r="G1390" s="48"/>
      <c r="H1390" s="48"/>
      <c r="I1390" s="48"/>
      <c r="J1390" s="48"/>
      <c r="L1390" s="65"/>
    </row>
    <row r="1391" spans="5:12">
      <c r="E1391" s="49">
        <v>45053.517361105973</v>
      </c>
      <c r="F1391" s="56">
        <v>6.5520882926973849</v>
      </c>
      <c r="G1391" s="48"/>
      <c r="H1391" s="48"/>
      <c r="I1391" s="48"/>
      <c r="J1391" s="48"/>
      <c r="L1391" s="65"/>
    </row>
    <row r="1392" spans="5:12">
      <c r="E1392" s="49">
        <v>45053.520833328192</v>
      </c>
      <c r="F1392" s="56">
        <v>6.5520882926973849</v>
      </c>
      <c r="G1392" s="48"/>
      <c r="H1392" s="48"/>
      <c r="I1392" s="48"/>
      <c r="J1392" s="48"/>
      <c r="L1392" s="65"/>
    </row>
    <row r="1393" spans="5:12">
      <c r="E1393" s="49">
        <v>45053.524305550411</v>
      </c>
      <c r="F1393" s="56">
        <v>6.5520882926973849</v>
      </c>
      <c r="G1393" s="48"/>
      <c r="H1393" s="48"/>
      <c r="I1393" s="48"/>
      <c r="J1393" s="48"/>
      <c r="L1393" s="65"/>
    </row>
    <row r="1394" spans="5:12">
      <c r="E1394" s="49">
        <v>45053.52777777263</v>
      </c>
      <c r="F1394" s="56">
        <v>6.5520882926973849</v>
      </c>
      <c r="G1394" s="48"/>
      <c r="H1394" s="48"/>
      <c r="I1394" s="48"/>
      <c r="J1394" s="48"/>
      <c r="L1394" s="65"/>
    </row>
    <row r="1395" spans="5:12">
      <c r="E1395" s="49">
        <v>45053.531249994849</v>
      </c>
      <c r="F1395" s="56">
        <v>6.5520882926973849</v>
      </c>
      <c r="G1395" s="48"/>
      <c r="H1395" s="48"/>
      <c r="I1395" s="48"/>
      <c r="J1395" s="48"/>
      <c r="L1395" s="65"/>
    </row>
    <row r="1396" spans="5:12">
      <c r="E1396" s="49">
        <v>45053.534722217068</v>
      </c>
      <c r="F1396" s="56">
        <v>6.5520882926973849</v>
      </c>
      <c r="G1396" s="48"/>
      <c r="H1396" s="48"/>
      <c r="I1396" s="48"/>
      <c r="J1396" s="48"/>
      <c r="L1396" s="65"/>
    </row>
    <row r="1397" spans="5:12">
      <c r="E1397" s="49">
        <v>45053.538194439287</v>
      </c>
      <c r="F1397" s="56">
        <v>6.5520882926973849</v>
      </c>
      <c r="G1397" s="48"/>
      <c r="H1397" s="48"/>
      <c r="I1397" s="48"/>
      <c r="J1397" s="48"/>
      <c r="L1397" s="65"/>
    </row>
    <row r="1398" spans="5:12">
      <c r="E1398" s="49">
        <v>45053.541666661506</v>
      </c>
      <c r="F1398" s="56">
        <v>6.5520882926973849</v>
      </c>
      <c r="G1398" s="48"/>
      <c r="H1398" s="48"/>
      <c r="I1398" s="48"/>
      <c r="J1398" s="48"/>
      <c r="L1398" s="65"/>
    </row>
    <row r="1399" spans="5:12">
      <c r="E1399" s="49">
        <v>45053.545138883725</v>
      </c>
      <c r="F1399" s="56">
        <v>6.5520882926973849</v>
      </c>
      <c r="G1399" s="48"/>
      <c r="H1399" s="48"/>
      <c r="I1399" s="48"/>
      <c r="J1399" s="48"/>
      <c r="L1399" s="65"/>
    </row>
    <row r="1400" spans="5:12">
      <c r="E1400" s="49">
        <v>45053.548611105944</v>
      </c>
      <c r="F1400" s="56">
        <v>6.5520882926973849</v>
      </c>
      <c r="G1400" s="48"/>
      <c r="H1400" s="48"/>
      <c r="I1400" s="48"/>
      <c r="J1400" s="48"/>
      <c r="L1400" s="65"/>
    </row>
    <row r="1401" spans="5:12">
      <c r="E1401" s="49">
        <v>45053.552083328163</v>
      </c>
      <c r="F1401" s="56">
        <v>6.5520882926973849</v>
      </c>
      <c r="G1401" s="48"/>
      <c r="H1401" s="48"/>
      <c r="I1401" s="48"/>
      <c r="J1401" s="48"/>
      <c r="L1401" s="65"/>
    </row>
    <row r="1402" spans="5:12">
      <c r="E1402" s="49">
        <v>45053.555555550382</v>
      </c>
      <c r="F1402" s="56">
        <v>6.5520882926973849</v>
      </c>
      <c r="G1402" s="48"/>
      <c r="H1402" s="48"/>
      <c r="I1402" s="48"/>
      <c r="J1402" s="48"/>
      <c r="L1402" s="65"/>
    </row>
    <row r="1403" spans="5:12">
      <c r="E1403" s="49">
        <v>45053.559027772601</v>
      </c>
      <c r="F1403" s="56">
        <v>6.5520882926973849</v>
      </c>
      <c r="G1403" s="48"/>
      <c r="H1403" s="48"/>
      <c r="I1403" s="48"/>
      <c r="J1403" s="48"/>
      <c r="L1403" s="65"/>
    </row>
    <row r="1404" spans="5:12">
      <c r="E1404" s="49">
        <v>45053.56249999482</v>
      </c>
      <c r="F1404" s="56">
        <v>6.5520882926973849</v>
      </c>
      <c r="G1404" s="48"/>
      <c r="H1404" s="48"/>
      <c r="I1404" s="48"/>
      <c r="J1404" s="48"/>
      <c r="L1404" s="65"/>
    </row>
    <row r="1405" spans="5:12">
      <c r="E1405" s="49">
        <v>45053.565972217039</v>
      </c>
      <c r="F1405" s="56">
        <v>6.5520882926973849</v>
      </c>
      <c r="G1405" s="48"/>
      <c r="H1405" s="48"/>
      <c r="I1405" s="48"/>
      <c r="J1405" s="48"/>
      <c r="L1405" s="65"/>
    </row>
    <row r="1406" spans="5:12">
      <c r="E1406" s="49">
        <v>45053.569444439257</v>
      </c>
      <c r="F1406" s="56">
        <v>6.5520882926973849</v>
      </c>
      <c r="G1406" s="48"/>
      <c r="H1406" s="48"/>
      <c r="I1406" s="48"/>
      <c r="J1406" s="48"/>
      <c r="L1406" s="65"/>
    </row>
    <row r="1407" spans="5:12">
      <c r="E1407" s="49">
        <v>45053.572916661476</v>
      </c>
      <c r="F1407" s="56">
        <v>6.5520882926973849</v>
      </c>
      <c r="G1407" s="48"/>
      <c r="H1407" s="48"/>
      <c r="I1407" s="48"/>
      <c r="J1407" s="48"/>
      <c r="L1407" s="65"/>
    </row>
    <row r="1408" spans="5:12">
      <c r="E1408" s="49">
        <v>45053.576388883695</v>
      </c>
      <c r="F1408" s="56">
        <v>6.5520882926973849</v>
      </c>
      <c r="G1408" s="48"/>
      <c r="H1408" s="48"/>
      <c r="I1408" s="48"/>
      <c r="J1408" s="48"/>
      <c r="L1408" s="65"/>
    </row>
    <row r="1409" spans="5:12">
      <c r="E1409" s="49">
        <v>45053.579861105914</v>
      </c>
      <c r="F1409" s="56">
        <v>6.5520882926973849</v>
      </c>
      <c r="G1409" s="48"/>
      <c r="H1409" s="48"/>
      <c r="I1409" s="48"/>
      <c r="J1409" s="48"/>
      <c r="L1409" s="65"/>
    </row>
    <row r="1410" spans="5:12">
      <c r="E1410" s="49">
        <v>45053.583333328133</v>
      </c>
      <c r="F1410" s="56">
        <v>6.5520882926973849</v>
      </c>
      <c r="G1410" s="48"/>
      <c r="H1410" s="48"/>
      <c r="I1410" s="48"/>
      <c r="J1410" s="48"/>
      <c r="L1410" s="65"/>
    </row>
    <row r="1411" spans="5:12">
      <c r="E1411" s="49">
        <v>45053.586805550352</v>
      </c>
      <c r="F1411" s="56">
        <v>6.5520882926973849</v>
      </c>
      <c r="G1411" s="48"/>
      <c r="H1411" s="48"/>
      <c r="I1411" s="48"/>
      <c r="J1411" s="48"/>
      <c r="L1411" s="65"/>
    </row>
    <row r="1412" spans="5:12">
      <c r="E1412" s="49">
        <v>45053.590277772571</v>
      </c>
      <c r="F1412" s="56">
        <v>6.5520882926973849</v>
      </c>
      <c r="G1412" s="48"/>
      <c r="H1412" s="48"/>
      <c r="I1412" s="48"/>
      <c r="J1412" s="48"/>
      <c r="L1412" s="65"/>
    </row>
    <row r="1413" spans="5:12">
      <c r="E1413" s="49">
        <v>45053.59374999479</v>
      </c>
      <c r="F1413" s="56">
        <v>6.5520882926973849</v>
      </c>
      <c r="G1413" s="48"/>
      <c r="H1413" s="48"/>
      <c r="I1413" s="48"/>
      <c r="J1413" s="48"/>
      <c r="L1413" s="65"/>
    </row>
    <row r="1414" spans="5:12">
      <c r="E1414" s="49">
        <v>45053.597222217009</v>
      </c>
      <c r="F1414" s="56">
        <v>6.5520882926973849</v>
      </c>
      <c r="G1414" s="48"/>
      <c r="H1414" s="48"/>
      <c r="I1414" s="48"/>
      <c r="J1414" s="48"/>
      <c r="L1414" s="65"/>
    </row>
    <row r="1415" spans="5:12">
      <c r="E1415" s="49">
        <v>45053.600694439228</v>
      </c>
      <c r="F1415" s="56">
        <v>6.5520882926973849</v>
      </c>
      <c r="G1415" s="48"/>
      <c r="H1415" s="48"/>
      <c r="I1415" s="48"/>
      <c r="J1415" s="48"/>
      <c r="L1415" s="65"/>
    </row>
    <row r="1416" spans="5:12">
      <c r="E1416" s="49">
        <v>45053.604166661447</v>
      </c>
      <c r="F1416" s="56">
        <v>6.5520882926973849</v>
      </c>
      <c r="G1416" s="48"/>
      <c r="H1416" s="48"/>
      <c r="I1416" s="48"/>
      <c r="J1416" s="48"/>
      <c r="L1416" s="65"/>
    </row>
    <row r="1417" spans="5:12">
      <c r="E1417" s="49">
        <v>45053.607638883666</v>
      </c>
      <c r="F1417" s="56">
        <v>6.5520882926973849</v>
      </c>
      <c r="G1417" s="48"/>
      <c r="H1417" s="48"/>
      <c r="I1417" s="48"/>
      <c r="J1417" s="48"/>
      <c r="L1417" s="65"/>
    </row>
    <row r="1418" spans="5:12">
      <c r="E1418" s="49">
        <v>45053.611111105885</v>
      </c>
      <c r="F1418" s="56">
        <v>6.5520882926973849</v>
      </c>
      <c r="G1418" s="48"/>
      <c r="H1418" s="48"/>
      <c r="I1418" s="48"/>
      <c r="J1418" s="48"/>
      <c r="L1418" s="65"/>
    </row>
    <row r="1419" spans="5:12">
      <c r="E1419" s="49">
        <v>45053.614583328104</v>
      </c>
      <c r="F1419" s="56">
        <v>6.5520882926973849</v>
      </c>
      <c r="G1419" s="48"/>
      <c r="H1419" s="48"/>
      <c r="I1419" s="48"/>
      <c r="J1419" s="48"/>
      <c r="L1419" s="65"/>
    </row>
    <row r="1420" spans="5:12">
      <c r="E1420" s="49">
        <v>45053.618055550323</v>
      </c>
      <c r="F1420" s="56">
        <v>6.5520882926973849</v>
      </c>
      <c r="G1420" s="48"/>
      <c r="H1420" s="48"/>
      <c r="I1420" s="48"/>
      <c r="J1420" s="48"/>
      <c r="L1420" s="65"/>
    </row>
    <row r="1421" spans="5:12">
      <c r="E1421" s="49">
        <v>45053.621527772542</v>
      </c>
      <c r="F1421" s="56">
        <v>6.5520882926973849</v>
      </c>
      <c r="G1421" s="48"/>
      <c r="H1421" s="48"/>
      <c r="I1421" s="48"/>
      <c r="J1421" s="48"/>
      <c r="L1421" s="65"/>
    </row>
    <row r="1422" spans="5:12">
      <c r="E1422" s="49">
        <v>45053.624999994761</v>
      </c>
      <c r="F1422" s="56">
        <v>6.5520882926973849</v>
      </c>
      <c r="G1422" s="48"/>
      <c r="H1422" s="48"/>
      <c r="I1422" s="48"/>
      <c r="J1422" s="48"/>
      <c r="L1422" s="65"/>
    </row>
    <row r="1423" spans="5:12">
      <c r="E1423" s="49">
        <v>45053.62847221698</v>
      </c>
      <c r="F1423" s="56">
        <v>6.5520882926973849</v>
      </c>
      <c r="G1423" s="48"/>
      <c r="H1423" s="48"/>
      <c r="I1423" s="48"/>
      <c r="J1423" s="48"/>
      <c r="L1423" s="65"/>
    </row>
    <row r="1424" spans="5:12">
      <c r="E1424" s="49">
        <v>45053.631944439199</v>
      </c>
      <c r="F1424" s="56">
        <v>6.5520882926973849</v>
      </c>
      <c r="G1424" s="48"/>
      <c r="H1424" s="48"/>
      <c r="I1424" s="48"/>
      <c r="J1424" s="48"/>
      <c r="L1424" s="65"/>
    </row>
    <row r="1425" spans="5:12">
      <c r="E1425" s="49">
        <v>45053.635416661418</v>
      </c>
      <c r="F1425" s="56">
        <v>6.5520882926973849</v>
      </c>
      <c r="G1425" s="48"/>
      <c r="H1425" s="48"/>
      <c r="I1425" s="48"/>
      <c r="J1425" s="48"/>
      <c r="L1425" s="65"/>
    </row>
    <row r="1426" spans="5:12">
      <c r="E1426" s="49">
        <v>45053.638888883637</v>
      </c>
      <c r="F1426" s="56">
        <v>6.5520882926973849</v>
      </c>
      <c r="G1426" s="48"/>
      <c r="H1426" s="48"/>
      <c r="I1426" s="48"/>
      <c r="J1426" s="48"/>
      <c r="L1426" s="65"/>
    </row>
    <row r="1427" spans="5:12">
      <c r="E1427" s="49">
        <v>45053.642361105856</v>
      </c>
      <c r="F1427" s="56">
        <v>6.5520882926973849</v>
      </c>
      <c r="G1427" s="48"/>
      <c r="H1427" s="48"/>
      <c r="I1427" s="48"/>
      <c r="J1427" s="48"/>
      <c r="L1427" s="65"/>
    </row>
    <row r="1428" spans="5:12">
      <c r="E1428" s="49">
        <v>45053.645833328075</v>
      </c>
      <c r="F1428" s="56">
        <v>6.5520882926973849</v>
      </c>
      <c r="G1428" s="48"/>
      <c r="H1428" s="48"/>
      <c r="I1428" s="48"/>
      <c r="J1428" s="48"/>
      <c r="L1428" s="65"/>
    </row>
    <row r="1429" spans="5:12">
      <c r="E1429" s="49">
        <v>45053.649305550294</v>
      </c>
      <c r="F1429" s="56">
        <v>0</v>
      </c>
      <c r="G1429" s="48"/>
      <c r="H1429" s="48"/>
      <c r="I1429" s="48"/>
      <c r="J1429" s="48"/>
      <c r="L1429" s="65"/>
    </row>
    <row r="1430" spans="5:12">
      <c r="E1430" s="49">
        <v>45053.652777772513</v>
      </c>
      <c r="F1430" s="56">
        <v>0</v>
      </c>
      <c r="G1430" s="48"/>
      <c r="H1430" s="48"/>
      <c r="I1430" s="48"/>
      <c r="J1430" s="48"/>
      <c r="L1430" s="65"/>
    </row>
    <row r="1431" spans="5:12">
      <c r="E1431" s="49">
        <v>45053.656249994732</v>
      </c>
      <c r="F1431" s="56">
        <v>0</v>
      </c>
      <c r="G1431" s="48"/>
      <c r="H1431" s="48"/>
      <c r="I1431" s="48"/>
      <c r="J1431" s="48"/>
      <c r="L1431" s="65"/>
    </row>
    <row r="1432" spans="5:12">
      <c r="E1432" s="49">
        <v>45053.659722216951</v>
      </c>
      <c r="F1432" s="56">
        <v>0</v>
      </c>
      <c r="G1432" s="48"/>
      <c r="H1432" s="48"/>
      <c r="I1432" s="48"/>
      <c r="J1432" s="48"/>
      <c r="L1432" s="65"/>
    </row>
    <row r="1433" spans="5:12">
      <c r="E1433" s="49">
        <v>45053.66319443917</v>
      </c>
      <c r="F1433" s="56">
        <v>0</v>
      </c>
      <c r="G1433" s="48"/>
      <c r="H1433" s="48"/>
      <c r="I1433" s="48"/>
      <c r="J1433" s="48"/>
      <c r="L1433" s="65"/>
    </row>
    <row r="1434" spans="5:12">
      <c r="E1434" s="49">
        <v>45053.666666661389</v>
      </c>
      <c r="F1434" s="56">
        <v>0</v>
      </c>
      <c r="G1434" s="48"/>
      <c r="H1434" s="48"/>
      <c r="I1434" s="48"/>
      <c r="J1434" s="48"/>
      <c r="L1434" s="65"/>
    </row>
    <row r="1435" spans="5:12">
      <c r="E1435" s="49">
        <v>45053.670138883608</v>
      </c>
      <c r="F1435" s="56">
        <v>0</v>
      </c>
      <c r="G1435" s="48"/>
      <c r="H1435" s="48"/>
      <c r="I1435" s="48"/>
      <c r="J1435" s="48"/>
      <c r="L1435" s="65"/>
    </row>
    <row r="1436" spans="5:12">
      <c r="E1436" s="49">
        <v>45053.673611105827</v>
      </c>
      <c r="F1436" s="56">
        <v>0</v>
      </c>
      <c r="G1436" s="48"/>
      <c r="H1436" s="48"/>
      <c r="I1436" s="48"/>
      <c r="J1436" s="48"/>
      <c r="L1436" s="65"/>
    </row>
    <row r="1437" spans="5:12">
      <c r="E1437" s="49">
        <v>45053.677083328046</v>
      </c>
      <c r="F1437" s="56">
        <v>0</v>
      </c>
      <c r="G1437" s="48"/>
      <c r="H1437" s="48"/>
      <c r="I1437" s="48"/>
      <c r="J1437" s="48"/>
      <c r="L1437" s="65"/>
    </row>
    <row r="1438" spans="5:12">
      <c r="E1438" s="49">
        <v>45053.680555550265</v>
      </c>
      <c r="F1438" s="56">
        <v>0</v>
      </c>
      <c r="G1438" s="48"/>
      <c r="H1438" s="48"/>
      <c r="I1438" s="48"/>
      <c r="J1438" s="48"/>
      <c r="L1438" s="65"/>
    </row>
    <row r="1439" spans="5:12">
      <c r="E1439" s="49">
        <v>45053.684027772484</v>
      </c>
      <c r="F1439" s="56">
        <v>0</v>
      </c>
      <c r="G1439" s="48"/>
      <c r="H1439" s="48"/>
      <c r="I1439" s="48"/>
      <c r="J1439" s="48"/>
      <c r="L1439" s="65"/>
    </row>
    <row r="1440" spans="5:12">
      <c r="E1440" s="49">
        <v>45053.687499994703</v>
      </c>
      <c r="F1440" s="56">
        <v>0</v>
      </c>
      <c r="G1440" s="48"/>
      <c r="H1440" s="48"/>
      <c r="I1440" s="48"/>
      <c r="J1440" s="48"/>
      <c r="L1440" s="65"/>
    </row>
    <row r="1441" spans="5:12">
      <c r="E1441" s="49">
        <v>45053.690972216922</v>
      </c>
      <c r="F1441" s="56">
        <v>0</v>
      </c>
      <c r="G1441" s="48"/>
      <c r="H1441" s="48"/>
      <c r="I1441" s="48"/>
      <c r="J1441" s="48"/>
      <c r="L1441" s="65"/>
    </row>
    <row r="1442" spans="5:12">
      <c r="E1442" s="49">
        <v>45053.694444439141</v>
      </c>
      <c r="F1442" s="56">
        <v>0</v>
      </c>
      <c r="G1442" s="48"/>
      <c r="H1442" s="48"/>
      <c r="I1442" s="48"/>
      <c r="J1442" s="48"/>
      <c r="L1442" s="65"/>
    </row>
    <row r="1443" spans="5:12">
      <c r="E1443" s="49">
        <v>45053.69791666136</v>
      </c>
      <c r="F1443" s="56">
        <v>0</v>
      </c>
      <c r="G1443" s="48"/>
      <c r="H1443" s="48"/>
      <c r="I1443" s="48"/>
      <c r="J1443" s="48"/>
      <c r="L1443" s="65"/>
    </row>
    <row r="1444" spans="5:12">
      <c r="E1444" s="49">
        <v>45053.701388883579</v>
      </c>
      <c r="F1444" s="56">
        <v>0</v>
      </c>
      <c r="G1444" s="48"/>
      <c r="H1444" s="48"/>
      <c r="I1444" s="48"/>
      <c r="J1444" s="48"/>
      <c r="L1444" s="65"/>
    </row>
    <row r="1445" spans="5:12">
      <c r="E1445" s="49">
        <v>45053.704861105798</v>
      </c>
      <c r="F1445" s="56">
        <v>0</v>
      </c>
      <c r="G1445" s="48"/>
      <c r="H1445" s="48"/>
      <c r="I1445" s="48"/>
      <c r="J1445" s="48"/>
      <c r="L1445" s="65"/>
    </row>
    <row r="1446" spans="5:12">
      <c r="E1446" s="49">
        <v>45053.708333328017</v>
      </c>
      <c r="F1446" s="56">
        <v>0</v>
      </c>
      <c r="G1446" s="48"/>
      <c r="H1446" s="48"/>
      <c r="I1446" s="48"/>
      <c r="J1446" s="48"/>
      <c r="L1446" s="65"/>
    </row>
    <row r="1447" spans="5:12">
      <c r="E1447" s="49">
        <v>45053.711805550236</v>
      </c>
      <c r="F1447" s="56">
        <v>0</v>
      </c>
      <c r="G1447" s="48"/>
      <c r="H1447" s="48"/>
      <c r="I1447" s="48"/>
      <c r="J1447" s="48"/>
      <c r="L1447" s="65"/>
    </row>
    <row r="1448" spans="5:12">
      <c r="E1448" s="49">
        <v>45053.715277772455</v>
      </c>
      <c r="F1448" s="56">
        <v>0</v>
      </c>
      <c r="G1448" s="48"/>
      <c r="H1448" s="48"/>
      <c r="I1448" s="48"/>
      <c r="J1448" s="48"/>
      <c r="L1448" s="65"/>
    </row>
    <row r="1449" spans="5:12">
      <c r="E1449" s="49">
        <v>45053.718749994674</v>
      </c>
      <c r="F1449" s="56">
        <v>0</v>
      </c>
      <c r="G1449" s="48"/>
      <c r="H1449" s="48"/>
      <c r="I1449" s="48"/>
      <c r="J1449" s="48"/>
      <c r="L1449" s="65"/>
    </row>
    <row r="1450" spans="5:12">
      <c r="E1450" s="49">
        <v>45053.722222216893</v>
      </c>
      <c r="F1450" s="56">
        <v>0</v>
      </c>
      <c r="G1450" s="48"/>
      <c r="H1450" s="48"/>
      <c r="I1450" s="48"/>
      <c r="J1450" s="48"/>
      <c r="L1450" s="65"/>
    </row>
    <row r="1451" spans="5:12">
      <c r="E1451" s="49">
        <v>45053.725694439112</v>
      </c>
      <c r="F1451" s="56">
        <v>0</v>
      </c>
      <c r="G1451" s="48"/>
      <c r="H1451" s="48"/>
      <c r="I1451" s="48"/>
      <c r="J1451" s="48"/>
      <c r="L1451" s="65"/>
    </row>
    <row r="1452" spans="5:12">
      <c r="E1452" s="49">
        <v>45053.729166661331</v>
      </c>
      <c r="F1452" s="56">
        <v>0</v>
      </c>
      <c r="G1452" s="48"/>
      <c r="H1452" s="48"/>
      <c r="I1452" s="48"/>
      <c r="J1452" s="48"/>
      <c r="L1452" s="65"/>
    </row>
    <row r="1453" spans="5:12">
      <c r="E1453" s="49">
        <v>45053.73263888355</v>
      </c>
      <c r="F1453" s="56">
        <v>0</v>
      </c>
      <c r="G1453" s="48"/>
      <c r="H1453" s="48"/>
      <c r="I1453" s="48"/>
      <c r="J1453" s="48"/>
      <c r="L1453" s="65"/>
    </row>
    <row r="1454" spans="5:12">
      <c r="E1454" s="49">
        <v>45053.736111105769</v>
      </c>
      <c r="F1454" s="56">
        <v>0</v>
      </c>
      <c r="G1454" s="48"/>
      <c r="H1454" s="48"/>
      <c r="I1454" s="48"/>
      <c r="J1454" s="48"/>
      <c r="L1454" s="65"/>
    </row>
    <row r="1455" spans="5:12">
      <c r="E1455" s="49">
        <v>45053.739583327988</v>
      </c>
      <c r="F1455" s="56">
        <v>0</v>
      </c>
      <c r="G1455" s="48"/>
      <c r="H1455" s="48"/>
      <c r="I1455" s="48"/>
      <c r="J1455" s="48"/>
      <c r="L1455" s="65"/>
    </row>
    <row r="1456" spans="5:12">
      <c r="E1456" s="49">
        <v>45053.743055550207</v>
      </c>
      <c r="F1456" s="56">
        <v>0</v>
      </c>
      <c r="G1456" s="48"/>
      <c r="H1456" s="48"/>
      <c r="I1456" s="48"/>
      <c r="J1456" s="48"/>
      <c r="L1456" s="65"/>
    </row>
    <row r="1457" spans="5:12">
      <c r="E1457" s="49">
        <v>45053.746527772426</v>
      </c>
      <c r="F1457" s="56">
        <v>0</v>
      </c>
      <c r="G1457" s="48"/>
      <c r="H1457" s="48"/>
      <c r="I1457" s="48"/>
      <c r="J1457" s="48"/>
      <c r="L1457" s="65"/>
    </row>
    <row r="1458" spans="5:12">
      <c r="E1458" s="49">
        <v>45053.749999994645</v>
      </c>
      <c r="F1458" s="56">
        <v>0</v>
      </c>
      <c r="G1458" s="48"/>
      <c r="H1458" s="48"/>
      <c r="I1458" s="48"/>
      <c r="J1458" s="48"/>
      <c r="L1458" s="65"/>
    </row>
    <row r="1459" spans="5:12">
      <c r="E1459" s="49">
        <v>45053.753472216864</v>
      </c>
      <c r="F1459" s="56">
        <v>0</v>
      </c>
      <c r="G1459" s="48"/>
      <c r="H1459" s="48"/>
      <c r="I1459" s="48"/>
      <c r="J1459" s="48"/>
      <c r="L1459" s="65"/>
    </row>
    <row r="1460" spans="5:12">
      <c r="E1460" s="49">
        <v>45053.756944439083</v>
      </c>
      <c r="F1460" s="56">
        <v>0</v>
      </c>
      <c r="G1460" s="48"/>
      <c r="H1460" s="48"/>
      <c r="I1460" s="48"/>
      <c r="J1460" s="48"/>
      <c r="L1460" s="65"/>
    </row>
    <row r="1461" spans="5:12">
      <c r="E1461" s="49">
        <v>45053.760416661302</v>
      </c>
      <c r="F1461" s="56">
        <v>0</v>
      </c>
      <c r="G1461" s="48"/>
      <c r="H1461" s="48"/>
      <c r="I1461" s="48"/>
      <c r="J1461" s="48"/>
      <c r="L1461" s="65"/>
    </row>
    <row r="1462" spans="5:12">
      <c r="E1462" s="49">
        <v>45053.763888883521</v>
      </c>
      <c r="F1462" s="56">
        <v>0</v>
      </c>
      <c r="G1462" s="48"/>
      <c r="H1462" s="48"/>
      <c r="I1462" s="48"/>
      <c r="J1462" s="48"/>
      <c r="L1462" s="65"/>
    </row>
    <row r="1463" spans="5:12">
      <c r="E1463" s="49">
        <v>45053.76736110574</v>
      </c>
      <c r="F1463" s="56">
        <v>0</v>
      </c>
      <c r="G1463" s="48"/>
      <c r="H1463" s="48"/>
      <c r="I1463" s="48"/>
      <c r="J1463" s="48"/>
      <c r="L1463" s="65"/>
    </row>
    <row r="1464" spans="5:12">
      <c r="E1464" s="49">
        <v>45053.770833327959</v>
      </c>
      <c r="F1464" s="56">
        <v>0</v>
      </c>
      <c r="G1464" s="48"/>
      <c r="H1464" s="48"/>
      <c r="I1464" s="48"/>
      <c r="J1464" s="48"/>
      <c r="L1464" s="65"/>
    </row>
    <row r="1465" spans="5:12">
      <c r="E1465" s="49">
        <v>45053.774305550178</v>
      </c>
      <c r="F1465" s="56">
        <v>0</v>
      </c>
      <c r="G1465" s="48"/>
      <c r="H1465" s="48"/>
      <c r="I1465" s="48"/>
      <c r="J1465" s="48"/>
      <c r="L1465" s="65"/>
    </row>
    <row r="1466" spans="5:12">
      <c r="E1466" s="49">
        <v>45053.777777772397</v>
      </c>
      <c r="F1466" s="56">
        <v>0</v>
      </c>
      <c r="G1466" s="48"/>
      <c r="H1466" s="48"/>
      <c r="I1466" s="48"/>
      <c r="J1466" s="48"/>
      <c r="L1466" s="65"/>
    </row>
    <row r="1467" spans="5:12">
      <c r="E1467" s="49">
        <v>45053.781249994616</v>
      </c>
      <c r="F1467" s="56">
        <v>0</v>
      </c>
      <c r="G1467" s="48"/>
      <c r="H1467" s="48"/>
      <c r="I1467" s="48"/>
      <c r="J1467" s="48"/>
      <c r="L1467" s="65"/>
    </row>
    <row r="1468" spans="5:12">
      <c r="E1468" s="49">
        <v>45053.784722216835</v>
      </c>
      <c r="F1468" s="56">
        <v>0</v>
      </c>
      <c r="G1468" s="48"/>
      <c r="H1468" s="48"/>
      <c r="I1468" s="48"/>
      <c r="J1468" s="48"/>
      <c r="L1468" s="65"/>
    </row>
    <row r="1469" spans="5:12">
      <c r="E1469" s="49">
        <v>45053.788194439054</v>
      </c>
      <c r="F1469" s="56">
        <v>0</v>
      </c>
      <c r="G1469" s="48"/>
      <c r="H1469" s="48"/>
      <c r="I1469" s="48"/>
      <c r="J1469" s="48"/>
      <c r="L1469" s="65"/>
    </row>
    <row r="1470" spans="5:12">
      <c r="E1470" s="49">
        <v>45053.791666661273</v>
      </c>
      <c r="F1470" s="56">
        <v>0</v>
      </c>
      <c r="G1470" s="48"/>
      <c r="H1470" s="48"/>
      <c r="I1470" s="48"/>
      <c r="J1470" s="48"/>
      <c r="L1470" s="65"/>
    </row>
    <row r="1471" spans="5:12">
      <c r="E1471" s="49">
        <v>45053.795138883492</v>
      </c>
      <c r="F1471" s="56">
        <v>0</v>
      </c>
      <c r="G1471" s="48"/>
      <c r="H1471" s="48"/>
      <c r="I1471" s="48"/>
      <c r="J1471" s="48"/>
      <c r="L1471" s="65"/>
    </row>
    <row r="1472" spans="5:12">
      <c r="E1472" s="49">
        <v>45053.798611105711</v>
      </c>
      <c r="F1472" s="56">
        <v>0</v>
      </c>
      <c r="G1472" s="48"/>
      <c r="H1472" s="48"/>
      <c r="I1472" s="48"/>
      <c r="J1472" s="48"/>
      <c r="L1472" s="65"/>
    </row>
    <row r="1473" spans="5:12">
      <c r="E1473" s="49">
        <v>45053.80208332793</v>
      </c>
      <c r="F1473" s="56">
        <v>0</v>
      </c>
      <c r="G1473" s="48"/>
      <c r="H1473" s="48"/>
      <c r="I1473" s="48"/>
      <c r="J1473" s="48"/>
      <c r="L1473" s="65"/>
    </row>
    <row r="1474" spans="5:12">
      <c r="E1474" s="49">
        <v>45053.805555550149</v>
      </c>
      <c r="F1474" s="56">
        <v>0</v>
      </c>
      <c r="G1474" s="48"/>
      <c r="H1474" s="48"/>
      <c r="I1474" s="48"/>
      <c r="J1474" s="48"/>
      <c r="L1474" s="65"/>
    </row>
    <row r="1475" spans="5:12">
      <c r="E1475" s="49">
        <v>45053.809027772368</v>
      </c>
      <c r="F1475" s="56">
        <v>0</v>
      </c>
      <c r="G1475" s="48"/>
      <c r="H1475" s="48"/>
      <c r="I1475" s="48"/>
      <c r="J1475" s="48"/>
      <c r="L1475" s="65"/>
    </row>
    <row r="1476" spans="5:12">
      <c r="E1476" s="49">
        <v>45053.812499994587</v>
      </c>
      <c r="F1476" s="56">
        <v>0</v>
      </c>
      <c r="G1476" s="48"/>
      <c r="H1476" s="48"/>
      <c r="I1476" s="48"/>
      <c r="J1476" s="48"/>
      <c r="L1476" s="65"/>
    </row>
    <row r="1477" spans="5:12">
      <c r="E1477" s="49">
        <v>45053.815972216806</v>
      </c>
      <c r="F1477" s="56">
        <v>0</v>
      </c>
      <c r="G1477" s="48"/>
      <c r="H1477" s="48"/>
      <c r="I1477" s="48"/>
      <c r="J1477" s="48"/>
      <c r="L1477" s="65"/>
    </row>
    <row r="1478" spans="5:12">
      <c r="E1478" s="49">
        <v>45053.819444439025</v>
      </c>
      <c r="F1478" s="56">
        <v>0</v>
      </c>
      <c r="G1478" s="48"/>
      <c r="H1478" s="48"/>
      <c r="I1478" s="48"/>
      <c r="J1478" s="48"/>
      <c r="L1478" s="65"/>
    </row>
    <row r="1479" spans="5:12">
      <c r="E1479" s="49">
        <v>45053.822916661244</v>
      </c>
      <c r="F1479" s="56">
        <v>0</v>
      </c>
      <c r="G1479" s="48"/>
      <c r="H1479" s="48"/>
      <c r="I1479" s="48"/>
      <c r="J1479" s="48"/>
      <c r="L1479" s="65"/>
    </row>
    <row r="1480" spans="5:12">
      <c r="E1480" s="49">
        <v>45053.826388883463</v>
      </c>
      <c r="F1480" s="56">
        <v>0</v>
      </c>
      <c r="G1480" s="48"/>
      <c r="H1480" s="48"/>
      <c r="I1480" s="48"/>
      <c r="J1480" s="48"/>
      <c r="L1480" s="65"/>
    </row>
    <row r="1481" spans="5:12">
      <c r="E1481" s="49">
        <v>45053.829861105682</v>
      </c>
      <c r="F1481" s="56">
        <v>0</v>
      </c>
      <c r="G1481" s="48"/>
      <c r="H1481" s="48"/>
      <c r="I1481" s="48"/>
      <c r="J1481" s="48"/>
      <c r="L1481" s="65"/>
    </row>
    <row r="1482" spans="5:12">
      <c r="E1482" s="49">
        <v>45053.833333327901</v>
      </c>
      <c r="F1482" s="56">
        <v>0</v>
      </c>
      <c r="G1482" s="48"/>
      <c r="H1482" s="48"/>
      <c r="I1482" s="48"/>
      <c r="J1482" s="48"/>
      <c r="L1482" s="65"/>
    </row>
    <row r="1483" spans="5:12">
      <c r="E1483" s="49">
        <v>45053.83680555012</v>
      </c>
      <c r="F1483" s="56">
        <v>0</v>
      </c>
      <c r="G1483" s="48"/>
      <c r="H1483" s="48"/>
      <c r="I1483" s="48"/>
      <c r="J1483" s="48"/>
      <c r="L1483" s="65"/>
    </row>
    <row r="1484" spans="5:12">
      <c r="E1484" s="49">
        <v>45053.840277772339</v>
      </c>
      <c r="F1484" s="56">
        <v>0</v>
      </c>
      <c r="G1484" s="48"/>
      <c r="H1484" s="48"/>
      <c r="I1484" s="48"/>
      <c r="J1484" s="48"/>
      <c r="L1484" s="65"/>
    </row>
    <row r="1485" spans="5:12">
      <c r="E1485" s="49">
        <v>45053.843749994558</v>
      </c>
      <c r="F1485" s="56">
        <v>0</v>
      </c>
      <c r="G1485" s="48"/>
      <c r="H1485" s="48"/>
      <c r="I1485" s="48"/>
      <c r="J1485" s="48"/>
      <c r="L1485" s="65"/>
    </row>
    <row r="1486" spans="5:12">
      <c r="E1486" s="49">
        <v>45053.847222216777</v>
      </c>
      <c r="F1486" s="56">
        <v>0</v>
      </c>
      <c r="G1486" s="48"/>
      <c r="H1486" s="48"/>
      <c r="I1486" s="48"/>
      <c r="J1486" s="48"/>
      <c r="L1486" s="65"/>
    </row>
    <row r="1487" spans="5:12">
      <c r="E1487" s="49">
        <v>45053.850694438996</v>
      </c>
      <c r="F1487" s="56">
        <v>0</v>
      </c>
      <c r="G1487" s="48"/>
      <c r="H1487" s="48"/>
      <c r="I1487" s="48"/>
      <c r="J1487" s="48"/>
      <c r="L1487" s="65"/>
    </row>
    <row r="1488" spans="5:12">
      <c r="E1488" s="49">
        <v>45053.854166661215</v>
      </c>
      <c r="F1488" s="56">
        <v>0</v>
      </c>
      <c r="G1488" s="48"/>
      <c r="H1488" s="48"/>
      <c r="I1488" s="48"/>
      <c r="J1488" s="48"/>
      <c r="L1488" s="65"/>
    </row>
    <row r="1489" spans="5:12">
      <c r="E1489" s="49">
        <v>45053.857638883434</v>
      </c>
      <c r="F1489" s="56">
        <v>0</v>
      </c>
      <c r="G1489" s="48"/>
      <c r="H1489" s="48"/>
      <c r="I1489" s="48"/>
      <c r="J1489" s="48"/>
      <c r="L1489" s="65"/>
    </row>
    <row r="1490" spans="5:12">
      <c r="E1490" s="49">
        <v>45053.861111105653</v>
      </c>
      <c r="F1490" s="56">
        <v>0</v>
      </c>
      <c r="G1490" s="48"/>
      <c r="H1490" s="48"/>
      <c r="I1490" s="48"/>
      <c r="J1490" s="48"/>
      <c r="L1490" s="65"/>
    </row>
    <row r="1491" spans="5:12">
      <c r="E1491" s="49">
        <v>45053.864583327872</v>
      </c>
      <c r="F1491" s="56">
        <v>0</v>
      </c>
      <c r="G1491" s="48"/>
      <c r="H1491" s="48"/>
      <c r="I1491" s="48"/>
      <c r="J1491" s="48"/>
      <c r="L1491" s="65"/>
    </row>
    <row r="1492" spans="5:12">
      <c r="E1492" s="49">
        <v>45053.868055550091</v>
      </c>
      <c r="F1492" s="56">
        <v>0</v>
      </c>
      <c r="G1492" s="48"/>
      <c r="H1492" s="48"/>
      <c r="I1492" s="48"/>
      <c r="J1492" s="48"/>
      <c r="L1492" s="65"/>
    </row>
    <row r="1493" spans="5:12">
      <c r="E1493" s="49">
        <v>45053.871527772309</v>
      </c>
      <c r="F1493" s="56">
        <v>0</v>
      </c>
      <c r="G1493" s="48"/>
      <c r="H1493" s="48"/>
      <c r="I1493" s="48"/>
      <c r="J1493" s="48"/>
      <c r="L1493" s="65"/>
    </row>
    <row r="1494" spans="5:12">
      <c r="E1494" s="49">
        <v>45053.874999994528</v>
      </c>
      <c r="F1494" s="56">
        <v>0</v>
      </c>
      <c r="G1494" s="48"/>
      <c r="H1494" s="48"/>
      <c r="I1494" s="48"/>
      <c r="J1494" s="48"/>
      <c r="L1494" s="65"/>
    </row>
    <row r="1495" spans="5:12">
      <c r="E1495" s="49">
        <v>45053.878472216747</v>
      </c>
      <c r="F1495" s="56">
        <v>0</v>
      </c>
      <c r="G1495" s="48"/>
      <c r="H1495" s="48"/>
      <c r="I1495" s="48"/>
      <c r="J1495" s="48"/>
      <c r="L1495" s="65"/>
    </row>
    <row r="1496" spans="5:12">
      <c r="E1496" s="49">
        <v>45053.881944438966</v>
      </c>
      <c r="F1496" s="56">
        <v>0</v>
      </c>
      <c r="G1496" s="48"/>
      <c r="H1496" s="48"/>
      <c r="I1496" s="48"/>
      <c r="J1496" s="48"/>
      <c r="L1496" s="65"/>
    </row>
    <row r="1497" spans="5:12">
      <c r="E1497" s="49">
        <v>45053.885416661185</v>
      </c>
      <c r="F1497" s="56">
        <v>0</v>
      </c>
      <c r="G1497" s="48"/>
      <c r="H1497" s="48"/>
      <c r="I1497" s="48"/>
      <c r="J1497" s="48"/>
      <c r="L1497" s="65"/>
    </row>
    <row r="1498" spans="5:12">
      <c r="E1498" s="49">
        <v>45053.888888883404</v>
      </c>
      <c r="F1498" s="56">
        <v>0</v>
      </c>
      <c r="G1498" s="48"/>
      <c r="H1498" s="48"/>
      <c r="I1498" s="48"/>
      <c r="J1498" s="48"/>
      <c r="L1498" s="65"/>
    </row>
    <row r="1499" spans="5:12">
      <c r="E1499" s="49">
        <v>45053.892361105623</v>
      </c>
      <c r="F1499" s="56">
        <v>0</v>
      </c>
      <c r="G1499" s="48"/>
      <c r="H1499" s="48"/>
      <c r="I1499" s="48"/>
      <c r="J1499" s="48"/>
      <c r="L1499" s="65"/>
    </row>
    <row r="1500" spans="5:12">
      <c r="E1500" s="49">
        <v>45053.895833327842</v>
      </c>
      <c r="F1500" s="56">
        <v>0</v>
      </c>
      <c r="G1500" s="48"/>
      <c r="H1500" s="48"/>
      <c r="I1500" s="48"/>
      <c r="J1500" s="48"/>
      <c r="L1500" s="65"/>
    </row>
    <row r="1501" spans="5:12">
      <c r="E1501" s="49">
        <v>45053.899305550061</v>
      </c>
      <c r="F1501" s="56">
        <v>0</v>
      </c>
      <c r="G1501" s="48"/>
      <c r="H1501" s="48"/>
      <c r="I1501" s="48"/>
      <c r="J1501" s="48"/>
      <c r="L1501" s="65"/>
    </row>
    <row r="1502" spans="5:12">
      <c r="E1502" s="49">
        <v>45053.90277777228</v>
      </c>
      <c r="F1502" s="56">
        <v>0</v>
      </c>
      <c r="G1502" s="48"/>
      <c r="H1502" s="48"/>
      <c r="I1502" s="48"/>
      <c r="J1502" s="48"/>
      <c r="L1502" s="65"/>
    </row>
    <row r="1503" spans="5:12">
      <c r="E1503" s="49">
        <v>45053.906249994499</v>
      </c>
      <c r="F1503" s="56">
        <v>0</v>
      </c>
      <c r="G1503" s="48"/>
      <c r="H1503" s="48"/>
      <c r="I1503" s="48"/>
      <c r="J1503" s="48"/>
      <c r="L1503" s="65"/>
    </row>
    <row r="1504" spans="5:12">
      <c r="E1504" s="49">
        <v>45053.909722216718</v>
      </c>
      <c r="F1504" s="56">
        <v>0</v>
      </c>
      <c r="G1504" s="48"/>
      <c r="H1504" s="48"/>
      <c r="I1504" s="48"/>
      <c r="J1504" s="48"/>
      <c r="L1504" s="65"/>
    </row>
    <row r="1505" spans="5:12">
      <c r="E1505" s="49">
        <v>45053.913194438937</v>
      </c>
      <c r="F1505" s="56">
        <v>0</v>
      </c>
      <c r="G1505" s="48"/>
      <c r="H1505" s="48"/>
      <c r="I1505" s="48"/>
      <c r="J1505" s="48"/>
      <c r="L1505" s="65"/>
    </row>
    <row r="1506" spans="5:12">
      <c r="E1506" s="49">
        <v>45053.916666661156</v>
      </c>
      <c r="F1506" s="56">
        <v>0</v>
      </c>
      <c r="G1506" s="48"/>
      <c r="H1506" s="48"/>
      <c r="I1506" s="48"/>
      <c r="J1506" s="48"/>
      <c r="L1506" s="65"/>
    </row>
    <row r="1507" spans="5:12">
      <c r="E1507" s="49">
        <v>45053.920138883375</v>
      </c>
      <c r="F1507" s="56">
        <v>0</v>
      </c>
      <c r="G1507" s="48"/>
      <c r="H1507" s="48"/>
      <c r="I1507" s="48"/>
      <c r="J1507" s="48"/>
      <c r="L1507" s="65"/>
    </row>
    <row r="1508" spans="5:12">
      <c r="E1508" s="49">
        <v>45053.923611105594</v>
      </c>
      <c r="F1508" s="56">
        <v>0</v>
      </c>
      <c r="G1508" s="48"/>
      <c r="H1508" s="48"/>
      <c r="I1508" s="48"/>
      <c r="J1508" s="48"/>
      <c r="L1508" s="65"/>
    </row>
    <row r="1509" spans="5:12">
      <c r="E1509" s="49">
        <v>45053.927083327813</v>
      </c>
      <c r="F1509" s="56">
        <v>0</v>
      </c>
      <c r="G1509" s="48"/>
      <c r="H1509" s="48"/>
      <c r="I1509" s="48"/>
      <c r="J1509" s="48"/>
      <c r="L1509" s="65"/>
    </row>
    <row r="1510" spans="5:12">
      <c r="E1510" s="49">
        <v>45053.930555550032</v>
      </c>
      <c r="F1510" s="56">
        <v>0</v>
      </c>
      <c r="G1510" s="48"/>
      <c r="H1510" s="48"/>
      <c r="I1510" s="48"/>
      <c r="J1510" s="48"/>
      <c r="L1510" s="65"/>
    </row>
    <row r="1511" spans="5:12">
      <c r="E1511" s="49">
        <v>45053.934027772251</v>
      </c>
      <c r="F1511" s="56">
        <v>0</v>
      </c>
      <c r="G1511" s="48"/>
      <c r="H1511" s="48"/>
      <c r="I1511" s="48"/>
      <c r="J1511" s="48"/>
      <c r="L1511" s="65"/>
    </row>
    <row r="1512" spans="5:12">
      <c r="E1512" s="49">
        <v>45053.93749999447</v>
      </c>
      <c r="F1512" s="56">
        <v>0</v>
      </c>
      <c r="G1512" s="48"/>
      <c r="H1512" s="48"/>
      <c r="I1512" s="48"/>
      <c r="J1512" s="48"/>
      <c r="L1512" s="65"/>
    </row>
    <row r="1513" spans="5:12">
      <c r="E1513" s="49">
        <v>45053.940972216689</v>
      </c>
      <c r="F1513" s="56">
        <v>0</v>
      </c>
      <c r="G1513" s="48"/>
      <c r="H1513" s="48"/>
      <c r="I1513" s="48"/>
      <c r="J1513" s="48"/>
      <c r="L1513" s="65"/>
    </row>
    <row r="1514" spans="5:12">
      <c r="E1514" s="49">
        <v>45053.944444438908</v>
      </c>
      <c r="F1514" s="56">
        <v>0</v>
      </c>
      <c r="G1514" s="48"/>
      <c r="H1514" s="48"/>
      <c r="I1514" s="48"/>
      <c r="J1514" s="48"/>
      <c r="L1514" s="65"/>
    </row>
    <row r="1515" spans="5:12">
      <c r="E1515" s="49">
        <v>45053.947916661127</v>
      </c>
      <c r="F1515" s="56">
        <v>0</v>
      </c>
      <c r="G1515" s="48"/>
      <c r="H1515" s="48"/>
      <c r="I1515" s="48"/>
      <c r="J1515" s="48"/>
      <c r="L1515" s="65"/>
    </row>
    <row r="1516" spans="5:12">
      <c r="E1516" s="49">
        <v>45053.951388883346</v>
      </c>
      <c r="F1516" s="56">
        <v>0</v>
      </c>
      <c r="G1516" s="48"/>
      <c r="H1516" s="48"/>
      <c r="I1516" s="48"/>
      <c r="J1516" s="48"/>
      <c r="L1516" s="65"/>
    </row>
    <row r="1517" spans="5:12">
      <c r="E1517" s="49">
        <v>45053.954861105565</v>
      </c>
      <c r="F1517" s="56">
        <v>0</v>
      </c>
      <c r="G1517" s="48"/>
      <c r="H1517" s="48"/>
      <c r="I1517" s="48"/>
      <c r="J1517" s="48"/>
      <c r="L1517" s="65"/>
    </row>
    <row r="1518" spans="5:12">
      <c r="E1518" s="49">
        <v>45053.958333327784</v>
      </c>
      <c r="F1518" s="56">
        <v>0</v>
      </c>
      <c r="G1518" s="48"/>
      <c r="H1518" s="48"/>
      <c r="I1518" s="48"/>
      <c r="J1518" s="48"/>
      <c r="L1518" s="65"/>
    </row>
    <row r="1519" spans="5:12">
      <c r="E1519" s="49">
        <v>45053.961805550003</v>
      </c>
      <c r="F1519" s="56">
        <v>0</v>
      </c>
      <c r="G1519" s="48"/>
      <c r="H1519" s="48"/>
      <c r="I1519" s="48"/>
      <c r="J1519" s="48"/>
      <c r="L1519" s="65"/>
    </row>
    <row r="1520" spans="5:12">
      <c r="E1520" s="49">
        <v>45053.965277772222</v>
      </c>
      <c r="F1520" s="56">
        <v>0</v>
      </c>
      <c r="G1520" s="48"/>
      <c r="H1520" s="48"/>
      <c r="I1520" s="48"/>
      <c r="J1520" s="48"/>
      <c r="L1520" s="65"/>
    </row>
    <row r="1521" spans="5:12">
      <c r="E1521" s="49">
        <v>45053.968749994441</v>
      </c>
      <c r="F1521" s="56">
        <v>0</v>
      </c>
      <c r="G1521" s="48"/>
      <c r="H1521" s="48"/>
      <c r="I1521" s="48"/>
      <c r="J1521" s="48"/>
      <c r="L1521" s="65"/>
    </row>
    <row r="1522" spans="5:12">
      <c r="E1522" s="49">
        <v>45053.97222221666</v>
      </c>
      <c r="F1522" s="56">
        <v>0</v>
      </c>
      <c r="G1522" s="48"/>
      <c r="H1522" s="48"/>
      <c r="I1522" s="48"/>
      <c r="J1522" s="48"/>
      <c r="L1522" s="65"/>
    </row>
    <row r="1523" spans="5:12">
      <c r="E1523" s="49">
        <v>45053.975694438879</v>
      </c>
      <c r="F1523" s="56">
        <v>0</v>
      </c>
      <c r="G1523" s="48"/>
      <c r="H1523" s="48"/>
      <c r="I1523" s="48"/>
      <c r="J1523" s="48"/>
      <c r="L1523" s="65"/>
    </row>
    <row r="1524" spans="5:12">
      <c r="E1524" s="49">
        <v>45053.979166661098</v>
      </c>
      <c r="F1524" s="56">
        <v>0</v>
      </c>
      <c r="G1524" s="48"/>
      <c r="H1524" s="48"/>
      <c r="I1524" s="48"/>
      <c r="J1524" s="48"/>
      <c r="L1524" s="65"/>
    </row>
    <row r="1525" spans="5:12">
      <c r="E1525" s="49">
        <v>45053.982638883317</v>
      </c>
      <c r="F1525" s="56">
        <v>0</v>
      </c>
      <c r="G1525" s="48"/>
      <c r="H1525" s="48"/>
      <c r="I1525" s="48"/>
      <c r="J1525" s="48"/>
      <c r="L1525" s="65"/>
    </row>
    <row r="1526" spans="5:12">
      <c r="E1526" s="49">
        <v>45053.986111105536</v>
      </c>
      <c r="F1526" s="56">
        <v>0</v>
      </c>
      <c r="G1526" s="48"/>
      <c r="H1526" s="48"/>
      <c r="I1526" s="48"/>
      <c r="J1526" s="48"/>
      <c r="L1526" s="65"/>
    </row>
    <row r="1527" spans="5:12">
      <c r="E1527" s="49">
        <v>45053.989583327755</v>
      </c>
      <c r="F1527" s="56">
        <v>0</v>
      </c>
      <c r="G1527" s="48"/>
      <c r="H1527" s="48"/>
      <c r="I1527" s="48"/>
      <c r="J1527" s="48"/>
      <c r="L1527" s="65"/>
    </row>
    <row r="1528" spans="5:12">
      <c r="E1528" s="49">
        <v>45053.993055549974</v>
      </c>
      <c r="F1528" s="56">
        <v>0</v>
      </c>
      <c r="G1528" s="48"/>
      <c r="H1528" s="48"/>
      <c r="I1528" s="48"/>
      <c r="J1528" s="48"/>
      <c r="L1528" s="65"/>
    </row>
    <row r="1529" spans="5:12">
      <c r="E1529" s="49">
        <v>45053.996527772193</v>
      </c>
      <c r="F1529" s="56">
        <v>0</v>
      </c>
      <c r="G1529" s="48"/>
      <c r="H1529" s="48"/>
      <c r="I1529" s="48"/>
      <c r="J1529" s="48"/>
      <c r="L1529" s="65"/>
    </row>
    <row r="1530" spans="5:12">
      <c r="E1530" s="49">
        <v>45053.999999994412</v>
      </c>
      <c r="F1530" s="56">
        <v>0</v>
      </c>
      <c r="G1530" s="48"/>
      <c r="H1530" s="48"/>
      <c r="I1530" s="48"/>
      <c r="J1530" s="48"/>
      <c r="L1530" s="65"/>
    </row>
    <row r="1531" spans="5:12">
      <c r="E1531" s="49">
        <v>45054.003472216631</v>
      </c>
      <c r="F1531" s="56">
        <v>0</v>
      </c>
      <c r="G1531" s="48"/>
      <c r="H1531" s="48"/>
      <c r="I1531" s="48"/>
      <c r="J1531" s="48"/>
      <c r="L1531" s="65"/>
    </row>
    <row r="1532" spans="5:12">
      <c r="E1532" s="49">
        <v>45054.00694443885</v>
      </c>
      <c r="F1532" s="56">
        <v>0</v>
      </c>
      <c r="G1532" s="48"/>
      <c r="H1532" s="48"/>
      <c r="I1532" s="48"/>
      <c r="J1532" s="48"/>
      <c r="L1532" s="65"/>
    </row>
    <row r="1533" spans="5:12">
      <c r="E1533" s="49">
        <v>45054.010416661069</v>
      </c>
      <c r="F1533" s="56">
        <v>0</v>
      </c>
      <c r="G1533" s="48"/>
      <c r="H1533" s="48"/>
      <c r="I1533" s="48"/>
      <c r="J1533" s="48"/>
      <c r="L1533" s="65"/>
    </row>
    <row r="1534" spans="5:12">
      <c r="E1534" s="49">
        <v>45054.013888883288</v>
      </c>
      <c r="F1534" s="56">
        <v>0</v>
      </c>
      <c r="G1534" s="48"/>
      <c r="H1534" s="48"/>
      <c r="I1534" s="48"/>
      <c r="J1534" s="48"/>
      <c r="L1534" s="65"/>
    </row>
    <row r="1535" spans="5:12">
      <c r="E1535" s="49">
        <v>45054.017361105507</v>
      </c>
      <c r="F1535" s="56">
        <v>0</v>
      </c>
      <c r="G1535" s="48"/>
      <c r="H1535" s="48"/>
      <c r="I1535" s="48"/>
      <c r="J1535" s="48"/>
      <c r="L1535" s="65"/>
    </row>
    <row r="1536" spans="5:12">
      <c r="E1536" s="49">
        <v>45054.020833327726</v>
      </c>
      <c r="F1536" s="56">
        <v>0</v>
      </c>
      <c r="G1536" s="48"/>
      <c r="H1536" s="48"/>
      <c r="I1536" s="48"/>
      <c r="J1536" s="48"/>
      <c r="L1536" s="65"/>
    </row>
    <row r="1537" spans="5:12">
      <c r="E1537" s="49">
        <v>45054.024305549945</v>
      </c>
      <c r="F1537" s="56">
        <v>0</v>
      </c>
      <c r="G1537" s="48"/>
      <c r="H1537" s="48"/>
      <c r="I1537" s="48"/>
      <c r="J1537" s="48"/>
      <c r="L1537" s="65"/>
    </row>
    <row r="1538" spans="5:12">
      <c r="E1538" s="49">
        <v>45054.027777772164</v>
      </c>
      <c r="F1538" s="56">
        <v>0</v>
      </c>
      <c r="G1538" s="48"/>
      <c r="H1538" s="48"/>
      <c r="I1538" s="48"/>
      <c r="J1538" s="48"/>
      <c r="L1538" s="65"/>
    </row>
    <row r="1539" spans="5:12">
      <c r="E1539" s="49">
        <v>45054.031249994383</v>
      </c>
      <c r="F1539" s="56">
        <v>0</v>
      </c>
      <c r="G1539" s="48"/>
      <c r="H1539" s="48"/>
      <c r="I1539" s="48"/>
      <c r="J1539" s="48"/>
      <c r="L1539" s="65"/>
    </row>
    <row r="1540" spans="5:12">
      <c r="E1540" s="49">
        <v>45054.034722216602</v>
      </c>
      <c r="F1540" s="56">
        <v>0</v>
      </c>
      <c r="G1540" s="48"/>
      <c r="H1540" s="48"/>
      <c r="I1540" s="48"/>
      <c r="J1540" s="48"/>
      <c r="L1540" s="65"/>
    </row>
    <row r="1541" spans="5:12">
      <c r="E1541" s="49">
        <v>45054.038194438821</v>
      </c>
      <c r="F1541" s="56">
        <v>0</v>
      </c>
      <c r="G1541" s="48"/>
      <c r="H1541" s="48"/>
      <c r="I1541" s="48"/>
      <c r="J1541" s="48"/>
      <c r="L1541" s="65"/>
    </row>
    <row r="1542" spans="5:12">
      <c r="E1542" s="49">
        <v>45054.04166666104</v>
      </c>
      <c r="F1542" s="56">
        <v>0</v>
      </c>
      <c r="G1542" s="48"/>
      <c r="H1542" s="48"/>
      <c r="I1542" s="48"/>
      <c r="J1542" s="48"/>
      <c r="L1542" s="65"/>
    </row>
    <row r="1543" spans="5:12">
      <c r="E1543" s="49">
        <v>45054.045138883259</v>
      </c>
      <c r="F1543" s="56">
        <v>0</v>
      </c>
      <c r="G1543" s="48"/>
      <c r="H1543" s="48"/>
      <c r="I1543" s="48"/>
      <c r="J1543" s="48"/>
      <c r="L1543" s="65"/>
    </row>
    <row r="1544" spans="5:12">
      <c r="E1544" s="49">
        <v>45054.048611105478</v>
      </c>
      <c r="F1544" s="56">
        <v>0</v>
      </c>
      <c r="G1544" s="48"/>
      <c r="H1544" s="48"/>
      <c r="I1544" s="48"/>
      <c r="J1544" s="48"/>
      <c r="L1544" s="65"/>
    </row>
    <row r="1545" spans="5:12">
      <c r="E1545" s="49">
        <v>45054.052083327697</v>
      </c>
      <c r="F1545" s="56">
        <v>0</v>
      </c>
      <c r="G1545" s="48"/>
      <c r="H1545" s="48"/>
      <c r="I1545" s="48"/>
      <c r="J1545" s="48"/>
      <c r="L1545" s="65"/>
    </row>
    <row r="1546" spans="5:12">
      <c r="E1546" s="49">
        <v>45054.055555549916</v>
      </c>
      <c r="F1546" s="56">
        <v>0</v>
      </c>
      <c r="G1546" s="48"/>
      <c r="H1546" s="48"/>
      <c r="I1546" s="48"/>
      <c r="J1546" s="48"/>
      <c r="L1546" s="65"/>
    </row>
    <row r="1547" spans="5:12">
      <c r="E1547" s="49">
        <v>45054.059027772135</v>
      </c>
      <c r="F1547" s="56">
        <v>0</v>
      </c>
      <c r="G1547" s="48"/>
      <c r="H1547" s="48"/>
      <c r="I1547" s="48"/>
      <c r="J1547" s="48"/>
      <c r="L1547" s="65"/>
    </row>
    <row r="1548" spans="5:12">
      <c r="E1548" s="49">
        <v>45054.062499994354</v>
      </c>
      <c r="F1548" s="56">
        <v>0</v>
      </c>
      <c r="G1548" s="48"/>
      <c r="H1548" s="48"/>
      <c r="I1548" s="48"/>
      <c r="J1548" s="48"/>
      <c r="L1548" s="65"/>
    </row>
    <row r="1549" spans="5:12">
      <c r="E1549" s="49">
        <v>45054.065972216573</v>
      </c>
      <c r="F1549" s="56">
        <v>0</v>
      </c>
      <c r="G1549" s="48"/>
      <c r="H1549" s="48"/>
      <c r="I1549" s="48"/>
      <c r="J1549" s="48"/>
      <c r="L1549" s="65"/>
    </row>
    <row r="1550" spans="5:12">
      <c r="E1550" s="49">
        <v>45054.069444438792</v>
      </c>
      <c r="F1550" s="56">
        <v>0</v>
      </c>
      <c r="G1550" s="48"/>
      <c r="H1550" s="48"/>
      <c r="I1550" s="48"/>
      <c r="J1550" s="48"/>
      <c r="L1550" s="65"/>
    </row>
    <row r="1551" spans="5:12">
      <c r="E1551" s="49">
        <v>45054.072916661011</v>
      </c>
      <c r="F1551" s="56">
        <v>0</v>
      </c>
      <c r="G1551" s="48"/>
      <c r="H1551" s="48"/>
      <c r="I1551" s="48"/>
      <c r="J1551" s="48"/>
      <c r="L1551" s="65"/>
    </row>
    <row r="1552" spans="5:12">
      <c r="E1552" s="49">
        <v>45054.07638888323</v>
      </c>
      <c r="F1552" s="56">
        <v>0</v>
      </c>
      <c r="G1552" s="48"/>
      <c r="H1552" s="48"/>
      <c r="I1552" s="48"/>
      <c r="J1552" s="48"/>
      <c r="L1552" s="65"/>
    </row>
    <row r="1553" spans="5:12">
      <c r="E1553" s="49">
        <v>45054.079861105449</v>
      </c>
      <c r="F1553" s="56">
        <v>0</v>
      </c>
      <c r="G1553" s="48"/>
      <c r="H1553" s="48"/>
      <c r="I1553" s="48"/>
      <c r="J1553" s="48"/>
      <c r="L1553" s="65"/>
    </row>
    <row r="1554" spans="5:12">
      <c r="E1554" s="49">
        <v>45054.083333327668</v>
      </c>
      <c r="F1554" s="56">
        <v>0</v>
      </c>
      <c r="G1554" s="48"/>
      <c r="H1554" s="48"/>
      <c r="I1554" s="48"/>
      <c r="J1554" s="48"/>
      <c r="L1554" s="65"/>
    </row>
    <row r="1555" spans="5:12">
      <c r="E1555" s="49">
        <v>45054.086805549887</v>
      </c>
      <c r="F1555" s="56">
        <v>0</v>
      </c>
      <c r="G1555" s="48"/>
      <c r="H1555" s="48"/>
      <c r="I1555" s="48"/>
      <c r="J1555" s="48"/>
      <c r="L1555" s="65"/>
    </row>
    <row r="1556" spans="5:12">
      <c r="E1556" s="49">
        <v>45054.090277772106</v>
      </c>
      <c r="F1556" s="56">
        <v>0</v>
      </c>
      <c r="G1556" s="48"/>
      <c r="H1556" s="48"/>
      <c r="I1556" s="48"/>
      <c r="J1556" s="48"/>
      <c r="L1556" s="65"/>
    </row>
    <row r="1557" spans="5:12">
      <c r="E1557" s="49">
        <v>45054.093749994325</v>
      </c>
      <c r="F1557" s="56">
        <v>0</v>
      </c>
      <c r="G1557" s="48"/>
      <c r="H1557" s="48"/>
      <c r="I1557" s="48"/>
      <c r="J1557" s="48"/>
      <c r="L1557" s="65"/>
    </row>
    <row r="1558" spans="5:12">
      <c r="E1558" s="49">
        <v>45054.097222216544</v>
      </c>
      <c r="F1558" s="56">
        <v>0</v>
      </c>
      <c r="G1558" s="48"/>
      <c r="H1558" s="48"/>
      <c r="I1558" s="48"/>
      <c r="J1558" s="48"/>
      <c r="L1558" s="65"/>
    </row>
    <row r="1559" spans="5:12">
      <c r="E1559" s="49">
        <v>45054.100694438763</v>
      </c>
      <c r="F1559" s="56">
        <v>0</v>
      </c>
      <c r="G1559" s="48"/>
      <c r="H1559" s="48"/>
      <c r="I1559" s="48"/>
      <c r="J1559" s="48"/>
      <c r="L1559" s="65"/>
    </row>
    <row r="1560" spans="5:12">
      <c r="E1560" s="49">
        <v>45054.104166660982</v>
      </c>
      <c r="F1560" s="56">
        <v>0</v>
      </c>
      <c r="G1560" s="48"/>
      <c r="H1560" s="48"/>
      <c r="I1560" s="48"/>
      <c r="J1560" s="48"/>
      <c r="L1560" s="65"/>
    </row>
    <row r="1561" spans="5:12">
      <c r="E1561" s="49">
        <v>45054.107638883201</v>
      </c>
      <c r="F1561" s="56">
        <v>0</v>
      </c>
      <c r="G1561" s="48"/>
      <c r="H1561" s="48"/>
      <c r="I1561" s="48"/>
      <c r="J1561" s="48"/>
      <c r="L1561" s="65"/>
    </row>
    <row r="1562" spans="5:12">
      <c r="E1562" s="49">
        <v>45054.11111110542</v>
      </c>
      <c r="F1562" s="56">
        <v>0</v>
      </c>
      <c r="G1562" s="48"/>
      <c r="H1562" s="48"/>
      <c r="I1562" s="48"/>
      <c r="J1562" s="48"/>
      <c r="L1562" s="65"/>
    </row>
    <row r="1563" spans="5:12">
      <c r="E1563" s="49">
        <v>45054.114583327639</v>
      </c>
      <c r="F1563" s="56">
        <v>0</v>
      </c>
      <c r="G1563" s="48"/>
      <c r="H1563" s="48"/>
      <c r="I1563" s="48"/>
      <c r="J1563" s="48"/>
      <c r="L1563" s="65"/>
    </row>
    <row r="1564" spans="5:12">
      <c r="E1564" s="49">
        <v>45054.118055549858</v>
      </c>
      <c r="F1564" s="56">
        <v>0</v>
      </c>
      <c r="G1564" s="48"/>
      <c r="H1564" s="48"/>
      <c r="I1564" s="48"/>
      <c r="J1564" s="48"/>
      <c r="L1564" s="65"/>
    </row>
    <row r="1565" spans="5:12">
      <c r="E1565" s="49">
        <v>45054.121527772077</v>
      </c>
      <c r="F1565" s="56">
        <v>0</v>
      </c>
      <c r="G1565" s="48"/>
      <c r="H1565" s="48"/>
      <c r="I1565" s="48"/>
      <c r="J1565" s="48"/>
      <c r="L1565" s="65"/>
    </row>
    <row r="1566" spans="5:12">
      <c r="E1566" s="49">
        <v>45054.124999994296</v>
      </c>
      <c r="F1566" s="56">
        <v>0</v>
      </c>
      <c r="G1566" s="48"/>
      <c r="H1566" s="48"/>
      <c r="I1566" s="48"/>
      <c r="J1566" s="48"/>
      <c r="L1566" s="65"/>
    </row>
    <row r="1567" spans="5:12">
      <c r="E1567" s="49">
        <v>45054.128472216515</v>
      </c>
      <c r="F1567" s="56">
        <v>0</v>
      </c>
      <c r="G1567" s="48"/>
      <c r="H1567" s="48"/>
      <c r="I1567" s="48"/>
      <c r="J1567" s="48"/>
      <c r="L1567" s="65"/>
    </row>
    <row r="1568" spans="5:12">
      <c r="E1568" s="49">
        <v>45054.131944438734</v>
      </c>
      <c r="F1568" s="56">
        <v>0</v>
      </c>
      <c r="G1568" s="48"/>
      <c r="H1568" s="48"/>
      <c r="I1568" s="48"/>
      <c r="J1568" s="48"/>
      <c r="L1568" s="65"/>
    </row>
    <row r="1569" spans="5:12">
      <c r="E1569" s="49">
        <v>45054.135416660953</v>
      </c>
      <c r="F1569" s="56">
        <v>0</v>
      </c>
      <c r="G1569" s="48"/>
      <c r="H1569" s="48"/>
      <c r="I1569" s="48"/>
      <c r="J1569" s="48"/>
      <c r="L1569" s="65"/>
    </row>
    <row r="1570" spans="5:12">
      <c r="E1570" s="49">
        <v>45054.138888883172</v>
      </c>
      <c r="F1570" s="56">
        <v>0</v>
      </c>
      <c r="G1570" s="48"/>
      <c r="H1570" s="48"/>
      <c r="I1570" s="48"/>
      <c r="J1570" s="48"/>
      <c r="L1570" s="65"/>
    </row>
    <row r="1571" spans="5:12">
      <c r="E1571" s="49">
        <v>45054.142361105391</v>
      </c>
      <c r="F1571" s="56">
        <v>0</v>
      </c>
      <c r="G1571" s="48"/>
      <c r="H1571" s="48"/>
      <c r="I1571" s="48"/>
      <c r="J1571" s="48"/>
      <c r="L1571" s="65"/>
    </row>
    <row r="1572" spans="5:12">
      <c r="E1572" s="49">
        <v>45054.14583332761</v>
      </c>
      <c r="F1572" s="56">
        <v>0</v>
      </c>
      <c r="G1572" s="48"/>
      <c r="H1572" s="48"/>
      <c r="I1572" s="48"/>
      <c r="J1572" s="48"/>
      <c r="L1572" s="65"/>
    </row>
    <row r="1573" spans="5:12">
      <c r="E1573" s="49">
        <v>45054.149305549829</v>
      </c>
      <c r="F1573" s="56">
        <v>0</v>
      </c>
      <c r="G1573" s="48"/>
      <c r="H1573" s="48"/>
      <c r="I1573" s="48"/>
      <c r="J1573" s="48"/>
      <c r="L1573" s="65"/>
    </row>
    <row r="1574" spans="5:12">
      <c r="E1574" s="49">
        <v>45054.152777772048</v>
      </c>
      <c r="F1574" s="56">
        <v>0</v>
      </c>
      <c r="G1574" s="48"/>
      <c r="H1574" s="48"/>
      <c r="I1574" s="48"/>
      <c r="J1574" s="48"/>
      <c r="L1574" s="65"/>
    </row>
    <row r="1575" spans="5:12">
      <c r="E1575" s="49">
        <v>45054.156249994267</v>
      </c>
      <c r="F1575" s="56">
        <v>0</v>
      </c>
      <c r="G1575" s="48"/>
      <c r="H1575" s="48"/>
      <c r="I1575" s="48"/>
      <c r="J1575" s="48"/>
      <c r="L1575" s="65"/>
    </row>
    <row r="1576" spans="5:12">
      <c r="E1576" s="49">
        <v>45054.159722216486</v>
      </c>
      <c r="F1576" s="56">
        <v>0</v>
      </c>
      <c r="G1576" s="48"/>
      <c r="H1576" s="48"/>
      <c r="I1576" s="48"/>
      <c r="J1576" s="48"/>
      <c r="L1576" s="65"/>
    </row>
    <row r="1577" spans="5:12">
      <c r="E1577" s="49">
        <v>45054.163194438705</v>
      </c>
      <c r="F1577" s="56">
        <v>0</v>
      </c>
      <c r="G1577" s="48"/>
      <c r="H1577" s="48"/>
      <c r="I1577" s="48"/>
      <c r="J1577" s="48"/>
      <c r="L1577" s="65"/>
    </row>
    <row r="1578" spans="5:12">
      <c r="E1578" s="49">
        <v>45054.166666660924</v>
      </c>
      <c r="F1578" s="56">
        <v>0</v>
      </c>
      <c r="G1578" s="48"/>
      <c r="H1578" s="48"/>
      <c r="I1578" s="48"/>
      <c r="J1578" s="48"/>
      <c r="L1578" s="65"/>
    </row>
    <row r="1579" spans="5:12">
      <c r="E1579" s="49">
        <v>45054.170138883142</v>
      </c>
      <c r="F1579" s="56">
        <v>0</v>
      </c>
      <c r="G1579" s="48"/>
      <c r="H1579" s="48"/>
      <c r="I1579" s="48"/>
      <c r="J1579" s="48"/>
      <c r="L1579" s="65"/>
    </row>
    <row r="1580" spans="5:12">
      <c r="E1580" s="49">
        <v>45054.173611105361</v>
      </c>
      <c r="F1580" s="56">
        <v>0</v>
      </c>
      <c r="G1580" s="48"/>
      <c r="H1580" s="48"/>
      <c r="I1580" s="48"/>
      <c r="J1580" s="48"/>
      <c r="L1580" s="65"/>
    </row>
    <row r="1581" spans="5:12">
      <c r="E1581" s="49">
        <v>45054.17708332758</v>
      </c>
      <c r="F1581" s="56">
        <v>0</v>
      </c>
      <c r="G1581" s="48"/>
      <c r="H1581" s="48"/>
      <c r="I1581" s="48"/>
      <c r="J1581" s="48"/>
      <c r="L1581" s="65"/>
    </row>
    <row r="1582" spans="5:12">
      <c r="E1582" s="49">
        <v>45054.180555549799</v>
      </c>
      <c r="F1582" s="56">
        <v>0</v>
      </c>
      <c r="G1582" s="48"/>
      <c r="H1582" s="48"/>
      <c r="I1582" s="48"/>
      <c r="J1582" s="48"/>
      <c r="L1582" s="65"/>
    </row>
    <row r="1583" spans="5:12">
      <c r="E1583" s="49">
        <v>45054.184027772018</v>
      </c>
      <c r="F1583" s="56">
        <v>0</v>
      </c>
      <c r="G1583" s="48"/>
      <c r="H1583" s="48"/>
      <c r="I1583" s="48"/>
      <c r="J1583" s="48"/>
      <c r="L1583" s="65"/>
    </row>
    <row r="1584" spans="5:12">
      <c r="E1584" s="49">
        <v>45054.187499994237</v>
      </c>
      <c r="F1584" s="56">
        <v>0</v>
      </c>
      <c r="G1584" s="48"/>
      <c r="H1584" s="48"/>
      <c r="I1584" s="48"/>
      <c r="J1584" s="48"/>
      <c r="L1584" s="65"/>
    </row>
    <row r="1585" spans="5:12">
      <c r="E1585" s="49">
        <v>45054.190972216456</v>
      </c>
      <c r="F1585" s="56">
        <v>0</v>
      </c>
      <c r="G1585" s="48"/>
      <c r="H1585" s="48"/>
      <c r="I1585" s="48"/>
      <c r="J1585" s="48"/>
      <c r="L1585" s="65"/>
    </row>
    <row r="1586" spans="5:12">
      <c r="E1586" s="49">
        <v>45054.194444438675</v>
      </c>
      <c r="F1586" s="56">
        <v>0</v>
      </c>
      <c r="G1586" s="48"/>
      <c r="H1586" s="48"/>
      <c r="I1586" s="48"/>
      <c r="J1586" s="48"/>
      <c r="L1586" s="65"/>
    </row>
    <row r="1587" spans="5:12">
      <c r="E1587" s="49">
        <v>45054.197916660894</v>
      </c>
      <c r="F1587" s="56">
        <v>0</v>
      </c>
      <c r="G1587" s="48"/>
      <c r="H1587" s="48"/>
      <c r="I1587" s="48"/>
      <c r="J1587" s="48"/>
      <c r="L1587" s="65"/>
    </row>
    <row r="1588" spans="5:12">
      <c r="E1588" s="49">
        <v>45054.201388883113</v>
      </c>
      <c r="F1588" s="56">
        <v>0</v>
      </c>
      <c r="G1588" s="48"/>
      <c r="H1588" s="48"/>
      <c r="I1588" s="48"/>
      <c r="J1588" s="48"/>
      <c r="L1588" s="65"/>
    </row>
    <row r="1589" spans="5:12">
      <c r="E1589" s="49">
        <v>45054.204861105332</v>
      </c>
      <c r="F1589" s="56">
        <v>0</v>
      </c>
      <c r="G1589" s="48"/>
      <c r="H1589" s="48"/>
      <c r="I1589" s="48"/>
      <c r="J1589" s="48"/>
      <c r="L1589" s="65"/>
    </row>
    <row r="1590" spans="5:12">
      <c r="E1590" s="49">
        <v>45054.208333327551</v>
      </c>
      <c r="F1590" s="56">
        <v>0</v>
      </c>
      <c r="G1590" s="48"/>
      <c r="H1590" s="48"/>
      <c r="I1590" s="48"/>
      <c r="J1590" s="48"/>
      <c r="L1590" s="65"/>
    </row>
    <row r="1591" spans="5:12">
      <c r="E1591" s="49">
        <v>45054.21180554977</v>
      </c>
      <c r="F1591" s="56">
        <v>0</v>
      </c>
      <c r="G1591" s="48"/>
      <c r="H1591" s="48"/>
      <c r="I1591" s="48"/>
      <c r="J1591" s="48"/>
      <c r="L1591" s="65"/>
    </row>
    <row r="1592" spans="5:12">
      <c r="E1592" s="49">
        <v>45054.215277771989</v>
      </c>
      <c r="F1592" s="56">
        <v>0</v>
      </c>
      <c r="G1592" s="48"/>
      <c r="H1592" s="48"/>
      <c r="I1592" s="48"/>
      <c r="J1592" s="48"/>
      <c r="L1592" s="65"/>
    </row>
    <row r="1593" spans="5:12">
      <c r="E1593" s="49">
        <v>45054.218749994208</v>
      </c>
      <c r="F1593" s="56">
        <v>0</v>
      </c>
      <c r="G1593" s="48"/>
      <c r="H1593" s="48"/>
      <c r="I1593" s="48"/>
      <c r="J1593" s="48"/>
      <c r="L1593" s="65"/>
    </row>
    <row r="1594" spans="5:12">
      <c r="E1594" s="49">
        <v>45054.222222216427</v>
      </c>
      <c r="F1594" s="56">
        <v>0</v>
      </c>
      <c r="G1594" s="48"/>
      <c r="H1594" s="48"/>
      <c r="I1594" s="48"/>
      <c r="J1594" s="48"/>
      <c r="L1594" s="65"/>
    </row>
    <row r="1595" spans="5:12">
      <c r="E1595" s="49">
        <v>45054.225694438646</v>
      </c>
      <c r="F1595" s="56">
        <v>0</v>
      </c>
      <c r="G1595" s="48"/>
      <c r="H1595" s="48"/>
      <c r="I1595" s="48"/>
      <c r="J1595" s="48"/>
      <c r="L1595" s="65"/>
    </row>
    <row r="1596" spans="5:12">
      <c r="E1596" s="49">
        <v>45054.229166660865</v>
      </c>
      <c r="F1596" s="56">
        <v>0</v>
      </c>
      <c r="G1596" s="48"/>
      <c r="H1596" s="48"/>
      <c r="I1596" s="48"/>
      <c r="J1596" s="48"/>
      <c r="L1596" s="65"/>
    </row>
    <row r="1597" spans="5:12">
      <c r="E1597" s="49">
        <v>45054.232638883084</v>
      </c>
      <c r="F1597" s="56">
        <v>0</v>
      </c>
      <c r="G1597" s="48"/>
      <c r="H1597" s="48"/>
      <c r="I1597" s="48"/>
      <c r="J1597" s="48"/>
      <c r="L1597" s="65"/>
    </row>
    <row r="1598" spans="5:12">
      <c r="E1598" s="49">
        <v>45054.236111105303</v>
      </c>
      <c r="F1598" s="56">
        <v>0</v>
      </c>
      <c r="G1598" s="48"/>
      <c r="H1598" s="48"/>
      <c r="I1598" s="48"/>
      <c r="J1598" s="48"/>
      <c r="L1598" s="65"/>
    </row>
    <row r="1599" spans="5:12">
      <c r="E1599" s="49">
        <v>45054.239583327522</v>
      </c>
      <c r="F1599" s="56">
        <v>0</v>
      </c>
      <c r="G1599" s="48"/>
      <c r="H1599" s="48"/>
      <c r="I1599" s="48"/>
      <c r="J1599" s="48"/>
      <c r="L1599" s="65"/>
    </row>
    <row r="1600" spans="5:12">
      <c r="E1600" s="49">
        <v>45054.243055549741</v>
      </c>
      <c r="F1600" s="56">
        <v>0</v>
      </c>
      <c r="G1600" s="48"/>
      <c r="H1600" s="48"/>
      <c r="I1600" s="48"/>
      <c r="J1600" s="48"/>
      <c r="L1600" s="65"/>
    </row>
    <row r="1601" spans="5:12">
      <c r="E1601" s="49">
        <v>45054.24652777196</v>
      </c>
      <c r="F1601" s="56">
        <v>0</v>
      </c>
      <c r="G1601" s="48"/>
      <c r="H1601" s="48"/>
      <c r="I1601" s="48"/>
      <c r="J1601" s="48"/>
      <c r="L1601" s="65"/>
    </row>
    <row r="1602" spans="5:12">
      <c r="E1602" s="49">
        <v>45054.249999994179</v>
      </c>
      <c r="F1602" s="56">
        <v>0</v>
      </c>
      <c r="G1602" s="48"/>
      <c r="H1602" s="48"/>
      <c r="I1602" s="48"/>
      <c r="J1602" s="48"/>
      <c r="L1602" s="65"/>
    </row>
    <row r="1603" spans="5:12">
      <c r="E1603" s="49">
        <v>45054.253472216398</v>
      </c>
      <c r="F1603" s="56">
        <v>0</v>
      </c>
      <c r="G1603" s="48"/>
      <c r="H1603" s="48"/>
      <c r="I1603" s="48"/>
      <c r="J1603" s="48"/>
      <c r="L1603" s="65"/>
    </row>
    <row r="1604" spans="5:12">
      <c r="E1604" s="49">
        <v>45054.256944438617</v>
      </c>
      <c r="F1604" s="56">
        <v>0</v>
      </c>
      <c r="G1604" s="48"/>
      <c r="H1604" s="48"/>
      <c r="I1604" s="48"/>
      <c r="J1604" s="48"/>
      <c r="L1604" s="65"/>
    </row>
    <row r="1605" spans="5:12">
      <c r="E1605" s="49">
        <v>45054.260416660836</v>
      </c>
      <c r="F1605" s="56">
        <v>0</v>
      </c>
      <c r="G1605" s="48"/>
      <c r="H1605" s="48"/>
      <c r="I1605" s="48"/>
      <c r="J1605" s="48"/>
      <c r="L1605" s="65"/>
    </row>
    <row r="1606" spans="5:12">
      <c r="E1606" s="49">
        <v>45054.263888883055</v>
      </c>
      <c r="F1606" s="56">
        <v>0</v>
      </c>
      <c r="G1606" s="48"/>
      <c r="H1606" s="48"/>
      <c r="I1606" s="48"/>
      <c r="J1606" s="48"/>
      <c r="L1606" s="65"/>
    </row>
    <row r="1607" spans="5:12">
      <c r="E1607" s="49">
        <v>45054.267361105274</v>
      </c>
      <c r="F1607" s="56">
        <v>0</v>
      </c>
      <c r="G1607" s="48"/>
      <c r="H1607" s="48"/>
      <c r="I1607" s="48"/>
      <c r="J1607" s="48"/>
      <c r="L1607" s="65"/>
    </row>
    <row r="1608" spans="5:12">
      <c r="E1608" s="49">
        <v>45054.270833327493</v>
      </c>
      <c r="F1608" s="56">
        <v>0</v>
      </c>
      <c r="G1608" s="48"/>
      <c r="H1608" s="48"/>
      <c r="I1608" s="48"/>
      <c r="J1608" s="48"/>
      <c r="L1608" s="65"/>
    </row>
    <row r="1609" spans="5:12">
      <c r="E1609" s="49">
        <v>45054.274305549712</v>
      </c>
      <c r="F1609" s="56">
        <v>0</v>
      </c>
      <c r="G1609" s="48"/>
      <c r="H1609" s="48"/>
      <c r="I1609" s="48"/>
      <c r="J1609" s="48"/>
      <c r="L1609" s="65"/>
    </row>
    <row r="1610" spans="5:12">
      <c r="E1610" s="49">
        <v>45054.277777771931</v>
      </c>
      <c r="F1610" s="56">
        <v>0</v>
      </c>
      <c r="G1610" s="48"/>
      <c r="H1610" s="48"/>
      <c r="I1610" s="48"/>
      <c r="J1610" s="48"/>
      <c r="L1610" s="65"/>
    </row>
    <row r="1611" spans="5:12">
      <c r="E1611" s="49">
        <v>45054.28124999415</v>
      </c>
      <c r="F1611" s="56">
        <v>0</v>
      </c>
      <c r="G1611" s="48"/>
      <c r="H1611" s="48"/>
      <c r="I1611" s="48"/>
      <c r="J1611" s="48"/>
      <c r="L1611" s="65"/>
    </row>
    <row r="1612" spans="5:12">
      <c r="E1612" s="49">
        <v>45054.284722216369</v>
      </c>
      <c r="F1612" s="56">
        <v>0</v>
      </c>
      <c r="G1612" s="48"/>
      <c r="H1612" s="48"/>
      <c r="I1612" s="48"/>
      <c r="J1612" s="48"/>
      <c r="L1612" s="65"/>
    </row>
    <row r="1613" spans="5:12">
      <c r="E1613" s="49">
        <v>45054.288194438588</v>
      </c>
      <c r="F1613" s="56">
        <v>0</v>
      </c>
      <c r="G1613" s="48"/>
      <c r="H1613" s="48"/>
      <c r="I1613" s="48"/>
      <c r="J1613" s="48"/>
      <c r="L1613" s="65"/>
    </row>
    <row r="1614" spans="5:12">
      <c r="E1614" s="49">
        <v>45054.291666660807</v>
      </c>
      <c r="F1614" s="56">
        <v>0</v>
      </c>
      <c r="G1614" s="48"/>
      <c r="H1614" s="48"/>
      <c r="I1614" s="48"/>
      <c r="J1614" s="48"/>
      <c r="L1614" s="65"/>
    </row>
    <row r="1615" spans="5:12">
      <c r="E1615" s="49">
        <v>45054.295138883026</v>
      </c>
      <c r="F1615" s="56">
        <v>0</v>
      </c>
      <c r="G1615" s="48"/>
      <c r="H1615" s="48"/>
      <c r="I1615" s="48"/>
      <c r="J1615" s="48"/>
      <c r="L1615" s="65"/>
    </row>
    <row r="1616" spans="5:12">
      <c r="E1616" s="49">
        <v>45054.298611105245</v>
      </c>
      <c r="F1616" s="56">
        <v>0</v>
      </c>
      <c r="G1616" s="48"/>
      <c r="H1616" s="48"/>
      <c r="I1616" s="48"/>
      <c r="J1616" s="48"/>
      <c r="L1616" s="65"/>
    </row>
    <row r="1617" spans="5:12">
      <c r="E1617" s="49">
        <v>45054.302083327464</v>
      </c>
      <c r="F1617" s="56">
        <v>0</v>
      </c>
      <c r="G1617" s="48"/>
      <c r="H1617" s="48"/>
      <c r="I1617" s="48"/>
      <c r="J1617" s="48"/>
      <c r="L1617" s="65"/>
    </row>
    <row r="1618" spans="5:12">
      <c r="E1618" s="49">
        <v>45054.305555549683</v>
      </c>
      <c r="F1618" s="56">
        <v>0</v>
      </c>
      <c r="G1618" s="48"/>
      <c r="H1618" s="48"/>
      <c r="I1618" s="48"/>
      <c r="J1618" s="48"/>
      <c r="L1618" s="65"/>
    </row>
    <row r="1619" spans="5:12">
      <c r="E1619" s="49">
        <v>45054.309027771902</v>
      </c>
      <c r="F1619" s="56">
        <v>0</v>
      </c>
      <c r="G1619" s="48"/>
      <c r="H1619" s="48"/>
      <c r="I1619" s="48"/>
      <c r="J1619" s="48"/>
      <c r="L1619" s="65"/>
    </row>
    <row r="1620" spans="5:12">
      <c r="E1620" s="49">
        <v>45054.312499994121</v>
      </c>
      <c r="F1620" s="56">
        <v>0</v>
      </c>
      <c r="G1620" s="48"/>
      <c r="H1620" s="48"/>
      <c r="I1620" s="48"/>
      <c r="J1620" s="48"/>
      <c r="L1620" s="65"/>
    </row>
    <row r="1621" spans="5:12">
      <c r="E1621" s="49">
        <v>45054.31597221634</v>
      </c>
      <c r="F1621" s="56">
        <v>0</v>
      </c>
      <c r="G1621" s="48"/>
      <c r="H1621" s="48"/>
      <c r="I1621" s="48"/>
      <c r="J1621" s="48"/>
      <c r="L1621" s="65"/>
    </row>
    <row r="1622" spans="5:12">
      <c r="E1622" s="49">
        <v>45054.319444438559</v>
      </c>
      <c r="F1622" s="56">
        <v>0</v>
      </c>
      <c r="G1622" s="48"/>
      <c r="H1622" s="48"/>
      <c r="I1622" s="48"/>
      <c r="J1622" s="48"/>
      <c r="L1622" s="65"/>
    </row>
    <row r="1623" spans="5:12">
      <c r="E1623" s="49">
        <v>45054.322916660778</v>
      </c>
      <c r="F1623" s="56">
        <v>0</v>
      </c>
      <c r="G1623" s="48"/>
      <c r="H1623" s="48"/>
      <c r="I1623" s="48"/>
      <c r="J1623" s="48"/>
      <c r="L1623" s="65"/>
    </row>
    <row r="1624" spans="5:12">
      <c r="E1624" s="49">
        <v>45054.326388882997</v>
      </c>
      <c r="F1624" s="56">
        <v>0</v>
      </c>
      <c r="G1624" s="48"/>
      <c r="H1624" s="48"/>
      <c r="I1624" s="48"/>
      <c r="J1624" s="48"/>
      <c r="L1624" s="65"/>
    </row>
    <row r="1625" spans="5:12">
      <c r="E1625" s="49">
        <v>45054.329861105216</v>
      </c>
      <c r="F1625" s="56">
        <v>0</v>
      </c>
      <c r="G1625" s="48"/>
      <c r="H1625" s="48"/>
      <c r="I1625" s="48"/>
      <c r="J1625" s="48"/>
      <c r="L1625" s="65"/>
    </row>
    <row r="1626" spans="5:12">
      <c r="E1626" s="49">
        <v>45054.333333327435</v>
      </c>
      <c r="F1626" s="56">
        <v>0</v>
      </c>
      <c r="G1626" s="48"/>
      <c r="H1626" s="48"/>
      <c r="I1626" s="48"/>
      <c r="J1626" s="48"/>
      <c r="L1626" s="65"/>
    </row>
    <row r="1627" spans="5:12">
      <c r="E1627" s="49">
        <v>45054.336805549654</v>
      </c>
      <c r="F1627" s="56">
        <v>0</v>
      </c>
      <c r="G1627" s="48"/>
      <c r="H1627" s="48"/>
      <c r="I1627" s="48"/>
      <c r="J1627" s="48"/>
      <c r="L1627" s="65"/>
    </row>
    <row r="1628" spans="5:12">
      <c r="E1628" s="49">
        <v>45054.340277771873</v>
      </c>
      <c r="F1628" s="56">
        <v>0</v>
      </c>
      <c r="G1628" s="48"/>
      <c r="H1628" s="48"/>
      <c r="I1628" s="48"/>
      <c r="J1628" s="48"/>
      <c r="L1628" s="65"/>
    </row>
    <row r="1629" spans="5:12">
      <c r="E1629" s="49">
        <v>45054.343749994092</v>
      </c>
      <c r="F1629" s="56">
        <v>0</v>
      </c>
      <c r="G1629" s="48"/>
      <c r="H1629" s="48"/>
      <c r="I1629" s="48"/>
      <c r="J1629" s="48"/>
      <c r="L1629" s="65"/>
    </row>
    <row r="1630" spans="5:12">
      <c r="E1630" s="49">
        <v>45054.347222216311</v>
      </c>
      <c r="F1630" s="56">
        <v>0</v>
      </c>
      <c r="G1630" s="48"/>
      <c r="H1630" s="48"/>
      <c r="I1630" s="48"/>
      <c r="J1630" s="48"/>
      <c r="L1630" s="65"/>
    </row>
    <row r="1631" spans="5:12">
      <c r="E1631" s="49">
        <v>45054.35069443853</v>
      </c>
      <c r="F1631" s="56">
        <v>0</v>
      </c>
      <c r="G1631" s="48"/>
      <c r="H1631" s="48"/>
      <c r="I1631" s="48"/>
      <c r="J1631" s="48"/>
      <c r="L1631" s="65"/>
    </row>
    <row r="1632" spans="5:12">
      <c r="E1632" s="49">
        <v>45054.354166660749</v>
      </c>
      <c r="F1632" s="56">
        <v>0</v>
      </c>
      <c r="G1632" s="48"/>
      <c r="H1632" s="48"/>
      <c r="I1632" s="48"/>
      <c r="J1632" s="48"/>
      <c r="L1632" s="65"/>
    </row>
    <row r="1633" spans="5:12">
      <c r="E1633" s="49">
        <v>45054.357638882968</v>
      </c>
      <c r="F1633" s="56">
        <v>0</v>
      </c>
      <c r="G1633" s="48"/>
      <c r="H1633" s="48"/>
      <c r="I1633" s="48"/>
      <c r="J1633" s="48"/>
      <c r="L1633" s="65"/>
    </row>
    <row r="1634" spans="5:12">
      <c r="E1634" s="49">
        <v>45054.361111105187</v>
      </c>
      <c r="F1634" s="56">
        <v>0</v>
      </c>
      <c r="G1634" s="48"/>
      <c r="H1634" s="48"/>
      <c r="I1634" s="48"/>
      <c r="J1634" s="48"/>
      <c r="L1634" s="65"/>
    </row>
    <row r="1635" spans="5:12">
      <c r="E1635" s="49">
        <v>45054.364583327406</v>
      </c>
      <c r="F1635" s="56">
        <v>0</v>
      </c>
      <c r="G1635" s="48"/>
      <c r="H1635" s="48"/>
      <c r="I1635" s="48"/>
      <c r="J1635" s="48"/>
      <c r="L1635" s="65"/>
    </row>
    <row r="1636" spans="5:12">
      <c r="E1636" s="49">
        <v>45054.368055549625</v>
      </c>
      <c r="F1636" s="56">
        <v>0</v>
      </c>
      <c r="G1636" s="48"/>
      <c r="H1636" s="48"/>
      <c r="I1636" s="48"/>
      <c r="J1636" s="48"/>
      <c r="L1636" s="65"/>
    </row>
    <row r="1637" spans="5:12">
      <c r="E1637" s="49">
        <v>45054.371527771844</v>
      </c>
      <c r="F1637" s="56">
        <v>0</v>
      </c>
      <c r="G1637" s="48"/>
      <c r="H1637" s="48"/>
      <c r="I1637" s="48"/>
      <c r="J1637" s="48"/>
      <c r="L1637" s="65"/>
    </row>
    <row r="1638" spans="5:12">
      <c r="E1638" s="49">
        <v>45054.374999994063</v>
      </c>
      <c r="F1638" s="56">
        <v>0</v>
      </c>
      <c r="G1638" s="48"/>
      <c r="H1638" s="48"/>
      <c r="I1638" s="48"/>
      <c r="J1638" s="48"/>
      <c r="L1638" s="65"/>
    </row>
    <row r="1639" spans="5:12">
      <c r="E1639" s="49">
        <v>45054.378472216282</v>
      </c>
      <c r="F1639" s="56">
        <v>0</v>
      </c>
      <c r="G1639" s="48"/>
      <c r="H1639" s="48"/>
      <c r="I1639" s="48"/>
      <c r="J1639" s="48"/>
      <c r="L1639" s="65"/>
    </row>
    <row r="1640" spans="5:12">
      <c r="E1640" s="49">
        <v>45054.381944438501</v>
      </c>
      <c r="F1640" s="56">
        <v>0</v>
      </c>
      <c r="G1640" s="48"/>
      <c r="H1640" s="48"/>
      <c r="I1640" s="48"/>
      <c r="J1640" s="48"/>
      <c r="L1640" s="65"/>
    </row>
    <row r="1641" spans="5:12">
      <c r="E1641" s="49">
        <v>45054.38541666072</v>
      </c>
      <c r="F1641" s="56">
        <v>0</v>
      </c>
      <c r="G1641" s="48"/>
      <c r="H1641" s="48"/>
      <c r="I1641" s="48"/>
      <c r="J1641" s="48"/>
      <c r="L1641" s="65"/>
    </row>
    <row r="1642" spans="5:12">
      <c r="E1642" s="49">
        <v>45054.388888882939</v>
      </c>
      <c r="F1642" s="56">
        <v>0</v>
      </c>
      <c r="G1642" s="48"/>
      <c r="H1642" s="48"/>
      <c r="I1642" s="48"/>
      <c r="J1642" s="48"/>
      <c r="L1642" s="65"/>
    </row>
    <row r="1643" spans="5:12">
      <c r="E1643" s="49">
        <v>45054.392361105158</v>
      </c>
      <c r="F1643" s="56">
        <v>0</v>
      </c>
      <c r="G1643" s="48"/>
      <c r="H1643" s="48"/>
      <c r="I1643" s="48"/>
      <c r="J1643" s="48"/>
      <c r="L1643" s="65"/>
    </row>
    <row r="1644" spans="5:12">
      <c r="E1644" s="49">
        <v>45054.395833327377</v>
      </c>
      <c r="F1644" s="56">
        <v>0</v>
      </c>
      <c r="G1644" s="48"/>
      <c r="H1644" s="48"/>
      <c r="I1644" s="48"/>
      <c r="J1644" s="48"/>
      <c r="L1644" s="65"/>
    </row>
    <row r="1645" spans="5:12">
      <c r="E1645" s="49">
        <v>45054.399305549596</v>
      </c>
      <c r="F1645" s="56">
        <v>0</v>
      </c>
      <c r="G1645" s="48"/>
      <c r="H1645" s="48"/>
      <c r="I1645" s="48"/>
      <c r="J1645" s="48"/>
      <c r="L1645" s="65"/>
    </row>
    <row r="1646" spans="5:12">
      <c r="E1646" s="49">
        <v>45054.402777771815</v>
      </c>
      <c r="F1646" s="56">
        <v>0</v>
      </c>
      <c r="G1646" s="48"/>
      <c r="H1646" s="48"/>
      <c r="I1646" s="48"/>
      <c r="J1646" s="48"/>
      <c r="L1646" s="65"/>
    </row>
    <row r="1647" spans="5:12">
      <c r="E1647" s="49">
        <v>45054.406249994034</v>
      </c>
      <c r="F1647" s="56">
        <v>0</v>
      </c>
      <c r="G1647" s="48"/>
      <c r="H1647" s="48"/>
      <c r="I1647" s="48"/>
      <c r="J1647" s="48"/>
      <c r="L1647" s="65"/>
    </row>
    <row r="1648" spans="5:12">
      <c r="E1648" s="49">
        <v>45054.409722216253</v>
      </c>
      <c r="F1648" s="56">
        <v>0</v>
      </c>
      <c r="G1648" s="48"/>
      <c r="H1648" s="48"/>
      <c r="I1648" s="48"/>
      <c r="J1648" s="48"/>
      <c r="L1648" s="65"/>
    </row>
    <row r="1649" spans="5:12">
      <c r="E1649" s="49">
        <v>45054.413194438472</v>
      </c>
      <c r="F1649" s="56">
        <v>0</v>
      </c>
      <c r="G1649" s="48"/>
      <c r="H1649" s="48"/>
      <c r="I1649" s="48"/>
      <c r="J1649" s="48"/>
      <c r="L1649" s="65"/>
    </row>
    <row r="1650" spans="5:12">
      <c r="E1650" s="49">
        <v>45054.416666660691</v>
      </c>
      <c r="F1650" s="56">
        <v>0</v>
      </c>
      <c r="G1650" s="48"/>
      <c r="H1650" s="48"/>
      <c r="I1650" s="48"/>
      <c r="J1650" s="48"/>
      <c r="L1650" s="65"/>
    </row>
    <row r="1651" spans="5:12">
      <c r="E1651" s="49">
        <v>45054.42013888291</v>
      </c>
      <c r="F1651" s="56">
        <v>0</v>
      </c>
      <c r="G1651" s="48"/>
      <c r="H1651" s="48"/>
      <c r="I1651" s="48"/>
      <c r="J1651" s="48"/>
      <c r="L1651" s="65"/>
    </row>
    <row r="1652" spans="5:12">
      <c r="E1652" s="49">
        <v>45054.423611105129</v>
      </c>
      <c r="F1652" s="56">
        <v>0</v>
      </c>
      <c r="G1652" s="48"/>
      <c r="H1652" s="48"/>
      <c r="I1652" s="48"/>
      <c r="J1652" s="48"/>
      <c r="L1652" s="65"/>
    </row>
    <row r="1653" spans="5:12">
      <c r="E1653" s="49">
        <v>45054.427083327348</v>
      </c>
      <c r="F1653" s="56">
        <v>0</v>
      </c>
      <c r="G1653" s="48"/>
      <c r="H1653" s="48"/>
      <c r="I1653" s="48"/>
      <c r="J1653" s="48"/>
      <c r="L1653" s="65"/>
    </row>
    <row r="1654" spans="5:12">
      <c r="E1654" s="49">
        <v>45054.430555549567</v>
      </c>
      <c r="F1654" s="56">
        <v>0</v>
      </c>
      <c r="G1654" s="48"/>
      <c r="H1654" s="48"/>
      <c r="I1654" s="48"/>
      <c r="J1654" s="48"/>
      <c r="L1654" s="65"/>
    </row>
    <row r="1655" spans="5:12">
      <c r="E1655" s="49">
        <v>45054.434027771786</v>
      </c>
      <c r="F1655" s="56">
        <v>0</v>
      </c>
      <c r="G1655" s="48"/>
      <c r="H1655" s="48"/>
      <c r="I1655" s="48"/>
      <c r="J1655" s="48"/>
      <c r="L1655" s="65"/>
    </row>
    <row r="1656" spans="5:12">
      <c r="E1656" s="49">
        <v>45054.437499994005</v>
      </c>
      <c r="F1656" s="56">
        <v>0</v>
      </c>
      <c r="G1656" s="48"/>
      <c r="H1656" s="48"/>
      <c r="I1656" s="48"/>
      <c r="J1656" s="48"/>
      <c r="L1656" s="65"/>
    </row>
    <row r="1657" spans="5:12">
      <c r="E1657" s="49">
        <v>45054.440972216224</v>
      </c>
      <c r="F1657" s="56">
        <v>0</v>
      </c>
      <c r="G1657" s="48"/>
      <c r="H1657" s="48"/>
      <c r="I1657" s="48"/>
      <c r="J1657" s="48"/>
      <c r="L1657" s="65"/>
    </row>
    <row r="1658" spans="5:12">
      <c r="E1658" s="49">
        <v>45054.444444438443</v>
      </c>
      <c r="F1658" s="56">
        <v>0</v>
      </c>
      <c r="G1658" s="48"/>
      <c r="H1658" s="48"/>
      <c r="I1658" s="48"/>
      <c r="J1658" s="48"/>
      <c r="L1658" s="65"/>
    </row>
    <row r="1659" spans="5:12">
      <c r="E1659" s="49">
        <v>45054.447916660662</v>
      </c>
      <c r="F1659" s="56">
        <v>0</v>
      </c>
      <c r="G1659" s="48"/>
      <c r="H1659" s="48"/>
      <c r="I1659" s="48"/>
      <c r="J1659" s="48"/>
      <c r="L1659" s="65"/>
    </row>
    <row r="1660" spans="5:12">
      <c r="E1660" s="49">
        <v>45054.451388882881</v>
      </c>
      <c r="F1660" s="56">
        <v>0</v>
      </c>
      <c r="G1660" s="48"/>
      <c r="H1660" s="48"/>
      <c r="I1660" s="48"/>
      <c r="J1660" s="48"/>
      <c r="L1660" s="65"/>
    </row>
    <row r="1661" spans="5:12">
      <c r="E1661" s="49">
        <v>45054.4548611051</v>
      </c>
      <c r="F1661" s="56">
        <v>0</v>
      </c>
      <c r="G1661" s="48"/>
      <c r="H1661" s="48"/>
      <c r="I1661" s="48"/>
      <c r="J1661" s="48"/>
      <c r="L1661" s="65"/>
    </row>
    <row r="1662" spans="5:12">
      <c r="E1662" s="49">
        <v>45054.458333327319</v>
      </c>
      <c r="F1662" s="56">
        <v>0</v>
      </c>
      <c r="G1662" s="48"/>
      <c r="H1662" s="48"/>
      <c r="I1662" s="48"/>
      <c r="J1662" s="48"/>
      <c r="L1662" s="65"/>
    </row>
    <row r="1663" spans="5:12">
      <c r="E1663" s="49">
        <v>45054.461805549538</v>
      </c>
      <c r="F1663" s="56">
        <v>0</v>
      </c>
      <c r="G1663" s="48"/>
      <c r="H1663" s="48"/>
      <c r="I1663" s="48"/>
      <c r="J1663" s="48"/>
      <c r="L1663" s="65"/>
    </row>
    <row r="1664" spans="5:12">
      <c r="E1664" s="49">
        <v>45054.465277771757</v>
      </c>
      <c r="F1664" s="56">
        <v>0</v>
      </c>
      <c r="G1664" s="48"/>
      <c r="H1664" s="48"/>
      <c r="I1664" s="48"/>
      <c r="J1664" s="48"/>
      <c r="L1664" s="65"/>
    </row>
    <row r="1665" spans="5:12">
      <c r="E1665" s="49">
        <v>45054.468749993976</v>
      </c>
      <c r="F1665" s="56">
        <v>0</v>
      </c>
      <c r="G1665" s="48"/>
      <c r="H1665" s="48"/>
      <c r="I1665" s="48"/>
      <c r="J1665" s="48"/>
      <c r="L1665" s="65"/>
    </row>
    <row r="1666" spans="5:12">
      <c r="E1666" s="49">
        <v>45054.472222216194</v>
      </c>
      <c r="F1666" s="56">
        <v>0</v>
      </c>
      <c r="G1666" s="48"/>
      <c r="H1666" s="48"/>
      <c r="I1666" s="48"/>
      <c r="J1666" s="48"/>
      <c r="L1666" s="65"/>
    </row>
    <row r="1667" spans="5:12">
      <c r="E1667" s="49">
        <v>45054.475694438413</v>
      </c>
      <c r="F1667" s="56">
        <v>0</v>
      </c>
      <c r="G1667" s="48"/>
      <c r="H1667" s="48"/>
      <c r="I1667" s="48"/>
      <c r="J1667" s="48"/>
      <c r="L1667" s="65"/>
    </row>
    <row r="1668" spans="5:12">
      <c r="E1668" s="49">
        <v>45054.479166660632</v>
      </c>
      <c r="F1668" s="56">
        <v>0</v>
      </c>
      <c r="G1668" s="48"/>
      <c r="H1668" s="48"/>
      <c r="I1668" s="48"/>
      <c r="J1668" s="48"/>
      <c r="L1668" s="65"/>
    </row>
    <row r="1669" spans="5:12">
      <c r="E1669" s="49">
        <v>45054.482638882851</v>
      </c>
      <c r="F1669" s="56">
        <v>0</v>
      </c>
      <c r="G1669" s="48"/>
      <c r="H1669" s="48"/>
      <c r="I1669" s="48"/>
      <c r="J1669" s="48"/>
      <c r="L1669" s="65"/>
    </row>
    <row r="1670" spans="5:12">
      <c r="E1670" s="49">
        <v>45054.48611110507</v>
      </c>
      <c r="F1670" s="56">
        <v>0</v>
      </c>
      <c r="G1670" s="48"/>
      <c r="H1670" s="48"/>
      <c r="I1670" s="48"/>
      <c r="J1670" s="48"/>
      <c r="L1670" s="65"/>
    </row>
    <row r="1671" spans="5:12">
      <c r="E1671" s="49">
        <v>45054.489583327289</v>
      </c>
      <c r="F1671" s="56">
        <v>0</v>
      </c>
      <c r="G1671" s="48"/>
      <c r="H1671" s="48"/>
      <c r="I1671" s="48"/>
      <c r="J1671" s="48"/>
      <c r="L1671" s="65"/>
    </row>
    <row r="1672" spans="5:12">
      <c r="E1672" s="49">
        <v>45054.493055549508</v>
      </c>
      <c r="F1672" s="56">
        <v>0</v>
      </c>
      <c r="G1672" s="48"/>
      <c r="H1672" s="48"/>
      <c r="I1672" s="48"/>
      <c r="J1672" s="48"/>
      <c r="L1672" s="65"/>
    </row>
    <row r="1673" spans="5:12">
      <c r="E1673" s="49">
        <v>45054.496527771727</v>
      </c>
      <c r="F1673" s="56">
        <v>0</v>
      </c>
      <c r="G1673" s="48"/>
      <c r="H1673" s="48"/>
      <c r="I1673" s="48"/>
      <c r="J1673" s="48"/>
      <c r="L1673" s="65"/>
    </row>
    <row r="1674" spans="5:12">
      <c r="E1674" s="49">
        <v>45054.499999993946</v>
      </c>
      <c r="F1674" s="56">
        <v>0</v>
      </c>
      <c r="G1674" s="48"/>
      <c r="H1674" s="48"/>
      <c r="I1674" s="48"/>
      <c r="J1674" s="48"/>
      <c r="L1674" s="65"/>
    </row>
    <row r="1675" spans="5:12">
      <c r="E1675" s="49">
        <v>45054.503472216165</v>
      </c>
      <c r="F1675" s="56">
        <v>0</v>
      </c>
      <c r="G1675" s="48"/>
      <c r="H1675" s="48"/>
      <c r="I1675" s="48"/>
      <c r="J1675" s="48"/>
      <c r="L1675" s="65"/>
    </row>
    <row r="1676" spans="5:12">
      <c r="E1676" s="49">
        <v>45054.506944438384</v>
      </c>
      <c r="F1676" s="56">
        <v>0</v>
      </c>
      <c r="G1676" s="48"/>
      <c r="H1676" s="48"/>
      <c r="I1676" s="48"/>
      <c r="J1676" s="48"/>
      <c r="L1676" s="65"/>
    </row>
    <row r="1677" spans="5:12">
      <c r="E1677" s="49">
        <v>45054.510416660603</v>
      </c>
      <c r="F1677" s="56">
        <v>0</v>
      </c>
      <c r="G1677" s="48"/>
      <c r="H1677" s="48"/>
      <c r="I1677" s="48"/>
      <c r="J1677" s="48"/>
      <c r="L1677" s="65"/>
    </row>
    <row r="1678" spans="5:12">
      <c r="E1678" s="49">
        <v>45054.513888882822</v>
      </c>
      <c r="F1678" s="56">
        <v>0</v>
      </c>
      <c r="G1678" s="48"/>
      <c r="H1678" s="48"/>
      <c r="I1678" s="48"/>
      <c r="J1678" s="48"/>
      <c r="L1678" s="65"/>
    </row>
    <row r="1679" spans="5:12">
      <c r="E1679" s="49">
        <v>45054.517361105041</v>
      </c>
      <c r="F1679" s="56">
        <v>0</v>
      </c>
      <c r="G1679" s="48"/>
      <c r="H1679" s="48"/>
      <c r="I1679" s="48"/>
      <c r="J1679" s="48"/>
      <c r="L1679" s="65"/>
    </row>
    <row r="1680" spans="5:12">
      <c r="E1680" s="49">
        <v>45054.52083332726</v>
      </c>
      <c r="F1680" s="56">
        <v>0</v>
      </c>
      <c r="G1680" s="48"/>
      <c r="H1680" s="48"/>
      <c r="I1680" s="48"/>
      <c r="J1680" s="48"/>
      <c r="L1680" s="65"/>
    </row>
    <row r="1681" spans="5:12">
      <c r="E1681" s="49">
        <v>45054.524305549479</v>
      </c>
      <c r="F1681" s="56">
        <v>0</v>
      </c>
      <c r="G1681" s="48"/>
      <c r="H1681" s="48"/>
      <c r="I1681" s="48"/>
      <c r="J1681" s="48"/>
      <c r="L1681" s="65"/>
    </row>
    <row r="1682" spans="5:12">
      <c r="E1682" s="49">
        <v>45054.527777771698</v>
      </c>
      <c r="F1682" s="56">
        <v>0</v>
      </c>
      <c r="G1682" s="48"/>
      <c r="H1682" s="48"/>
      <c r="I1682" s="48"/>
      <c r="J1682" s="48"/>
      <c r="L1682" s="65"/>
    </row>
    <row r="1683" spans="5:12">
      <c r="E1683" s="49">
        <v>45054.531249993917</v>
      </c>
      <c r="F1683" s="56">
        <v>0</v>
      </c>
      <c r="G1683" s="48"/>
      <c r="H1683" s="48"/>
      <c r="I1683" s="48"/>
      <c r="J1683" s="48"/>
      <c r="L1683" s="65"/>
    </row>
    <row r="1684" spans="5:12">
      <c r="E1684" s="49">
        <v>45054.534722216136</v>
      </c>
      <c r="F1684" s="56">
        <v>0</v>
      </c>
      <c r="G1684" s="48"/>
      <c r="H1684" s="48"/>
      <c r="I1684" s="48"/>
      <c r="J1684" s="48"/>
      <c r="L1684" s="65"/>
    </row>
    <row r="1685" spans="5:12">
      <c r="E1685" s="49">
        <v>45054.538194438355</v>
      </c>
      <c r="F1685" s="56">
        <v>0</v>
      </c>
      <c r="G1685" s="48"/>
      <c r="H1685" s="48"/>
      <c r="I1685" s="48"/>
      <c r="J1685" s="48"/>
      <c r="L1685" s="65"/>
    </row>
    <row r="1686" spans="5:12">
      <c r="E1686" s="49">
        <v>45054.541666660574</v>
      </c>
      <c r="F1686" s="56">
        <v>0</v>
      </c>
      <c r="G1686" s="48"/>
      <c r="H1686" s="48"/>
      <c r="I1686" s="48"/>
      <c r="J1686" s="48"/>
      <c r="L1686" s="65"/>
    </row>
    <row r="1687" spans="5:12">
      <c r="E1687" s="49">
        <v>45054.545138882793</v>
      </c>
      <c r="F1687" s="56">
        <v>0</v>
      </c>
      <c r="G1687" s="48"/>
      <c r="H1687" s="48"/>
      <c r="I1687" s="48"/>
      <c r="J1687" s="48"/>
      <c r="L1687" s="65"/>
    </row>
    <row r="1688" spans="5:12">
      <c r="E1688" s="49">
        <v>45054.548611105012</v>
      </c>
      <c r="F1688" s="56">
        <v>0</v>
      </c>
      <c r="G1688" s="48"/>
      <c r="H1688" s="48"/>
      <c r="I1688" s="48"/>
      <c r="J1688" s="48"/>
      <c r="L1688" s="65"/>
    </row>
    <row r="1689" spans="5:12">
      <c r="E1689" s="49">
        <v>45054.552083327231</v>
      </c>
      <c r="F1689" s="56">
        <v>0</v>
      </c>
      <c r="G1689" s="48"/>
      <c r="H1689" s="48"/>
      <c r="I1689" s="48"/>
      <c r="J1689" s="48"/>
      <c r="L1689" s="65"/>
    </row>
    <row r="1690" spans="5:12">
      <c r="E1690" s="49">
        <v>45054.55555554945</v>
      </c>
      <c r="F1690" s="56">
        <v>0</v>
      </c>
      <c r="G1690" s="48"/>
      <c r="H1690" s="48"/>
      <c r="I1690" s="48"/>
      <c r="J1690" s="48"/>
      <c r="L1690" s="65"/>
    </row>
    <row r="1691" spans="5:12">
      <c r="E1691" s="49">
        <v>45054.559027771669</v>
      </c>
      <c r="F1691" s="56">
        <v>0</v>
      </c>
      <c r="G1691" s="48"/>
      <c r="H1691" s="48"/>
      <c r="I1691" s="48"/>
      <c r="J1691" s="48"/>
      <c r="L1691" s="65"/>
    </row>
    <row r="1692" spans="5:12">
      <c r="E1692" s="49">
        <v>45054.562499993888</v>
      </c>
      <c r="F1692" s="56">
        <v>0</v>
      </c>
      <c r="G1692" s="48"/>
      <c r="H1692" s="48"/>
      <c r="I1692" s="48"/>
      <c r="J1692" s="48"/>
      <c r="L1692" s="65"/>
    </row>
    <row r="1693" spans="5:12">
      <c r="E1693" s="49">
        <v>45054.565972216107</v>
      </c>
      <c r="F1693" s="56">
        <v>0</v>
      </c>
      <c r="G1693" s="48"/>
      <c r="H1693" s="48"/>
      <c r="I1693" s="48"/>
      <c r="J1693" s="48"/>
      <c r="L1693" s="65"/>
    </row>
    <row r="1694" spans="5:12">
      <c r="E1694" s="49">
        <v>45054.569444438326</v>
      </c>
      <c r="F1694" s="56">
        <v>0</v>
      </c>
      <c r="G1694" s="48"/>
      <c r="H1694" s="48"/>
      <c r="I1694" s="48"/>
      <c r="J1694" s="48"/>
      <c r="L1694" s="65"/>
    </row>
    <row r="1695" spans="5:12">
      <c r="E1695" s="49">
        <v>45054.572916660545</v>
      </c>
      <c r="F1695" s="56">
        <v>0</v>
      </c>
      <c r="G1695" s="48"/>
      <c r="H1695" s="48"/>
      <c r="I1695" s="48"/>
      <c r="J1695" s="48"/>
      <c r="L1695" s="65"/>
    </row>
    <row r="1696" spans="5:12">
      <c r="E1696" s="49">
        <v>45054.576388882764</v>
      </c>
      <c r="F1696" s="56">
        <v>0</v>
      </c>
      <c r="G1696" s="48"/>
      <c r="H1696" s="48"/>
      <c r="I1696" s="48"/>
      <c r="J1696" s="48"/>
      <c r="L1696" s="65"/>
    </row>
    <row r="1697" spans="5:12">
      <c r="E1697" s="49">
        <v>45054.579861104983</v>
      </c>
      <c r="F1697" s="56">
        <v>0</v>
      </c>
      <c r="G1697" s="48"/>
      <c r="H1697" s="48"/>
      <c r="I1697" s="48"/>
      <c r="J1697" s="48"/>
      <c r="L1697" s="65"/>
    </row>
    <row r="1698" spans="5:12">
      <c r="E1698" s="49">
        <v>45054.583333327202</v>
      </c>
      <c r="F1698" s="56">
        <v>0</v>
      </c>
      <c r="G1698" s="48"/>
      <c r="H1698" s="48"/>
      <c r="I1698" s="48"/>
      <c r="J1698" s="48"/>
      <c r="L1698" s="65"/>
    </row>
    <row r="1699" spans="5:12">
      <c r="E1699" s="49">
        <v>45054.586805549421</v>
      </c>
      <c r="F1699" s="56">
        <v>0</v>
      </c>
      <c r="G1699" s="48"/>
      <c r="H1699" s="48"/>
      <c r="I1699" s="48"/>
      <c r="J1699" s="48"/>
      <c r="L1699" s="65"/>
    </row>
    <row r="1700" spans="5:12">
      <c r="E1700" s="49">
        <v>45054.59027777164</v>
      </c>
      <c r="F1700" s="56">
        <v>0</v>
      </c>
      <c r="G1700" s="48"/>
      <c r="H1700" s="48"/>
      <c r="I1700" s="48"/>
      <c r="J1700" s="48"/>
      <c r="L1700" s="65"/>
    </row>
    <row r="1701" spans="5:12">
      <c r="E1701" s="49">
        <v>45054.593749993859</v>
      </c>
      <c r="F1701" s="56">
        <v>0</v>
      </c>
      <c r="G1701" s="48"/>
      <c r="H1701" s="48"/>
      <c r="I1701" s="48"/>
      <c r="J1701" s="48"/>
      <c r="L1701" s="65"/>
    </row>
    <row r="1702" spans="5:12">
      <c r="E1702" s="49">
        <v>45054.597222216078</v>
      </c>
      <c r="F1702" s="56">
        <v>0</v>
      </c>
      <c r="G1702" s="48"/>
      <c r="H1702" s="48"/>
      <c r="I1702" s="48"/>
      <c r="J1702" s="48"/>
      <c r="L1702" s="65"/>
    </row>
    <row r="1703" spans="5:12">
      <c r="E1703" s="49">
        <v>45054.600694438297</v>
      </c>
      <c r="F1703" s="56">
        <v>0</v>
      </c>
      <c r="G1703" s="48"/>
      <c r="H1703" s="48"/>
      <c r="I1703" s="48"/>
      <c r="J1703" s="48"/>
      <c r="L1703" s="65"/>
    </row>
    <row r="1704" spans="5:12">
      <c r="E1704" s="49">
        <v>45054.604166660516</v>
      </c>
      <c r="F1704" s="56">
        <v>0</v>
      </c>
      <c r="G1704" s="48"/>
      <c r="H1704" s="48"/>
      <c r="I1704" s="48"/>
      <c r="J1704" s="48"/>
      <c r="L1704" s="65"/>
    </row>
    <row r="1705" spans="5:12">
      <c r="E1705" s="49">
        <v>45054.607638882735</v>
      </c>
      <c r="F1705" s="56">
        <v>0</v>
      </c>
      <c r="G1705" s="48"/>
      <c r="H1705" s="48"/>
      <c r="I1705" s="48"/>
      <c r="J1705" s="48"/>
      <c r="L1705" s="65"/>
    </row>
    <row r="1706" spans="5:12">
      <c r="E1706" s="49">
        <v>45054.611111104954</v>
      </c>
      <c r="F1706" s="56">
        <v>0</v>
      </c>
      <c r="G1706" s="48"/>
      <c r="H1706" s="48"/>
      <c r="I1706" s="48"/>
      <c r="J1706" s="48"/>
      <c r="L1706" s="65"/>
    </row>
    <row r="1707" spans="5:12">
      <c r="E1707" s="49">
        <v>45054.614583327173</v>
      </c>
      <c r="F1707" s="56">
        <v>0</v>
      </c>
      <c r="G1707" s="48"/>
      <c r="H1707" s="48"/>
      <c r="I1707" s="48"/>
      <c r="J1707" s="48"/>
      <c r="L1707" s="65"/>
    </row>
    <row r="1708" spans="5:12">
      <c r="E1708" s="49">
        <v>45054.618055549392</v>
      </c>
      <c r="F1708" s="56">
        <v>0</v>
      </c>
      <c r="G1708" s="48"/>
      <c r="H1708" s="48"/>
      <c r="I1708" s="48"/>
      <c r="J1708" s="48"/>
      <c r="L1708" s="65"/>
    </row>
    <row r="1709" spans="5:12">
      <c r="E1709" s="49">
        <v>45054.621527771611</v>
      </c>
      <c r="F1709" s="56">
        <v>0</v>
      </c>
      <c r="G1709" s="48"/>
      <c r="H1709" s="48"/>
      <c r="I1709" s="48"/>
      <c r="J1709" s="48"/>
      <c r="L1709" s="65"/>
    </row>
    <row r="1710" spans="5:12">
      <c r="E1710" s="49">
        <v>45054.62499999383</v>
      </c>
      <c r="F1710" s="56">
        <v>0</v>
      </c>
      <c r="G1710" s="48"/>
      <c r="H1710" s="48"/>
      <c r="I1710" s="48"/>
      <c r="J1710" s="48"/>
      <c r="L1710" s="65"/>
    </row>
    <row r="1711" spans="5:12">
      <c r="E1711" s="49">
        <v>45054.628472216049</v>
      </c>
      <c r="F1711" s="56">
        <v>0</v>
      </c>
      <c r="G1711" s="48"/>
      <c r="H1711" s="48"/>
      <c r="I1711" s="48"/>
      <c r="J1711" s="48"/>
      <c r="L1711" s="65"/>
    </row>
    <row r="1712" spans="5:12">
      <c r="E1712" s="49">
        <v>45054.631944438268</v>
      </c>
      <c r="F1712" s="56">
        <v>0</v>
      </c>
      <c r="G1712" s="48"/>
      <c r="H1712" s="48"/>
      <c r="I1712" s="48"/>
      <c r="J1712" s="48"/>
      <c r="L1712" s="65"/>
    </row>
    <row r="1713" spans="5:12">
      <c r="E1713" s="49">
        <v>45054.635416660487</v>
      </c>
      <c r="F1713" s="56">
        <v>0</v>
      </c>
      <c r="G1713" s="48"/>
      <c r="H1713" s="48"/>
      <c r="I1713" s="48"/>
      <c r="J1713" s="48"/>
      <c r="L1713" s="65"/>
    </row>
    <row r="1714" spans="5:12">
      <c r="E1714" s="49">
        <v>45054.638888882706</v>
      </c>
      <c r="F1714" s="56">
        <v>0</v>
      </c>
      <c r="G1714" s="48"/>
      <c r="H1714" s="48"/>
      <c r="I1714" s="48"/>
      <c r="J1714" s="48"/>
      <c r="L1714" s="65"/>
    </row>
    <row r="1715" spans="5:12">
      <c r="E1715" s="49">
        <v>45054.642361104925</v>
      </c>
      <c r="F1715" s="56">
        <v>0</v>
      </c>
      <c r="G1715" s="48"/>
      <c r="H1715" s="48"/>
      <c r="I1715" s="48"/>
      <c r="J1715" s="48"/>
      <c r="L1715" s="65"/>
    </row>
    <row r="1716" spans="5:12">
      <c r="E1716" s="49">
        <v>45054.645833327144</v>
      </c>
      <c r="F1716" s="56">
        <v>0</v>
      </c>
      <c r="G1716" s="48"/>
      <c r="H1716" s="48"/>
      <c r="I1716" s="48"/>
      <c r="J1716" s="48"/>
      <c r="L1716" s="65"/>
    </row>
    <row r="1717" spans="5:12">
      <c r="E1717" s="49">
        <v>45054.649305549363</v>
      </c>
      <c r="F1717" s="56">
        <v>0</v>
      </c>
      <c r="G1717" s="48"/>
      <c r="H1717" s="48"/>
      <c r="I1717" s="48"/>
      <c r="J1717" s="48"/>
      <c r="L1717" s="65"/>
    </row>
    <row r="1718" spans="5:12">
      <c r="E1718" s="49">
        <v>45054.652777771582</v>
      </c>
      <c r="F1718" s="56">
        <v>0</v>
      </c>
      <c r="G1718" s="48"/>
      <c r="H1718" s="48"/>
      <c r="I1718" s="48"/>
      <c r="J1718" s="48"/>
      <c r="L1718" s="65"/>
    </row>
    <row r="1719" spans="5:12">
      <c r="E1719" s="49">
        <v>45054.656249993801</v>
      </c>
      <c r="F1719" s="56">
        <v>0</v>
      </c>
      <c r="G1719" s="48"/>
      <c r="H1719" s="48"/>
      <c r="I1719" s="48"/>
      <c r="J1719" s="48"/>
      <c r="L1719" s="65"/>
    </row>
    <row r="1720" spans="5:12">
      <c r="E1720" s="49">
        <v>45054.65972221602</v>
      </c>
      <c r="F1720" s="56">
        <v>0</v>
      </c>
      <c r="G1720" s="48"/>
      <c r="H1720" s="48"/>
      <c r="I1720" s="48"/>
      <c r="J1720" s="48"/>
      <c r="L1720" s="65"/>
    </row>
    <row r="1721" spans="5:12">
      <c r="E1721" s="49">
        <v>45054.663194438239</v>
      </c>
      <c r="F1721" s="56">
        <v>0</v>
      </c>
      <c r="G1721" s="48"/>
      <c r="H1721" s="48"/>
      <c r="I1721" s="48"/>
      <c r="J1721" s="48"/>
      <c r="L1721" s="65"/>
    </row>
    <row r="1722" spans="5:12">
      <c r="E1722" s="49">
        <v>45054.666666660458</v>
      </c>
      <c r="F1722" s="56">
        <v>0</v>
      </c>
      <c r="G1722" s="48"/>
      <c r="H1722" s="48"/>
      <c r="I1722" s="48"/>
      <c r="J1722" s="48"/>
      <c r="L1722" s="65"/>
    </row>
    <row r="1723" spans="5:12">
      <c r="E1723" s="49">
        <v>45054.670138882677</v>
      </c>
      <c r="F1723" s="56">
        <v>0</v>
      </c>
      <c r="G1723" s="48"/>
      <c r="H1723" s="48"/>
      <c r="I1723" s="48"/>
      <c r="J1723" s="48"/>
      <c r="L1723" s="65"/>
    </row>
    <row r="1724" spans="5:12">
      <c r="E1724" s="49">
        <v>45054.673611104896</v>
      </c>
      <c r="F1724" s="56">
        <v>0</v>
      </c>
      <c r="G1724" s="48"/>
      <c r="H1724" s="48"/>
      <c r="I1724" s="48"/>
      <c r="J1724" s="48"/>
      <c r="L1724" s="65"/>
    </row>
    <row r="1725" spans="5:12">
      <c r="E1725" s="49">
        <v>45054.677083327115</v>
      </c>
      <c r="F1725" s="56">
        <v>0</v>
      </c>
      <c r="G1725" s="48"/>
      <c r="H1725" s="48"/>
      <c r="I1725" s="48"/>
      <c r="J1725" s="48"/>
      <c r="L1725" s="65"/>
    </row>
    <row r="1726" spans="5:12">
      <c r="E1726" s="49">
        <v>45054.680555549334</v>
      </c>
      <c r="F1726" s="56">
        <v>0</v>
      </c>
      <c r="G1726" s="48"/>
      <c r="H1726" s="48"/>
      <c r="I1726" s="48"/>
      <c r="J1726" s="48"/>
      <c r="L1726" s="65"/>
    </row>
    <row r="1727" spans="5:12">
      <c r="E1727" s="49">
        <v>45054.684027771553</v>
      </c>
      <c r="F1727" s="56">
        <v>0</v>
      </c>
      <c r="G1727" s="48"/>
      <c r="H1727" s="48"/>
      <c r="I1727" s="48"/>
      <c r="J1727" s="48"/>
      <c r="L1727" s="65"/>
    </row>
    <row r="1728" spans="5:12">
      <c r="E1728" s="49">
        <v>45054.687499993772</v>
      </c>
      <c r="F1728" s="56">
        <v>0</v>
      </c>
      <c r="G1728" s="48"/>
      <c r="H1728" s="48"/>
      <c r="I1728" s="48"/>
      <c r="J1728" s="48"/>
      <c r="L1728" s="65"/>
    </row>
    <row r="1729" spans="5:12">
      <c r="E1729" s="49">
        <v>45054.690972215991</v>
      </c>
      <c r="F1729" s="56">
        <v>0</v>
      </c>
      <c r="G1729" s="48"/>
      <c r="H1729" s="48"/>
      <c r="I1729" s="48"/>
      <c r="J1729" s="48"/>
      <c r="L1729" s="65"/>
    </row>
    <row r="1730" spans="5:12">
      <c r="E1730" s="49">
        <v>45054.69444443821</v>
      </c>
      <c r="F1730" s="56">
        <v>0</v>
      </c>
      <c r="G1730" s="48"/>
      <c r="H1730" s="48"/>
      <c r="I1730" s="48"/>
      <c r="J1730" s="48"/>
      <c r="L1730" s="65"/>
    </row>
    <row r="1731" spans="5:12">
      <c r="E1731" s="49">
        <v>45054.697916660429</v>
      </c>
      <c r="F1731" s="56">
        <v>0</v>
      </c>
      <c r="G1731" s="48"/>
      <c r="H1731" s="48"/>
      <c r="I1731" s="48"/>
      <c r="J1731" s="48"/>
      <c r="L1731" s="65"/>
    </row>
    <row r="1732" spans="5:12">
      <c r="E1732" s="49">
        <v>45054.701388882648</v>
      </c>
      <c r="F1732" s="56">
        <v>0</v>
      </c>
      <c r="G1732" s="48"/>
      <c r="H1732" s="48"/>
      <c r="I1732" s="48"/>
      <c r="J1732" s="48"/>
      <c r="L1732" s="65"/>
    </row>
    <row r="1733" spans="5:12">
      <c r="E1733" s="49">
        <v>45054.704861104867</v>
      </c>
      <c r="F1733" s="56">
        <v>0</v>
      </c>
      <c r="G1733" s="48"/>
      <c r="H1733" s="48"/>
      <c r="I1733" s="48"/>
      <c r="J1733" s="48"/>
      <c r="L1733" s="65"/>
    </row>
    <row r="1734" spans="5:12">
      <c r="E1734" s="49">
        <v>45054.708333327086</v>
      </c>
      <c r="F1734" s="56">
        <v>0</v>
      </c>
      <c r="G1734" s="48"/>
      <c r="H1734" s="48"/>
      <c r="I1734" s="48"/>
      <c r="J1734" s="48"/>
      <c r="L1734" s="65"/>
    </row>
    <row r="1735" spans="5:12">
      <c r="E1735" s="49">
        <v>45054.711805549305</v>
      </c>
      <c r="F1735" s="56">
        <v>0</v>
      </c>
      <c r="G1735" s="48"/>
      <c r="H1735" s="48"/>
      <c r="I1735" s="48"/>
      <c r="J1735" s="48"/>
      <c r="L1735" s="65"/>
    </row>
    <row r="1736" spans="5:12">
      <c r="E1736" s="49">
        <v>45054.715277771524</v>
      </c>
      <c r="F1736" s="56">
        <v>0</v>
      </c>
      <c r="G1736" s="48"/>
      <c r="H1736" s="48"/>
      <c r="I1736" s="48"/>
      <c r="J1736" s="48"/>
      <c r="L1736" s="65"/>
    </row>
    <row r="1737" spans="5:12">
      <c r="E1737" s="49">
        <v>45054.718749993743</v>
      </c>
      <c r="F1737" s="56">
        <v>0</v>
      </c>
      <c r="G1737" s="48"/>
      <c r="H1737" s="48"/>
      <c r="I1737" s="48"/>
      <c r="J1737" s="48"/>
      <c r="L1737" s="65"/>
    </row>
    <row r="1738" spans="5:12">
      <c r="E1738" s="49">
        <v>45054.722222215962</v>
      </c>
      <c r="F1738" s="56">
        <v>0</v>
      </c>
      <c r="G1738" s="48"/>
      <c r="H1738" s="48"/>
      <c r="I1738" s="48"/>
      <c r="J1738" s="48"/>
      <c r="L1738" s="65"/>
    </row>
    <row r="1739" spans="5:12">
      <c r="E1739" s="49">
        <v>45054.725694438181</v>
      </c>
      <c r="F1739" s="56">
        <v>0</v>
      </c>
      <c r="G1739" s="48"/>
      <c r="H1739" s="48"/>
      <c r="I1739" s="48"/>
      <c r="J1739" s="48"/>
      <c r="L1739" s="65"/>
    </row>
    <row r="1740" spans="5:12">
      <c r="E1740" s="49">
        <v>45054.7291666604</v>
      </c>
      <c r="F1740" s="56">
        <v>0</v>
      </c>
      <c r="G1740" s="48"/>
      <c r="H1740" s="48"/>
      <c r="I1740" s="48"/>
      <c r="J1740" s="48"/>
      <c r="L1740" s="65"/>
    </row>
    <row r="1741" spans="5:12">
      <c r="E1741" s="49">
        <v>45054.732638882619</v>
      </c>
      <c r="F1741" s="56">
        <v>0</v>
      </c>
      <c r="G1741" s="48"/>
      <c r="H1741" s="48"/>
      <c r="I1741" s="48"/>
      <c r="J1741" s="48"/>
      <c r="L1741" s="65"/>
    </row>
    <row r="1742" spans="5:12">
      <c r="E1742" s="49">
        <v>45054.736111104838</v>
      </c>
      <c r="F1742" s="56">
        <v>0</v>
      </c>
      <c r="G1742" s="48"/>
      <c r="H1742" s="48"/>
      <c r="I1742" s="48"/>
      <c r="J1742" s="48"/>
      <c r="L1742" s="65"/>
    </row>
    <row r="1743" spans="5:12">
      <c r="E1743" s="49">
        <v>45054.739583327057</v>
      </c>
      <c r="F1743" s="56">
        <v>0</v>
      </c>
      <c r="G1743" s="48"/>
      <c r="H1743" s="48"/>
      <c r="I1743" s="48"/>
      <c r="J1743" s="48"/>
      <c r="L1743" s="65"/>
    </row>
    <row r="1744" spans="5:12">
      <c r="E1744" s="49">
        <v>45054.743055549276</v>
      </c>
      <c r="F1744" s="56">
        <v>0</v>
      </c>
      <c r="G1744" s="48"/>
      <c r="H1744" s="48"/>
      <c r="I1744" s="48"/>
      <c r="J1744" s="48"/>
      <c r="L1744" s="65"/>
    </row>
    <row r="1745" spans="5:12">
      <c r="E1745" s="49">
        <v>45054.746527771495</v>
      </c>
      <c r="F1745" s="56">
        <v>0</v>
      </c>
      <c r="G1745" s="48"/>
      <c r="H1745" s="48"/>
      <c r="I1745" s="48"/>
      <c r="J1745" s="48"/>
      <c r="L1745" s="65"/>
    </row>
    <row r="1746" spans="5:12">
      <c r="E1746" s="49">
        <v>45054.749999993714</v>
      </c>
      <c r="F1746" s="56">
        <v>0</v>
      </c>
      <c r="G1746" s="48"/>
      <c r="H1746" s="48"/>
      <c r="I1746" s="48"/>
      <c r="J1746" s="48"/>
      <c r="L1746" s="65"/>
    </row>
    <row r="1747" spans="5:12">
      <c r="E1747" s="49">
        <v>45054.753472215933</v>
      </c>
      <c r="F1747" s="56">
        <v>0</v>
      </c>
      <c r="G1747" s="48"/>
      <c r="H1747" s="48"/>
      <c r="I1747" s="48"/>
      <c r="J1747" s="48"/>
      <c r="L1747" s="65"/>
    </row>
    <row r="1748" spans="5:12">
      <c r="E1748" s="49">
        <v>45054.756944438152</v>
      </c>
      <c r="F1748" s="56">
        <v>0</v>
      </c>
      <c r="G1748" s="48"/>
      <c r="H1748" s="48"/>
      <c r="I1748" s="48"/>
      <c r="J1748" s="48"/>
      <c r="L1748" s="65"/>
    </row>
    <row r="1749" spans="5:12">
      <c r="E1749" s="49">
        <v>45054.760416660371</v>
      </c>
      <c r="F1749" s="56">
        <v>0</v>
      </c>
      <c r="G1749" s="48"/>
      <c r="H1749" s="48"/>
      <c r="I1749" s="48"/>
      <c r="J1749" s="48"/>
      <c r="L1749" s="65"/>
    </row>
    <row r="1750" spans="5:12">
      <c r="E1750" s="49">
        <v>45054.76388888259</v>
      </c>
      <c r="F1750" s="56">
        <v>0</v>
      </c>
      <c r="G1750" s="48"/>
      <c r="H1750" s="48"/>
      <c r="I1750" s="48"/>
      <c r="J1750" s="48"/>
      <c r="L1750" s="65"/>
    </row>
    <row r="1751" spans="5:12">
      <c r="E1751" s="49">
        <v>45054.767361104809</v>
      </c>
      <c r="F1751" s="56">
        <v>0</v>
      </c>
      <c r="G1751" s="48"/>
      <c r="H1751" s="48"/>
      <c r="I1751" s="48"/>
      <c r="J1751" s="48"/>
      <c r="L1751" s="65"/>
    </row>
    <row r="1752" spans="5:12">
      <c r="E1752" s="49">
        <v>45054.770833327028</v>
      </c>
      <c r="F1752" s="56">
        <v>0</v>
      </c>
      <c r="G1752" s="48"/>
      <c r="H1752" s="48"/>
      <c r="I1752" s="48"/>
      <c r="J1752" s="48"/>
      <c r="L1752" s="65"/>
    </row>
    <row r="1753" spans="5:12">
      <c r="E1753" s="49">
        <v>45054.774305549246</v>
      </c>
      <c r="F1753" s="56">
        <v>0</v>
      </c>
      <c r="G1753" s="48"/>
      <c r="H1753" s="48"/>
      <c r="I1753" s="48"/>
      <c r="J1753" s="48"/>
      <c r="L1753" s="65"/>
    </row>
    <row r="1754" spans="5:12">
      <c r="E1754" s="49">
        <v>45054.777777771465</v>
      </c>
      <c r="F1754" s="56">
        <v>0</v>
      </c>
      <c r="G1754" s="48"/>
      <c r="H1754" s="48"/>
      <c r="I1754" s="48"/>
      <c r="J1754" s="48"/>
      <c r="L1754" s="65"/>
    </row>
    <row r="1755" spans="5:12">
      <c r="E1755" s="49">
        <v>45054.781249993684</v>
      </c>
      <c r="F1755" s="56">
        <v>0</v>
      </c>
      <c r="G1755" s="48"/>
      <c r="H1755" s="48"/>
      <c r="I1755" s="48"/>
      <c r="J1755" s="48"/>
      <c r="L1755" s="65"/>
    </row>
    <row r="1756" spans="5:12">
      <c r="E1756" s="49">
        <v>45054.784722215903</v>
      </c>
      <c r="F1756" s="56">
        <v>0</v>
      </c>
      <c r="G1756" s="48"/>
      <c r="H1756" s="48"/>
      <c r="I1756" s="48"/>
      <c r="J1756" s="48"/>
      <c r="L1756" s="65"/>
    </row>
    <row r="1757" spans="5:12">
      <c r="E1757" s="49">
        <v>45054.788194438122</v>
      </c>
      <c r="F1757" s="56">
        <v>0</v>
      </c>
      <c r="G1757" s="48"/>
      <c r="H1757" s="48"/>
      <c r="I1757" s="48"/>
      <c r="J1757" s="48"/>
      <c r="L1757" s="65"/>
    </row>
    <row r="1758" spans="5:12">
      <c r="E1758" s="49">
        <v>45054.791666660341</v>
      </c>
      <c r="F1758" s="56">
        <v>0</v>
      </c>
      <c r="G1758" s="48"/>
      <c r="H1758" s="48"/>
      <c r="I1758" s="48"/>
      <c r="J1758" s="48"/>
      <c r="L1758" s="65"/>
    </row>
    <row r="1759" spans="5:12">
      <c r="E1759" s="49">
        <v>45054.79513888256</v>
      </c>
      <c r="F1759" s="56">
        <v>0</v>
      </c>
      <c r="G1759" s="48"/>
      <c r="H1759" s="48"/>
      <c r="I1759" s="48"/>
      <c r="J1759" s="48"/>
      <c r="L1759" s="65"/>
    </row>
    <row r="1760" spans="5:12">
      <c r="E1760" s="49">
        <v>45054.798611104779</v>
      </c>
      <c r="F1760" s="56">
        <v>0</v>
      </c>
      <c r="G1760" s="48"/>
      <c r="H1760" s="48"/>
      <c r="I1760" s="48"/>
      <c r="J1760" s="48"/>
      <c r="L1760" s="65"/>
    </row>
    <row r="1761" spans="5:12">
      <c r="E1761" s="49">
        <v>45054.802083326998</v>
      </c>
      <c r="F1761" s="56">
        <v>0</v>
      </c>
      <c r="G1761" s="48"/>
      <c r="H1761" s="48"/>
      <c r="I1761" s="48"/>
      <c r="J1761" s="48"/>
      <c r="L1761" s="65"/>
    </row>
    <row r="1762" spans="5:12">
      <c r="E1762" s="49">
        <v>45054.805555549217</v>
      </c>
      <c r="F1762" s="56">
        <v>0</v>
      </c>
      <c r="G1762" s="48"/>
      <c r="H1762" s="48"/>
      <c r="I1762" s="48"/>
      <c r="J1762" s="48"/>
      <c r="L1762" s="65"/>
    </row>
    <row r="1763" spans="5:12">
      <c r="E1763" s="49">
        <v>45054.809027771436</v>
      </c>
      <c r="F1763" s="56">
        <v>0</v>
      </c>
      <c r="G1763" s="48"/>
      <c r="H1763" s="48"/>
      <c r="I1763" s="48"/>
      <c r="J1763" s="48"/>
      <c r="L1763" s="65"/>
    </row>
    <row r="1764" spans="5:12">
      <c r="E1764" s="49">
        <v>45054.812499993655</v>
      </c>
      <c r="F1764" s="56">
        <v>0</v>
      </c>
      <c r="G1764" s="48"/>
      <c r="H1764" s="48"/>
      <c r="I1764" s="48"/>
      <c r="J1764" s="48"/>
      <c r="L1764" s="65"/>
    </row>
    <row r="1765" spans="5:12">
      <c r="E1765" s="49">
        <v>45054.815972215874</v>
      </c>
      <c r="F1765" s="56">
        <v>0</v>
      </c>
      <c r="G1765" s="48"/>
      <c r="H1765" s="48"/>
      <c r="I1765" s="48"/>
      <c r="J1765" s="48"/>
      <c r="L1765" s="65"/>
    </row>
    <row r="1766" spans="5:12">
      <c r="E1766" s="49">
        <v>45054.819444438093</v>
      </c>
      <c r="F1766" s="56">
        <v>0</v>
      </c>
      <c r="G1766" s="48"/>
      <c r="H1766" s="48"/>
      <c r="I1766" s="48"/>
      <c r="J1766" s="48"/>
      <c r="L1766" s="65"/>
    </row>
    <row r="1767" spans="5:12">
      <c r="E1767" s="49">
        <v>45054.822916660312</v>
      </c>
      <c r="F1767" s="56">
        <v>0</v>
      </c>
      <c r="G1767" s="48"/>
      <c r="H1767" s="48"/>
      <c r="I1767" s="48"/>
      <c r="J1767" s="48"/>
      <c r="L1767" s="65"/>
    </row>
    <row r="1768" spans="5:12">
      <c r="E1768" s="49">
        <v>45054.826388882531</v>
      </c>
      <c r="F1768" s="56">
        <v>0</v>
      </c>
      <c r="G1768" s="48"/>
      <c r="H1768" s="48"/>
      <c r="I1768" s="48"/>
      <c r="J1768" s="48"/>
      <c r="L1768" s="65"/>
    </row>
    <row r="1769" spans="5:12">
      <c r="E1769" s="49">
        <v>45054.82986110475</v>
      </c>
      <c r="F1769" s="56">
        <v>0</v>
      </c>
      <c r="G1769" s="48"/>
      <c r="H1769" s="48"/>
      <c r="I1769" s="48"/>
      <c r="J1769" s="48"/>
      <c r="L1769" s="65"/>
    </row>
    <row r="1770" spans="5:12">
      <c r="E1770" s="49">
        <v>45054.833333326969</v>
      </c>
      <c r="F1770" s="56">
        <v>0</v>
      </c>
      <c r="G1770" s="48"/>
      <c r="H1770" s="48"/>
      <c r="I1770" s="48"/>
      <c r="J1770" s="48"/>
      <c r="L1770" s="65"/>
    </row>
    <row r="1771" spans="5:12">
      <c r="E1771" s="49">
        <v>45054.836805549188</v>
      </c>
      <c r="F1771" s="56">
        <v>0</v>
      </c>
      <c r="G1771" s="48"/>
      <c r="H1771" s="48"/>
      <c r="I1771" s="48"/>
      <c r="J1771" s="48"/>
      <c r="L1771" s="65"/>
    </row>
    <row r="1772" spans="5:12">
      <c r="E1772" s="49">
        <v>45054.840277771407</v>
      </c>
      <c r="F1772" s="56">
        <v>0</v>
      </c>
      <c r="G1772" s="48"/>
      <c r="H1772" s="48"/>
      <c r="I1772" s="48"/>
      <c r="J1772" s="48"/>
      <c r="L1772" s="65"/>
    </row>
    <row r="1773" spans="5:12">
      <c r="E1773" s="49">
        <v>45054.843749993626</v>
      </c>
      <c r="F1773" s="56">
        <v>0</v>
      </c>
      <c r="G1773" s="48"/>
      <c r="H1773" s="48"/>
      <c r="I1773" s="48"/>
      <c r="J1773" s="48"/>
      <c r="L1773" s="65"/>
    </row>
    <row r="1774" spans="5:12">
      <c r="E1774" s="49">
        <v>45054.847222215845</v>
      </c>
      <c r="F1774" s="56">
        <v>0</v>
      </c>
      <c r="G1774" s="48"/>
      <c r="H1774" s="48"/>
      <c r="I1774" s="48"/>
      <c r="J1774" s="48"/>
      <c r="L1774" s="65"/>
    </row>
    <row r="1775" spans="5:12">
      <c r="E1775" s="49">
        <v>45054.850694438064</v>
      </c>
      <c r="F1775" s="56">
        <v>0</v>
      </c>
      <c r="G1775" s="48"/>
      <c r="H1775" s="48"/>
      <c r="I1775" s="48"/>
      <c r="J1775" s="48"/>
      <c r="L1775" s="65"/>
    </row>
    <row r="1776" spans="5:12">
      <c r="E1776" s="49">
        <v>45054.854166660283</v>
      </c>
      <c r="F1776" s="56">
        <v>0</v>
      </c>
      <c r="G1776" s="48"/>
      <c r="H1776" s="48"/>
      <c r="I1776" s="48"/>
      <c r="J1776" s="48"/>
      <c r="L1776" s="65"/>
    </row>
    <row r="1777" spans="5:12">
      <c r="E1777" s="49">
        <v>45054.857638882502</v>
      </c>
      <c r="F1777" s="56">
        <v>0</v>
      </c>
      <c r="G1777" s="48"/>
      <c r="H1777" s="48"/>
      <c r="I1777" s="48"/>
      <c r="J1777" s="48"/>
      <c r="L1777" s="65"/>
    </row>
    <row r="1778" spans="5:12">
      <c r="E1778" s="49">
        <v>45054.861111104721</v>
      </c>
      <c r="F1778" s="56">
        <v>0</v>
      </c>
      <c r="G1778" s="48"/>
      <c r="H1778" s="48"/>
      <c r="I1778" s="48"/>
      <c r="J1778" s="48"/>
      <c r="L1778" s="65"/>
    </row>
    <row r="1779" spans="5:12">
      <c r="E1779" s="49">
        <v>45054.86458332694</v>
      </c>
      <c r="F1779" s="56">
        <v>0</v>
      </c>
      <c r="G1779" s="48"/>
      <c r="H1779" s="48"/>
      <c r="I1779" s="48"/>
      <c r="J1779" s="48"/>
      <c r="L1779" s="65"/>
    </row>
    <row r="1780" spans="5:12">
      <c r="E1780" s="49">
        <v>45054.868055549159</v>
      </c>
      <c r="F1780" s="56">
        <v>0</v>
      </c>
      <c r="G1780" s="48"/>
      <c r="H1780" s="48"/>
      <c r="I1780" s="48"/>
      <c r="J1780" s="48"/>
      <c r="L1780" s="65"/>
    </row>
    <row r="1781" spans="5:12">
      <c r="E1781" s="49">
        <v>45054.871527771378</v>
      </c>
      <c r="F1781" s="56">
        <v>0</v>
      </c>
      <c r="G1781" s="48"/>
      <c r="H1781" s="48"/>
      <c r="I1781" s="48"/>
      <c r="J1781" s="48"/>
      <c r="L1781" s="65"/>
    </row>
    <row r="1782" spans="5:12">
      <c r="E1782" s="49">
        <v>45054.874999993597</v>
      </c>
      <c r="F1782" s="56">
        <v>0</v>
      </c>
      <c r="G1782" s="48"/>
      <c r="H1782" s="48"/>
      <c r="I1782" s="48"/>
      <c r="J1782" s="48"/>
      <c r="L1782" s="65"/>
    </row>
    <row r="1783" spans="5:12">
      <c r="E1783" s="49">
        <v>45054.878472215816</v>
      </c>
      <c r="F1783" s="56">
        <v>0</v>
      </c>
      <c r="G1783" s="48"/>
      <c r="H1783" s="48"/>
      <c r="I1783" s="48"/>
      <c r="J1783" s="48"/>
      <c r="L1783" s="65"/>
    </row>
    <row r="1784" spans="5:12">
      <c r="E1784" s="49">
        <v>45054.881944438035</v>
      </c>
      <c r="F1784" s="56">
        <v>0</v>
      </c>
      <c r="G1784" s="48"/>
      <c r="H1784" s="48"/>
      <c r="I1784" s="48"/>
      <c r="J1784" s="48"/>
      <c r="L1784" s="65"/>
    </row>
    <row r="1785" spans="5:12">
      <c r="E1785" s="49">
        <v>45054.885416660254</v>
      </c>
      <c r="F1785" s="56">
        <v>0</v>
      </c>
      <c r="G1785" s="48"/>
      <c r="H1785" s="48"/>
      <c r="I1785" s="48"/>
      <c r="J1785" s="48"/>
      <c r="L1785" s="65"/>
    </row>
    <row r="1786" spans="5:12">
      <c r="E1786" s="49">
        <v>45054.888888882473</v>
      </c>
      <c r="F1786" s="56">
        <v>0</v>
      </c>
      <c r="G1786" s="48"/>
      <c r="H1786" s="48"/>
      <c r="I1786" s="48"/>
      <c r="J1786" s="48"/>
      <c r="L1786" s="65"/>
    </row>
    <row r="1787" spans="5:12">
      <c r="E1787" s="49">
        <v>45054.892361104692</v>
      </c>
      <c r="F1787" s="56">
        <v>0</v>
      </c>
      <c r="G1787" s="48"/>
      <c r="H1787" s="48"/>
      <c r="I1787" s="48"/>
      <c r="J1787" s="48"/>
      <c r="L1787" s="65"/>
    </row>
    <row r="1788" spans="5:12">
      <c r="E1788" s="49">
        <v>45054.895833326911</v>
      </c>
      <c r="F1788" s="56">
        <v>0</v>
      </c>
      <c r="G1788" s="48"/>
      <c r="H1788" s="48"/>
      <c r="I1788" s="48"/>
      <c r="J1788" s="48"/>
      <c r="L1788" s="65"/>
    </row>
    <row r="1789" spans="5:12">
      <c r="E1789" s="49">
        <v>45054.89930554913</v>
      </c>
      <c r="F1789" s="56">
        <v>0</v>
      </c>
      <c r="G1789" s="48"/>
      <c r="H1789" s="48"/>
      <c r="I1789" s="48"/>
      <c r="J1789" s="48"/>
      <c r="L1789" s="65"/>
    </row>
    <row r="1790" spans="5:12">
      <c r="E1790" s="49">
        <v>45054.902777771349</v>
      </c>
      <c r="F1790" s="56">
        <v>0</v>
      </c>
      <c r="G1790" s="48"/>
      <c r="H1790" s="48"/>
      <c r="I1790" s="48"/>
      <c r="J1790" s="48"/>
      <c r="L1790" s="65"/>
    </row>
    <row r="1791" spans="5:12">
      <c r="E1791" s="49">
        <v>45054.906249993568</v>
      </c>
      <c r="F1791" s="56">
        <v>0</v>
      </c>
      <c r="G1791" s="48"/>
      <c r="H1791" s="48"/>
      <c r="I1791" s="48"/>
      <c r="J1791" s="48"/>
      <c r="L1791" s="65"/>
    </row>
    <row r="1792" spans="5:12">
      <c r="E1792" s="49">
        <v>45054.909722215787</v>
      </c>
      <c r="F1792" s="56">
        <v>0</v>
      </c>
      <c r="G1792" s="48"/>
      <c r="H1792" s="48"/>
      <c r="I1792" s="48"/>
      <c r="J1792" s="48"/>
      <c r="L1792" s="65"/>
    </row>
    <row r="1793" spans="5:12">
      <c r="E1793" s="49">
        <v>45054.913194438006</v>
      </c>
      <c r="F1793" s="56">
        <v>0</v>
      </c>
      <c r="G1793" s="48"/>
      <c r="H1793" s="48"/>
      <c r="I1793" s="48"/>
      <c r="J1793" s="48"/>
      <c r="L1793" s="65"/>
    </row>
    <row r="1794" spans="5:12">
      <c r="E1794" s="49">
        <v>45054.916666660225</v>
      </c>
      <c r="F1794" s="56">
        <v>0</v>
      </c>
      <c r="G1794" s="48"/>
      <c r="H1794" s="48"/>
      <c r="I1794" s="48"/>
      <c r="J1794" s="48"/>
      <c r="L1794" s="65"/>
    </row>
    <row r="1795" spans="5:12">
      <c r="E1795" s="49">
        <v>45054.920138882444</v>
      </c>
      <c r="F1795" s="56">
        <v>0</v>
      </c>
      <c r="G1795" s="48"/>
      <c r="H1795" s="48"/>
      <c r="I1795" s="48"/>
      <c r="J1795" s="48"/>
      <c r="L1795" s="65"/>
    </row>
    <row r="1796" spans="5:12">
      <c r="E1796" s="49">
        <v>45054.923611104663</v>
      </c>
      <c r="F1796" s="56">
        <v>0</v>
      </c>
      <c r="G1796" s="48"/>
      <c r="H1796" s="48"/>
      <c r="I1796" s="48"/>
      <c r="J1796" s="48"/>
      <c r="L1796" s="65"/>
    </row>
    <row r="1797" spans="5:12">
      <c r="E1797" s="49">
        <v>45054.927083326882</v>
      </c>
      <c r="F1797" s="56">
        <v>0</v>
      </c>
      <c r="G1797" s="48"/>
      <c r="H1797" s="48"/>
      <c r="I1797" s="48"/>
      <c r="J1797" s="48"/>
      <c r="L1797" s="65"/>
    </row>
    <row r="1798" spans="5:12">
      <c r="E1798" s="49">
        <v>45054.930555549101</v>
      </c>
      <c r="F1798" s="56">
        <v>0</v>
      </c>
      <c r="G1798" s="48"/>
      <c r="H1798" s="48"/>
      <c r="I1798" s="48"/>
      <c r="J1798" s="48"/>
      <c r="L1798" s="65"/>
    </row>
    <row r="1799" spans="5:12">
      <c r="E1799" s="49">
        <v>45054.93402777132</v>
      </c>
      <c r="F1799" s="56">
        <v>0</v>
      </c>
      <c r="G1799" s="48"/>
      <c r="H1799" s="48"/>
      <c r="I1799" s="48"/>
      <c r="J1799" s="48"/>
      <c r="L1799" s="65"/>
    </row>
    <row r="1800" spans="5:12">
      <c r="E1800" s="49">
        <v>45054.937499993539</v>
      </c>
      <c r="F1800" s="56">
        <v>0</v>
      </c>
      <c r="G1800" s="48"/>
      <c r="H1800" s="48"/>
      <c r="I1800" s="48"/>
      <c r="J1800" s="48"/>
      <c r="L1800" s="65"/>
    </row>
    <row r="1801" spans="5:12">
      <c r="E1801" s="49">
        <v>45054.940972215758</v>
      </c>
      <c r="F1801" s="56">
        <v>0</v>
      </c>
      <c r="G1801" s="48"/>
      <c r="H1801" s="48"/>
      <c r="I1801" s="48"/>
      <c r="J1801" s="48"/>
      <c r="L1801" s="65"/>
    </row>
    <row r="1802" spans="5:12">
      <c r="E1802" s="49">
        <v>45054.944444437977</v>
      </c>
      <c r="F1802" s="56">
        <v>0</v>
      </c>
      <c r="G1802" s="48"/>
      <c r="H1802" s="48"/>
      <c r="I1802" s="48"/>
      <c r="J1802" s="48"/>
      <c r="L1802" s="65"/>
    </row>
    <row r="1803" spans="5:12">
      <c r="E1803" s="49">
        <v>45054.947916660196</v>
      </c>
      <c r="F1803" s="56">
        <v>0</v>
      </c>
      <c r="G1803" s="48"/>
      <c r="H1803" s="48"/>
      <c r="I1803" s="48"/>
      <c r="J1803" s="48"/>
      <c r="L1803" s="65"/>
    </row>
    <row r="1804" spans="5:12">
      <c r="E1804" s="49">
        <v>45054.951388882415</v>
      </c>
      <c r="F1804" s="56">
        <v>0</v>
      </c>
      <c r="G1804" s="48"/>
      <c r="H1804" s="48"/>
      <c r="I1804" s="48"/>
      <c r="J1804" s="48"/>
      <c r="L1804" s="65"/>
    </row>
    <row r="1805" spans="5:12">
      <c r="E1805" s="49">
        <v>45054.954861104634</v>
      </c>
      <c r="F1805" s="56">
        <v>0</v>
      </c>
      <c r="G1805" s="48"/>
      <c r="H1805" s="48"/>
      <c r="I1805" s="48"/>
      <c r="J1805" s="48"/>
      <c r="L1805" s="65"/>
    </row>
    <row r="1806" spans="5:12">
      <c r="E1806" s="49">
        <v>45054.958333326853</v>
      </c>
      <c r="F1806" s="56">
        <v>0</v>
      </c>
      <c r="G1806" s="48"/>
      <c r="H1806" s="48"/>
      <c r="I1806" s="48"/>
      <c r="J1806" s="48"/>
      <c r="L1806" s="65"/>
    </row>
    <row r="1807" spans="5:12">
      <c r="E1807" s="49">
        <v>45054.961805549072</v>
      </c>
      <c r="F1807" s="56">
        <v>0</v>
      </c>
      <c r="G1807" s="48"/>
      <c r="H1807" s="48"/>
      <c r="I1807" s="48"/>
      <c r="J1807" s="48"/>
      <c r="L1807" s="65"/>
    </row>
    <row r="1808" spans="5:12">
      <c r="E1808" s="49">
        <v>45054.965277771291</v>
      </c>
      <c r="F1808" s="56">
        <v>0</v>
      </c>
      <c r="G1808" s="48"/>
      <c r="H1808" s="48"/>
      <c r="I1808" s="48"/>
      <c r="J1808" s="48"/>
      <c r="L1808" s="65"/>
    </row>
    <row r="1809" spans="5:12">
      <c r="E1809" s="49">
        <v>45054.96874999351</v>
      </c>
      <c r="F1809" s="56">
        <v>0</v>
      </c>
      <c r="G1809" s="48"/>
      <c r="H1809" s="48"/>
      <c r="I1809" s="48"/>
      <c r="J1809" s="48"/>
      <c r="L1809" s="65"/>
    </row>
    <row r="1810" spans="5:12">
      <c r="E1810" s="49">
        <v>45054.972222215729</v>
      </c>
      <c r="F1810" s="56">
        <v>0</v>
      </c>
      <c r="G1810" s="48"/>
      <c r="H1810" s="48"/>
      <c r="I1810" s="48"/>
      <c r="J1810" s="48"/>
      <c r="L1810" s="65"/>
    </row>
    <row r="1811" spans="5:12">
      <c r="E1811" s="49">
        <v>45054.975694437948</v>
      </c>
      <c r="F1811" s="56">
        <v>0</v>
      </c>
      <c r="G1811" s="48"/>
      <c r="H1811" s="48"/>
      <c r="I1811" s="48"/>
      <c r="J1811" s="48"/>
      <c r="L1811" s="65"/>
    </row>
    <row r="1812" spans="5:12">
      <c r="E1812" s="49">
        <v>45054.979166660167</v>
      </c>
      <c r="F1812" s="56">
        <v>0</v>
      </c>
      <c r="G1812" s="48"/>
      <c r="H1812" s="48"/>
      <c r="I1812" s="48"/>
      <c r="J1812" s="48"/>
      <c r="L1812" s="65"/>
    </row>
    <row r="1813" spans="5:12">
      <c r="E1813" s="49">
        <v>45054.982638882386</v>
      </c>
      <c r="F1813" s="56">
        <v>0</v>
      </c>
      <c r="G1813" s="48"/>
      <c r="H1813" s="48"/>
      <c r="I1813" s="48"/>
      <c r="J1813" s="48"/>
      <c r="L1813" s="65"/>
    </row>
    <row r="1814" spans="5:12">
      <c r="E1814" s="49">
        <v>45054.986111104605</v>
      </c>
      <c r="F1814" s="56">
        <v>0</v>
      </c>
      <c r="G1814" s="48"/>
      <c r="H1814" s="48"/>
      <c r="I1814" s="48"/>
      <c r="J1814" s="48"/>
      <c r="L1814" s="65"/>
    </row>
    <row r="1815" spans="5:12">
      <c r="E1815" s="49">
        <v>45054.989583326824</v>
      </c>
      <c r="F1815" s="56">
        <v>0</v>
      </c>
      <c r="G1815" s="48"/>
      <c r="H1815" s="48"/>
      <c r="I1815" s="48"/>
      <c r="J1815" s="48"/>
      <c r="L1815" s="65"/>
    </row>
    <row r="1816" spans="5:12">
      <c r="E1816" s="49">
        <v>45054.993055549043</v>
      </c>
      <c r="F1816" s="56">
        <v>0</v>
      </c>
      <c r="G1816" s="48"/>
      <c r="H1816" s="48"/>
      <c r="I1816" s="48"/>
      <c r="J1816" s="48"/>
      <c r="L1816" s="65"/>
    </row>
    <row r="1817" spans="5:12">
      <c r="E1817" s="49">
        <v>45054.996527771262</v>
      </c>
      <c r="F1817" s="56">
        <v>0</v>
      </c>
      <c r="G1817" s="48"/>
      <c r="H1817" s="48"/>
      <c r="I1817" s="48"/>
      <c r="J1817" s="48"/>
      <c r="L1817" s="65"/>
    </row>
    <row r="1818" spans="5:12">
      <c r="E1818" s="49">
        <v>45054.999999993481</v>
      </c>
      <c r="F1818" s="56">
        <v>0</v>
      </c>
      <c r="G1818" s="48"/>
      <c r="H1818" s="48"/>
      <c r="I1818" s="48"/>
      <c r="J1818" s="48"/>
      <c r="L1818" s="65"/>
    </row>
    <row r="1819" spans="5:12">
      <c r="E1819" s="49">
        <v>45055.0034722157</v>
      </c>
      <c r="F1819" s="56">
        <v>0</v>
      </c>
      <c r="G1819" s="48"/>
      <c r="H1819" s="48"/>
      <c r="I1819" s="48"/>
      <c r="J1819" s="48"/>
      <c r="L1819" s="65"/>
    </row>
    <row r="1820" spans="5:12">
      <c r="E1820" s="49">
        <v>45055.006944437919</v>
      </c>
      <c r="F1820" s="56">
        <v>0</v>
      </c>
      <c r="G1820" s="48"/>
      <c r="H1820" s="48"/>
      <c r="I1820" s="48"/>
      <c r="J1820" s="48"/>
      <c r="L1820" s="65"/>
    </row>
    <row r="1821" spans="5:12">
      <c r="E1821" s="49">
        <v>45055.010416660138</v>
      </c>
      <c r="F1821" s="56">
        <v>0</v>
      </c>
      <c r="G1821" s="48"/>
      <c r="H1821" s="48"/>
      <c r="I1821" s="48"/>
      <c r="J1821" s="48"/>
      <c r="L1821" s="65"/>
    </row>
    <row r="1822" spans="5:12">
      <c r="E1822" s="49">
        <v>45055.013888882357</v>
      </c>
      <c r="F1822" s="56">
        <v>0</v>
      </c>
      <c r="G1822" s="48"/>
      <c r="H1822" s="48"/>
      <c r="I1822" s="48"/>
      <c r="J1822" s="48"/>
      <c r="L1822" s="65"/>
    </row>
    <row r="1823" spans="5:12">
      <c r="E1823" s="49">
        <v>45055.017361104576</v>
      </c>
      <c r="F1823" s="56">
        <v>0</v>
      </c>
      <c r="G1823" s="48"/>
      <c r="H1823" s="48"/>
      <c r="I1823" s="48"/>
      <c r="J1823" s="48"/>
      <c r="L1823" s="65"/>
    </row>
    <row r="1824" spans="5:12">
      <c r="E1824" s="49">
        <v>45055.020833326795</v>
      </c>
      <c r="F1824" s="56">
        <v>0</v>
      </c>
      <c r="G1824" s="48"/>
      <c r="H1824" s="48"/>
      <c r="I1824" s="48"/>
      <c r="J1824" s="48"/>
      <c r="L1824" s="65"/>
    </row>
    <row r="1825" spans="5:12">
      <c r="E1825" s="49">
        <v>45055.024305549014</v>
      </c>
      <c r="F1825" s="56">
        <v>0</v>
      </c>
      <c r="G1825" s="48"/>
      <c r="H1825" s="48"/>
      <c r="I1825" s="48"/>
      <c r="J1825" s="48"/>
      <c r="L1825" s="65"/>
    </row>
    <row r="1826" spans="5:12">
      <c r="E1826" s="49">
        <v>45055.027777771233</v>
      </c>
      <c r="F1826" s="56">
        <v>0</v>
      </c>
      <c r="G1826" s="48"/>
      <c r="H1826" s="48"/>
      <c r="I1826" s="48"/>
      <c r="J1826" s="48"/>
      <c r="L1826" s="65"/>
    </row>
    <row r="1827" spans="5:12">
      <c r="E1827" s="49">
        <v>45055.031249993452</v>
      </c>
      <c r="F1827" s="56">
        <v>0</v>
      </c>
      <c r="G1827" s="48"/>
      <c r="H1827" s="48"/>
      <c r="I1827" s="48"/>
      <c r="J1827" s="48"/>
      <c r="L1827" s="65"/>
    </row>
    <row r="1828" spans="5:12">
      <c r="E1828" s="49">
        <v>45055.034722215671</v>
      </c>
      <c r="F1828" s="56">
        <v>0</v>
      </c>
      <c r="G1828" s="48"/>
      <c r="H1828" s="48"/>
      <c r="I1828" s="48"/>
      <c r="J1828" s="48"/>
      <c r="L1828" s="65"/>
    </row>
    <row r="1829" spans="5:12">
      <c r="E1829" s="49">
        <v>45055.03819443789</v>
      </c>
      <c r="F1829" s="56">
        <v>0</v>
      </c>
      <c r="G1829" s="48"/>
      <c r="H1829" s="48"/>
      <c r="I1829" s="48"/>
      <c r="J1829" s="48"/>
      <c r="L1829" s="65"/>
    </row>
    <row r="1830" spans="5:12">
      <c r="E1830" s="49">
        <v>45055.041666660109</v>
      </c>
      <c r="F1830" s="56">
        <v>0</v>
      </c>
      <c r="G1830" s="48"/>
      <c r="H1830" s="48"/>
      <c r="I1830" s="48"/>
      <c r="J1830" s="48"/>
      <c r="L1830" s="65"/>
    </row>
    <row r="1831" spans="5:12">
      <c r="E1831" s="49">
        <v>45055.045138882328</v>
      </c>
      <c r="F1831" s="56">
        <v>0</v>
      </c>
      <c r="G1831" s="48"/>
      <c r="H1831" s="48"/>
      <c r="I1831" s="48"/>
      <c r="J1831" s="48"/>
      <c r="L1831" s="65"/>
    </row>
    <row r="1832" spans="5:12">
      <c r="E1832" s="49">
        <v>45055.048611104547</v>
      </c>
      <c r="F1832" s="56">
        <v>0</v>
      </c>
      <c r="G1832" s="48"/>
      <c r="H1832" s="48"/>
      <c r="I1832" s="48"/>
      <c r="J1832" s="48"/>
      <c r="L1832" s="65"/>
    </row>
    <row r="1833" spans="5:12">
      <c r="E1833" s="49">
        <v>45055.052083326766</v>
      </c>
      <c r="F1833" s="56">
        <v>0</v>
      </c>
      <c r="G1833" s="48"/>
      <c r="H1833" s="48"/>
      <c r="I1833" s="48"/>
      <c r="J1833" s="48"/>
      <c r="L1833" s="65"/>
    </row>
    <row r="1834" spans="5:12">
      <c r="E1834" s="49">
        <v>45055.055555548985</v>
      </c>
      <c r="F1834" s="56">
        <v>0</v>
      </c>
      <c r="G1834" s="48"/>
      <c r="H1834" s="48"/>
      <c r="I1834" s="48"/>
      <c r="J1834" s="48"/>
      <c r="L1834" s="65"/>
    </row>
    <row r="1835" spans="5:12">
      <c r="E1835" s="49">
        <v>45055.059027771204</v>
      </c>
      <c r="F1835" s="56">
        <v>0</v>
      </c>
      <c r="G1835" s="48"/>
      <c r="H1835" s="48"/>
      <c r="I1835" s="48"/>
      <c r="J1835" s="48"/>
      <c r="L1835" s="65"/>
    </row>
    <row r="1836" spans="5:12">
      <c r="E1836" s="49">
        <v>45055.062499993423</v>
      </c>
      <c r="F1836" s="56">
        <v>0</v>
      </c>
      <c r="G1836" s="48"/>
      <c r="H1836" s="48"/>
      <c r="I1836" s="48"/>
      <c r="J1836" s="48"/>
      <c r="L1836" s="65"/>
    </row>
    <row r="1837" spans="5:12">
      <c r="E1837" s="49">
        <v>45055.065972215642</v>
      </c>
      <c r="F1837" s="56">
        <v>0</v>
      </c>
      <c r="G1837" s="48"/>
      <c r="H1837" s="48"/>
      <c r="I1837" s="48"/>
      <c r="J1837" s="48"/>
      <c r="L1837" s="65"/>
    </row>
    <row r="1838" spans="5:12">
      <c r="E1838" s="49">
        <v>45055.069444437861</v>
      </c>
      <c r="F1838" s="56">
        <v>0</v>
      </c>
      <c r="G1838" s="48"/>
      <c r="H1838" s="48"/>
      <c r="I1838" s="48"/>
      <c r="J1838" s="48"/>
      <c r="L1838" s="65"/>
    </row>
    <row r="1839" spans="5:12">
      <c r="E1839" s="49">
        <v>45055.072916660079</v>
      </c>
      <c r="F1839" s="56">
        <v>0</v>
      </c>
      <c r="G1839" s="48"/>
      <c r="H1839" s="48"/>
      <c r="I1839" s="48"/>
      <c r="J1839" s="48"/>
      <c r="L1839" s="65"/>
    </row>
    <row r="1840" spans="5:12">
      <c r="E1840" s="49">
        <v>45055.076388882298</v>
      </c>
      <c r="F1840" s="56">
        <v>0</v>
      </c>
      <c r="G1840" s="48"/>
      <c r="H1840" s="48"/>
      <c r="I1840" s="48"/>
      <c r="J1840" s="48"/>
      <c r="L1840" s="65"/>
    </row>
    <row r="1841" spans="5:12">
      <c r="E1841" s="49">
        <v>45055.079861104517</v>
      </c>
      <c r="F1841" s="56">
        <v>0</v>
      </c>
      <c r="G1841" s="48"/>
      <c r="H1841" s="48"/>
      <c r="I1841" s="48"/>
      <c r="J1841" s="48"/>
      <c r="L1841" s="65"/>
    </row>
    <row r="1842" spans="5:12">
      <c r="E1842" s="49">
        <v>45055.083333326736</v>
      </c>
      <c r="F1842" s="56">
        <v>0</v>
      </c>
      <c r="G1842" s="48"/>
      <c r="H1842" s="48"/>
      <c r="I1842" s="48"/>
      <c r="J1842" s="48"/>
      <c r="L1842" s="65"/>
    </row>
    <row r="1843" spans="5:12">
      <c r="E1843" s="49">
        <v>45055.086805548955</v>
      </c>
      <c r="F1843" s="56">
        <v>0</v>
      </c>
      <c r="G1843" s="48"/>
      <c r="H1843" s="48"/>
      <c r="I1843" s="48"/>
      <c r="J1843" s="48"/>
      <c r="L1843" s="65"/>
    </row>
    <row r="1844" spans="5:12">
      <c r="E1844" s="49">
        <v>45055.090277771174</v>
      </c>
      <c r="F1844" s="56">
        <v>0</v>
      </c>
      <c r="G1844" s="48"/>
      <c r="H1844" s="48"/>
      <c r="I1844" s="48"/>
      <c r="J1844" s="48"/>
      <c r="L1844" s="65"/>
    </row>
    <row r="1845" spans="5:12">
      <c r="E1845" s="49">
        <v>45055.093749993393</v>
      </c>
      <c r="F1845" s="56">
        <v>0</v>
      </c>
      <c r="G1845" s="48"/>
      <c r="H1845" s="48"/>
      <c r="I1845" s="48"/>
      <c r="J1845" s="48"/>
      <c r="L1845" s="65"/>
    </row>
    <row r="1846" spans="5:12">
      <c r="E1846" s="49">
        <v>45055.097222215612</v>
      </c>
      <c r="F1846" s="56">
        <v>0</v>
      </c>
      <c r="G1846" s="48"/>
      <c r="H1846" s="48"/>
      <c r="I1846" s="48"/>
      <c r="J1846" s="48"/>
      <c r="L1846" s="65"/>
    </row>
    <row r="1847" spans="5:12">
      <c r="E1847" s="49">
        <v>45055.100694437831</v>
      </c>
      <c r="F1847" s="56">
        <v>0</v>
      </c>
      <c r="G1847" s="48"/>
      <c r="H1847" s="48"/>
      <c r="I1847" s="48"/>
      <c r="J1847" s="48"/>
      <c r="L1847" s="65"/>
    </row>
    <row r="1848" spans="5:12">
      <c r="E1848" s="49">
        <v>45055.10416666005</v>
      </c>
      <c r="F1848" s="56">
        <v>0</v>
      </c>
      <c r="G1848" s="48"/>
      <c r="H1848" s="48"/>
      <c r="I1848" s="48"/>
      <c r="J1848" s="48"/>
      <c r="L1848" s="65"/>
    </row>
    <row r="1849" spans="5:12">
      <c r="E1849" s="49">
        <v>45055.107638882269</v>
      </c>
      <c r="F1849" s="56">
        <v>0</v>
      </c>
      <c r="G1849" s="48"/>
      <c r="H1849" s="48"/>
      <c r="I1849" s="48"/>
      <c r="J1849" s="48"/>
      <c r="L1849" s="65"/>
    </row>
    <row r="1850" spans="5:12">
      <c r="E1850" s="49">
        <v>45055.111111104488</v>
      </c>
      <c r="F1850" s="56">
        <v>0</v>
      </c>
      <c r="G1850" s="48"/>
      <c r="H1850" s="48"/>
      <c r="I1850" s="48"/>
      <c r="J1850" s="48"/>
      <c r="L1850" s="65"/>
    </row>
    <row r="1851" spans="5:12">
      <c r="E1851" s="49">
        <v>45055.114583326707</v>
      </c>
      <c r="F1851" s="56">
        <v>0</v>
      </c>
      <c r="G1851" s="48"/>
      <c r="H1851" s="48"/>
      <c r="I1851" s="48"/>
      <c r="J1851" s="48"/>
      <c r="L1851" s="65"/>
    </row>
    <row r="1852" spans="5:12">
      <c r="E1852" s="49">
        <v>45055.118055548926</v>
      </c>
      <c r="F1852" s="56">
        <v>0</v>
      </c>
      <c r="G1852" s="48"/>
      <c r="H1852" s="48"/>
      <c r="I1852" s="48"/>
      <c r="J1852" s="48"/>
      <c r="L1852" s="65"/>
    </row>
    <row r="1853" spans="5:12">
      <c r="E1853" s="49">
        <v>45055.121527771145</v>
      </c>
      <c r="F1853" s="56">
        <v>0</v>
      </c>
      <c r="G1853" s="48"/>
      <c r="H1853" s="48"/>
      <c r="I1853" s="48"/>
      <c r="J1853" s="48"/>
      <c r="L1853" s="65"/>
    </row>
    <row r="1854" spans="5:12">
      <c r="E1854" s="49">
        <v>45055.124999993364</v>
      </c>
      <c r="F1854" s="56">
        <v>0</v>
      </c>
      <c r="G1854" s="48"/>
      <c r="H1854" s="48"/>
      <c r="I1854" s="48"/>
      <c r="J1854" s="48"/>
      <c r="L1854" s="65"/>
    </row>
    <row r="1855" spans="5:12">
      <c r="E1855" s="49">
        <v>45055.128472215583</v>
      </c>
      <c r="F1855" s="56">
        <v>0</v>
      </c>
      <c r="G1855" s="48"/>
      <c r="H1855" s="48"/>
      <c r="I1855" s="48"/>
      <c r="J1855" s="48"/>
      <c r="L1855" s="65"/>
    </row>
    <row r="1856" spans="5:12">
      <c r="E1856" s="49">
        <v>45055.131944437802</v>
      </c>
      <c r="F1856" s="56">
        <v>0</v>
      </c>
      <c r="G1856" s="48"/>
      <c r="H1856" s="48"/>
      <c r="I1856" s="48"/>
      <c r="J1856" s="48"/>
      <c r="L1856" s="65"/>
    </row>
    <row r="1857" spans="5:12">
      <c r="E1857" s="49">
        <v>45055.135416660021</v>
      </c>
      <c r="F1857" s="56">
        <v>0</v>
      </c>
      <c r="G1857" s="48"/>
      <c r="H1857" s="48"/>
      <c r="I1857" s="48"/>
      <c r="J1857" s="48"/>
      <c r="L1857" s="65"/>
    </row>
    <row r="1858" spans="5:12">
      <c r="E1858" s="49">
        <v>45055.13888888224</v>
      </c>
      <c r="F1858" s="56">
        <v>0</v>
      </c>
      <c r="G1858" s="48"/>
      <c r="H1858" s="48"/>
      <c r="I1858" s="48"/>
      <c r="J1858" s="48"/>
      <c r="L1858" s="65"/>
    </row>
    <row r="1859" spans="5:12">
      <c r="E1859" s="49">
        <v>45055.142361104459</v>
      </c>
      <c r="F1859" s="56">
        <v>0</v>
      </c>
      <c r="G1859" s="48"/>
      <c r="H1859" s="48"/>
      <c r="I1859" s="48"/>
      <c r="J1859" s="48"/>
      <c r="L1859" s="65"/>
    </row>
    <row r="1860" spans="5:12">
      <c r="E1860" s="49">
        <v>45055.145833326678</v>
      </c>
      <c r="F1860" s="56">
        <v>0</v>
      </c>
      <c r="G1860" s="48"/>
      <c r="H1860" s="48"/>
      <c r="I1860" s="48"/>
      <c r="J1860" s="48"/>
      <c r="L1860" s="65"/>
    </row>
    <row r="1861" spans="5:12">
      <c r="E1861" s="49">
        <v>45055.149305548897</v>
      </c>
      <c r="F1861" s="56">
        <v>0</v>
      </c>
      <c r="G1861" s="48"/>
      <c r="H1861" s="48"/>
      <c r="I1861" s="48"/>
      <c r="J1861" s="48"/>
      <c r="L1861" s="65"/>
    </row>
    <row r="1862" spans="5:12">
      <c r="E1862" s="49">
        <v>45055.152777771116</v>
      </c>
      <c r="F1862" s="56">
        <v>0</v>
      </c>
      <c r="G1862" s="48"/>
      <c r="H1862" s="48"/>
      <c r="I1862" s="48"/>
      <c r="J1862" s="48"/>
      <c r="L1862" s="65"/>
    </row>
    <row r="1863" spans="5:12">
      <c r="E1863" s="49">
        <v>45055.156249993335</v>
      </c>
      <c r="F1863" s="56">
        <v>0</v>
      </c>
      <c r="G1863" s="48"/>
      <c r="H1863" s="48"/>
      <c r="I1863" s="48"/>
      <c r="J1863" s="48"/>
      <c r="L1863" s="65"/>
    </row>
    <row r="1864" spans="5:12">
      <c r="E1864" s="49">
        <v>45055.159722215554</v>
      </c>
      <c r="F1864" s="56">
        <v>0</v>
      </c>
      <c r="G1864" s="48"/>
      <c r="H1864" s="48"/>
      <c r="I1864" s="48"/>
      <c r="J1864" s="48"/>
      <c r="L1864" s="65"/>
    </row>
    <row r="1865" spans="5:12">
      <c r="E1865" s="49">
        <v>45055.163194437773</v>
      </c>
      <c r="F1865" s="56">
        <v>0</v>
      </c>
      <c r="G1865" s="48"/>
      <c r="H1865" s="48"/>
      <c r="I1865" s="48"/>
      <c r="J1865" s="48"/>
      <c r="L1865" s="65"/>
    </row>
    <row r="1866" spans="5:12">
      <c r="E1866" s="49">
        <v>45055.166666659992</v>
      </c>
      <c r="F1866" s="56">
        <v>0</v>
      </c>
      <c r="G1866" s="48"/>
      <c r="H1866" s="48"/>
      <c r="I1866" s="48"/>
      <c r="J1866" s="48"/>
      <c r="L1866" s="65"/>
    </row>
    <row r="1867" spans="5:12">
      <c r="E1867" s="49">
        <v>45055.170138882211</v>
      </c>
      <c r="F1867" s="56">
        <v>0</v>
      </c>
      <c r="G1867" s="48"/>
      <c r="H1867" s="48"/>
      <c r="I1867" s="48"/>
      <c r="J1867" s="48"/>
      <c r="L1867" s="65"/>
    </row>
    <row r="1868" spans="5:12">
      <c r="E1868" s="49">
        <v>45055.17361110443</v>
      </c>
      <c r="F1868" s="56">
        <v>0</v>
      </c>
      <c r="G1868" s="48"/>
      <c r="H1868" s="48"/>
      <c r="I1868" s="48"/>
      <c r="J1868" s="48"/>
      <c r="L1868" s="65"/>
    </row>
    <row r="1869" spans="5:12">
      <c r="E1869" s="49">
        <v>45055.177083326649</v>
      </c>
      <c r="F1869" s="56">
        <v>0</v>
      </c>
      <c r="G1869" s="48"/>
      <c r="H1869" s="48"/>
      <c r="I1869" s="48"/>
      <c r="J1869" s="48"/>
      <c r="L1869" s="65"/>
    </row>
    <row r="1870" spans="5:12">
      <c r="E1870" s="49">
        <v>45055.180555548868</v>
      </c>
      <c r="F1870" s="56">
        <v>0</v>
      </c>
      <c r="G1870" s="48"/>
      <c r="H1870" s="48"/>
      <c r="I1870" s="48"/>
      <c r="J1870" s="48"/>
      <c r="L1870" s="65"/>
    </row>
    <row r="1871" spans="5:12">
      <c r="E1871" s="49">
        <v>45055.184027771087</v>
      </c>
      <c r="F1871" s="56">
        <v>0</v>
      </c>
      <c r="G1871" s="48"/>
      <c r="H1871" s="48"/>
      <c r="I1871" s="48"/>
      <c r="J1871" s="48"/>
      <c r="L1871" s="65"/>
    </row>
    <row r="1872" spans="5:12">
      <c r="E1872" s="49">
        <v>45055.187499993306</v>
      </c>
      <c r="F1872" s="56">
        <v>0</v>
      </c>
      <c r="G1872" s="48"/>
      <c r="H1872" s="48"/>
      <c r="I1872" s="48"/>
      <c r="J1872" s="48"/>
      <c r="L1872" s="65"/>
    </row>
    <row r="1873" spans="5:12">
      <c r="E1873" s="49">
        <v>45055.190972215525</v>
      </c>
      <c r="F1873" s="56">
        <v>0</v>
      </c>
      <c r="G1873" s="48"/>
      <c r="H1873" s="48"/>
      <c r="I1873" s="48"/>
      <c r="J1873" s="48"/>
      <c r="L1873" s="65"/>
    </row>
    <row r="1874" spans="5:12">
      <c r="E1874" s="49">
        <v>45055.194444437744</v>
      </c>
      <c r="F1874" s="56">
        <v>0</v>
      </c>
      <c r="G1874" s="48"/>
      <c r="H1874" s="48"/>
      <c r="I1874" s="48"/>
      <c r="J1874" s="48"/>
      <c r="L1874" s="65"/>
    </row>
    <row r="1875" spans="5:12">
      <c r="E1875" s="49">
        <v>45055.197916659963</v>
      </c>
      <c r="F1875" s="56">
        <v>0</v>
      </c>
      <c r="G1875" s="48"/>
      <c r="H1875" s="48"/>
      <c r="I1875" s="48"/>
      <c r="J1875" s="48"/>
      <c r="L1875" s="65"/>
    </row>
    <row r="1876" spans="5:12">
      <c r="E1876" s="49">
        <v>45055.201388882182</v>
      </c>
      <c r="F1876" s="56">
        <v>0</v>
      </c>
      <c r="G1876" s="48"/>
      <c r="H1876" s="48"/>
      <c r="I1876" s="48"/>
      <c r="J1876" s="48"/>
      <c r="L1876" s="65"/>
    </row>
    <row r="1877" spans="5:12">
      <c r="E1877" s="49">
        <v>45055.204861104401</v>
      </c>
      <c r="F1877" s="56">
        <v>0</v>
      </c>
      <c r="G1877" s="48"/>
      <c r="H1877" s="48"/>
      <c r="I1877" s="48"/>
      <c r="J1877" s="48"/>
      <c r="L1877" s="65"/>
    </row>
    <row r="1878" spans="5:12">
      <c r="E1878" s="49">
        <v>45055.20833332662</v>
      </c>
      <c r="F1878" s="56">
        <v>0</v>
      </c>
      <c r="G1878" s="48"/>
      <c r="H1878" s="48"/>
      <c r="I1878" s="48"/>
      <c r="J1878" s="48"/>
      <c r="L1878" s="65"/>
    </row>
    <row r="1879" spans="5:12">
      <c r="E1879" s="49">
        <v>45055.211805548839</v>
      </c>
      <c r="F1879" s="56">
        <v>0</v>
      </c>
      <c r="G1879" s="48"/>
      <c r="H1879" s="48"/>
      <c r="I1879" s="48"/>
      <c r="J1879" s="48"/>
      <c r="L1879" s="65"/>
    </row>
    <row r="1880" spans="5:12">
      <c r="E1880" s="49">
        <v>45055.215277771058</v>
      </c>
      <c r="F1880" s="56">
        <v>0</v>
      </c>
      <c r="G1880" s="48"/>
      <c r="H1880" s="48"/>
      <c r="I1880" s="48"/>
      <c r="J1880" s="48"/>
      <c r="L1880" s="65"/>
    </row>
    <row r="1881" spans="5:12">
      <c r="E1881" s="49">
        <v>45055.218749993277</v>
      </c>
      <c r="F1881" s="56">
        <v>0</v>
      </c>
      <c r="G1881" s="48"/>
      <c r="H1881" s="48"/>
      <c r="I1881" s="48"/>
      <c r="J1881" s="48"/>
      <c r="L1881" s="65"/>
    </row>
    <row r="1882" spans="5:12">
      <c r="E1882" s="49">
        <v>45055.222222215496</v>
      </c>
      <c r="F1882" s="56">
        <v>0</v>
      </c>
      <c r="G1882" s="48"/>
      <c r="H1882" s="48"/>
      <c r="I1882" s="48"/>
      <c r="J1882" s="48"/>
      <c r="L1882" s="65"/>
    </row>
    <row r="1883" spans="5:12">
      <c r="E1883" s="49">
        <v>45055.225694437715</v>
      </c>
      <c r="F1883" s="56">
        <v>0</v>
      </c>
      <c r="G1883" s="48"/>
      <c r="H1883" s="48"/>
      <c r="I1883" s="48"/>
      <c r="J1883" s="48"/>
      <c r="L1883" s="65"/>
    </row>
    <row r="1884" spans="5:12">
      <c r="E1884" s="49">
        <v>45055.229166659934</v>
      </c>
      <c r="F1884" s="56">
        <v>0</v>
      </c>
      <c r="G1884" s="48"/>
      <c r="H1884" s="48"/>
      <c r="I1884" s="48"/>
      <c r="J1884" s="48"/>
      <c r="L1884" s="65"/>
    </row>
    <row r="1885" spans="5:12">
      <c r="E1885" s="49">
        <v>45055.232638882153</v>
      </c>
      <c r="F1885" s="56">
        <v>0</v>
      </c>
      <c r="G1885" s="48"/>
      <c r="H1885" s="48"/>
      <c r="I1885" s="48"/>
      <c r="J1885" s="48"/>
      <c r="L1885" s="65"/>
    </row>
    <row r="1886" spans="5:12">
      <c r="E1886" s="49">
        <v>45055.236111104372</v>
      </c>
      <c r="F1886" s="56">
        <v>0</v>
      </c>
      <c r="G1886" s="48"/>
      <c r="H1886" s="48"/>
      <c r="I1886" s="48"/>
      <c r="J1886" s="48"/>
      <c r="L1886" s="65"/>
    </row>
    <row r="1887" spans="5:12">
      <c r="E1887" s="49">
        <v>45055.239583326591</v>
      </c>
      <c r="F1887" s="56">
        <v>0</v>
      </c>
      <c r="G1887" s="48"/>
      <c r="H1887" s="48"/>
      <c r="I1887" s="48"/>
      <c r="J1887" s="48"/>
      <c r="L1887" s="65"/>
    </row>
    <row r="1888" spans="5:12">
      <c r="E1888" s="49">
        <v>45055.24305554881</v>
      </c>
      <c r="F1888" s="56">
        <v>0</v>
      </c>
      <c r="G1888" s="48"/>
      <c r="H1888" s="48"/>
      <c r="I1888" s="48"/>
      <c r="J1888" s="48"/>
      <c r="L1888" s="65"/>
    </row>
    <row r="1889" spans="5:12">
      <c r="E1889" s="49">
        <v>45055.246527771029</v>
      </c>
      <c r="F1889" s="56">
        <v>0</v>
      </c>
      <c r="G1889" s="48"/>
      <c r="H1889" s="48"/>
      <c r="I1889" s="48"/>
      <c r="J1889" s="48"/>
      <c r="L1889" s="65"/>
    </row>
    <row r="1890" spans="5:12">
      <c r="E1890" s="49">
        <v>45055.249999993248</v>
      </c>
      <c r="F1890" s="56">
        <v>0</v>
      </c>
      <c r="G1890" s="48"/>
      <c r="H1890" s="48"/>
      <c r="I1890" s="48"/>
      <c r="J1890" s="48"/>
      <c r="L1890" s="65"/>
    </row>
    <row r="1891" spans="5:12">
      <c r="E1891" s="49">
        <v>45055.253472215467</v>
      </c>
      <c r="F1891" s="56">
        <v>0</v>
      </c>
      <c r="G1891" s="48"/>
      <c r="H1891" s="48"/>
      <c r="I1891" s="48"/>
      <c r="J1891" s="48"/>
      <c r="L1891" s="65"/>
    </row>
    <row r="1892" spans="5:12">
      <c r="E1892" s="49">
        <v>45055.256944437686</v>
      </c>
      <c r="F1892" s="56">
        <v>0</v>
      </c>
      <c r="G1892" s="48"/>
      <c r="H1892" s="48"/>
      <c r="I1892" s="48"/>
      <c r="J1892" s="48"/>
      <c r="L1892" s="65"/>
    </row>
    <row r="1893" spans="5:12">
      <c r="E1893" s="49">
        <v>45055.260416659905</v>
      </c>
      <c r="F1893" s="56">
        <v>0</v>
      </c>
      <c r="G1893" s="48"/>
      <c r="H1893" s="48"/>
      <c r="I1893" s="48"/>
      <c r="J1893" s="48"/>
      <c r="L1893" s="65"/>
    </row>
    <row r="1894" spans="5:12">
      <c r="E1894" s="49">
        <v>45055.263888882124</v>
      </c>
      <c r="F1894" s="56">
        <v>0</v>
      </c>
      <c r="G1894" s="48"/>
      <c r="H1894" s="48"/>
      <c r="I1894" s="48"/>
      <c r="J1894" s="48"/>
      <c r="L1894" s="65"/>
    </row>
    <row r="1895" spans="5:12">
      <c r="E1895" s="49">
        <v>45055.267361104343</v>
      </c>
      <c r="F1895" s="56">
        <v>0</v>
      </c>
      <c r="G1895" s="48"/>
      <c r="H1895" s="48"/>
      <c r="I1895" s="48"/>
      <c r="J1895" s="48"/>
      <c r="L1895" s="65"/>
    </row>
    <row r="1896" spans="5:12">
      <c r="E1896" s="49">
        <v>45055.270833326562</v>
      </c>
      <c r="F1896" s="56">
        <v>0</v>
      </c>
      <c r="G1896" s="48"/>
      <c r="H1896" s="48"/>
      <c r="I1896" s="48"/>
      <c r="J1896" s="48"/>
      <c r="L1896" s="65"/>
    </row>
    <row r="1897" spans="5:12">
      <c r="E1897" s="49">
        <v>45055.274305548781</v>
      </c>
      <c r="F1897" s="56">
        <v>0</v>
      </c>
      <c r="G1897" s="48"/>
      <c r="H1897" s="48"/>
      <c r="I1897" s="48"/>
      <c r="J1897" s="48"/>
      <c r="L1897" s="65"/>
    </row>
    <row r="1898" spans="5:12">
      <c r="E1898" s="49">
        <v>45055.277777771</v>
      </c>
      <c r="F1898" s="56">
        <v>0</v>
      </c>
      <c r="G1898" s="48"/>
      <c r="H1898" s="48"/>
      <c r="I1898" s="48"/>
      <c r="J1898" s="48"/>
      <c r="L1898" s="65"/>
    </row>
    <row r="1899" spans="5:12">
      <c r="E1899" s="49">
        <v>45055.281249993219</v>
      </c>
      <c r="F1899" s="56">
        <v>0</v>
      </c>
      <c r="G1899" s="48"/>
      <c r="H1899" s="48"/>
      <c r="I1899" s="48"/>
      <c r="J1899" s="48"/>
      <c r="L1899" s="65"/>
    </row>
    <row r="1900" spans="5:12">
      <c r="E1900" s="49">
        <v>45055.284722215438</v>
      </c>
      <c r="F1900" s="56">
        <v>0</v>
      </c>
      <c r="G1900" s="48"/>
      <c r="H1900" s="48"/>
      <c r="I1900" s="48"/>
      <c r="J1900" s="48"/>
      <c r="L1900" s="65"/>
    </row>
    <row r="1901" spans="5:12">
      <c r="E1901" s="49">
        <v>45055.288194437657</v>
      </c>
      <c r="F1901" s="56">
        <v>0</v>
      </c>
      <c r="G1901" s="48"/>
      <c r="H1901" s="48"/>
      <c r="I1901" s="48"/>
      <c r="J1901" s="48"/>
      <c r="L1901" s="65"/>
    </row>
    <row r="1902" spans="5:12">
      <c r="E1902" s="49">
        <v>45055.291666659876</v>
      </c>
      <c r="F1902" s="56">
        <v>0</v>
      </c>
      <c r="G1902" s="48"/>
      <c r="H1902" s="48"/>
      <c r="I1902" s="48"/>
      <c r="J1902" s="48"/>
      <c r="L1902" s="65"/>
    </row>
    <row r="1903" spans="5:12">
      <c r="E1903" s="49">
        <v>45055.295138882095</v>
      </c>
      <c r="F1903" s="56">
        <v>0</v>
      </c>
      <c r="G1903" s="48"/>
      <c r="H1903" s="48"/>
      <c r="I1903" s="48"/>
      <c r="J1903" s="48"/>
      <c r="L1903" s="65"/>
    </row>
    <row r="1904" spans="5:12">
      <c r="E1904" s="49">
        <v>45055.298611104314</v>
      </c>
      <c r="F1904" s="56">
        <v>0</v>
      </c>
      <c r="G1904" s="48"/>
      <c r="H1904" s="48"/>
      <c r="I1904" s="48"/>
      <c r="J1904" s="48"/>
      <c r="L1904" s="65"/>
    </row>
    <row r="1905" spans="5:12">
      <c r="E1905" s="49">
        <v>45055.302083326533</v>
      </c>
      <c r="F1905" s="56">
        <v>0</v>
      </c>
      <c r="G1905" s="48"/>
      <c r="H1905" s="48"/>
      <c r="I1905" s="48"/>
      <c r="J1905" s="48"/>
      <c r="L1905" s="65"/>
    </row>
    <row r="1906" spans="5:12">
      <c r="E1906" s="49">
        <v>45055.305555548752</v>
      </c>
      <c r="F1906" s="56">
        <v>0</v>
      </c>
      <c r="G1906" s="48"/>
      <c r="H1906" s="48"/>
      <c r="I1906" s="48"/>
      <c r="J1906" s="48"/>
      <c r="L1906" s="65"/>
    </row>
    <row r="1907" spans="5:12">
      <c r="E1907" s="49">
        <v>45055.309027770971</v>
      </c>
      <c r="F1907" s="56">
        <v>0</v>
      </c>
      <c r="G1907" s="48"/>
      <c r="H1907" s="48"/>
      <c r="I1907" s="48"/>
      <c r="J1907" s="48"/>
      <c r="L1907" s="65"/>
    </row>
    <row r="1908" spans="5:12">
      <c r="E1908" s="49">
        <v>45055.31249999319</v>
      </c>
      <c r="F1908" s="56">
        <v>0</v>
      </c>
      <c r="G1908" s="48"/>
      <c r="H1908" s="48"/>
      <c r="I1908" s="48"/>
      <c r="J1908" s="48"/>
      <c r="L1908" s="65"/>
    </row>
    <row r="1909" spans="5:12">
      <c r="E1909" s="49">
        <v>45055.315972215409</v>
      </c>
      <c r="F1909" s="56">
        <v>0</v>
      </c>
      <c r="G1909" s="48"/>
      <c r="H1909" s="48"/>
      <c r="I1909" s="48"/>
      <c r="J1909" s="48"/>
      <c r="L1909" s="65"/>
    </row>
    <row r="1910" spans="5:12">
      <c r="E1910" s="49">
        <v>45055.319444437628</v>
      </c>
      <c r="F1910" s="56">
        <v>0</v>
      </c>
      <c r="G1910" s="48"/>
      <c r="H1910" s="48"/>
      <c r="I1910" s="48"/>
      <c r="J1910" s="48"/>
      <c r="L1910" s="65"/>
    </row>
    <row r="1911" spans="5:12">
      <c r="E1911" s="49">
        <v>45055.322916659847</v>
      </c>
      <c r="F1911" s="56">
        <v>0</v>
      </c>
      <c r="G1911" s="48"/>
      <c r="H1911" s="48"/>
      <c r="I1911" s="48"/>
      <c r="J1911" s="48"/>
      <c r="L1911" s="65"/>
    </row>
    <row r="1912" spans="5:12">
      <c r="E1912" s="49">
        <v>45055.326388882066</v>
      </c>
      <c r="F1912" s="56">
        <v>0</v>
      </c>
      <c r="G1912" s="48"/>
      <c r="H1912" s="48"/>
      <c r="I1912" s="48"/>
      <c r="J1912" s="48"/>
      <c r="L1912" s="65"/>
    </row>
    <row r="1913" spans="5:12">
      <c r="E1913" s="49">
        <v>45055.329861104285</v>
      </c>
      <c r="F1913" s="56">
        <v>0</v>
      </c>
      <c r="G1913" s="48"/>
      <c r="H1913" s="48"/>
      <c r="I1913" s="48"/>
      <c r="J1913" s="48"/>
      <c r="L1913" s="65"/>
    </row>
    <row r="1914" spans="5:12">
      <c r="E1914" s="49">
        <v>45055.333333326504</v>
      </c>
      <c r="F1914" s="56">
        <v>0</v>
      </c>
      <c r="G1914" s="48"/>
      <c r="H1914" s="48"/>
      <c r="I1914" s="48"/>
      <c r="J1914" s="48"/>
      <c r="L1914" s="65"/>
    </row>
    <row r="1915" spans="5:12">
      <c r="E1915" s="49">
        <v>45055.336805548723</v>
      </c>
      <c r="F1915" s="56">
        <v>0</v>
      </c>
      <c r="G1915" s="48"/>
      <c r="H1915" s="48"/>
      <c r="I1915" s="48"/>
      <c r="J1915" s="48"/>
      <c r="L1915" s="65"/>
    </row>
    <row r="1916" spans="5:12">
      <c r="E1916" s="49">
        <v>45055.340277770942</v>
      </c>
      <c r="F1916" s="56">
        <v>0</v>
      </c>
      <c r="G1916" s="48"/>
      <c r="H1916" s="48"/>
      <c r="I1916" s="48"/>
      <c r="J1916" s="48"/>
      <c r="L1916" s="65"/>
    </row>
    <row r="1917" spans="5:12">
      <c r="E1917" s="49">
        <v>45055.343749993161</v>
      </c>
      <c r="F1917" s="56">
        <v>0</v>
      </c>
      <c r="G1917" s="48"/>
      <c r="H1917" s="48"/>
      <c r="I1917" s="48"/>
      <c r="J1917" s="48"/>
      <c r="L1917" s="65"/>
    </row>
    <row r="1918" spans="5:12">
      <c r="E1918" s="49">
        <v>45055.34722221538</v>
      </c>
      <c r="F1918" s="56">
        <v>0</v>
      </c>
      <c r="G1918" s="48"/>
      <c r="H1918" s="48"/>
      <c r="I1918" s="48"/>
      <c r="J1918" s="48"/>
      <c r="L1918" s="65"/>
    </row>
    <row r="1919" spans="5:12">
      <c r="E1919" s="49">
        <v>45055.350694437599</v>
      </c>
      <c r="F1919" s="56">
        <v>0</v>
      </c>
      <c r="G1919" s="48"/>
      <c r="H1919" s="48"/>
      <c r="I1919" s="48"/>
      <c r="J1919" s="48"/>
      <c r="L1919" s="65"/>
    </row>
    <row r="1920" spans="5:12">
      <c r="E1920" s="49">
        <v>45055.354166659818</v>
      </c>
      <c r="F1920" s="56">
        <v>0</v>
      </c>
      <c r="G1920" s="48"/>
      <c r="H1920" s="48"/>
      <c r="I1920" s="48"/>
      <c r="J1920" s="48"/>
      <c r="L1920" s="65"/>
    </row>
    <row r="1921" spans="5:12">
      <c r="E1921" s="49">
        <v>45055.357638882037</v>
      </c>
      <c r="F1921" s="56">
        <v>0</v>
      </c>
      <c r="G1921" s="48"/>
      <c r="H1921" s="48"/>
      <c r="I1921" s="48"/>
      <c r="J1921" s="48"/>
      <c r="L1921" s="65"/>
    </row>
    <row r="1922" spans="5:12">
      <c r="E1922" s="49">
        <v>45055.361111104256</v>
      </c>
      <c r="F1922" s="56">
        <v>0</v>
      </c>
      <c r="G1922" s="48"/>
      <c r="H1922" s="48"/>
      <c r="I1922" s="48"/>
      <c r="J1922" s="48"/>
      <c r="L1922" s="65"/>
    </row>
    <row r="1923" spans="5:12">
      <c r="E1923" s="49">
        <v>45055.364583326475</v>
      </c>
      <c r="F1923" s="56">
        <v>0</v>
      </c>
      <c r="G1923" s="48"/>
      <c r="H1923" s="48"/>
      <c r="I1923" s="48"/>
      <c r="J1923" s="48"/>
      <c r="L1923" s="65"/>
    </row>
    <row r="1924" spans="5:12">
      <c r="E1924" s="49">
        <v>45055.368055548694</v>
      </c>
      <c r="F1924" s="56">
        <v>0</v>
      </c>
      <c r="G1924" s="48"/>
      <c r="H1924" s="48"/>
      <c r="I1924" s="48"/>
      <c r="J1924" s="48"/>
      <c r="L1924" s="65"/>
    </row>
    <row r="1925" spans="5:12">
      <c r="E1925" s="49">
        <v>45055.371527770913</v>
      </c>
      <c r="F1925" s="56">
        <v>0</v>
      </c>
      <c r="G1925" s="48"/>
      <c r="H1925" s="48"/>
      <c r="I1925" s="48"/>
      <c r="J1925" s="48"/>
      <c r="L1925" s="65"/>
    </row>
    <row r="1926" spans="5:12">
      <c r="E1926" s="49">
        <v>45055.374999993131</v>
      </c>
      <c r="F1926" s="56">
        <v>0</v>
      </c>
      <c r="G1926" s="48"/>
      <c r="H1926" s="48"/>
      <c r="I1926" s="48"/>
      <c r="J1926" s="48"/>
      <c r="L1926" s="65"/>
    </row>
    <row r="1927" spans="5:12">
      <c r="E1927" s="49">
        <v>45055.37847221535</v>
      </c>
      <c r="F1927" s="56">
        <v>0</v>
      </c>
      <c r="G1927" s="48"/>
      <c r="H1927" s="48"/>
      <c r="I1927" s="48"/>
      <c r="J1927" s="48"/>
      <c r="L1927" s="65"/>
    </row>
    <row r="1928" spans="5:12">
      <c r="E1928" s="49">
        <v>45055.381944437569</v>
      </c>
      <c r="F1928" s="56">
        <v>0</v>
      </c>
      <c r="G1928" s="48"/>
      <c r="H1928" s="48"/>
      <c r="I1928" s="48"/>
      <c r="J1928" s="48"/>
      <c r="L1928" s="65"/>
    </row>
    <row r="1929" spans="5:12">
      <c r="E1929" s="49">
        <v>45055.385416659788</v>
      </c>
      <c r="F1929" s="56">
        <v>0</v>
      </c>
      <c r="G1929" s="48"/>
      <c r="H1929" s="48"/>
      <c r="I1929" s="48"/>
      <c r="J1929" s="48"/>
      <c r="L1929" s="65"/>
    </row>
    <row r="1930" spans="5:12">
      <c r="E1930" s="49">
        <v>45055.388888882007</v>
      </c>
      <c r="F1930" s="56">
        <v>0</v>
      </c>
      <c r="G1930" s="48"/>
      <c r="H1930" s="48"/>
      <c r="I1930" s="48"/>
      <c r="J1930" s="48"/>
      <c r="L1930" s="65"/>
    </row>
    <row r="1931" spans="5:12">
      <c r="E1931" s="49">
        <v>45055.392361104226</v>
      </c>
      <c r="F1931" s="56">
        <v>0</v>
      </c>
      <c r="G1931" s="48"/>
      <c r="H1931" s="48"/>
      <c r="I1931" s="48"/>
      <c r="J1931" s="48"/>
      <c r="L1931" s="65"/>
    </row>
    <row r="1932" spans="5:12">
      <c r="E1932" s="49">
        <v>45055.395833326445</v>
      </c>
      <c r="F1932" s="56">
        <v>0</v>
      </c>
      <c r="G1932" s="48"/>
      <c r="H1932" s="48"/>
      <c r="I1932" s="48"/>
      <c r="J1932" s="48"/>
      <c r="L1932" s="65"/>
    </row>
    <row r="1933" spans="5:12">
      <c r="E1933" s="49">
        <v>45055.399305548664</v>
      </c>
      <c r="F1933" s="56">
        <v>0</v>
      </c>
      <c r="G1933" s="48"/>
      <c r="H1933" s="48"/>
      <c r="I1933" s="48"/>
      <c r="J1933" s="48"/>
      <c r="L1933" s="65"/>
    </row>
    <row r="1934" spans="5:12">
      <c r="E1934" s="49">
        <v>45055.402777770883</v>
      </c>
      <c r="F1934" s="56">
        <v>0</v>
      </c>
      <c r="G1934" s="48"/>
      <c r="H1934" s="48"/>
      <c r="I1934" s="48"/>
      <c r="J1934" s="48"/>
      <c r="L1934" s="65"/>
    </row>
    <row r="1935" spans="5:12">
      <c r="E1935" s="49">
        <v>45055.406249993102</v>
      </c>
      <c r="F1935" s="56">
        <v>0</v>
      </c>
      <c r="G1935" s="48"/>
      <c r="H1935" s="48"/>
      <c r="I1935" s="48"/>
      <c r="J1935" s="48"/>
      <c r="L1935" s="65"/>
    </row>
    <row r="1936" spans="5:12">
      <c r="E1936" s="49">
        <v>45055.409722215321</v>
      </c>
      <c r="F1936" s="56">
        <v>0</v>
      </c>
      <c r="G1936" s="48"/>
      <c r="H1936" s="48"/>
      <c r="I1936" s="48"/>
      <c r="J1936" s="48"/>
      <c r="L1936" s="65"/>
    </row>
    <row r="1937" spans="5:12">
      <c r="E1937" s="49">
        <v>45055.41319443754</v>
      </c>
      <c r="F1937" s="56">
        <v>0</v>
      </c>
      <c r="G1937" s="48"/>
      <c r="H1937" s="48"/>
      <c r="I1937" s="48"/>
      <c r="J1937" s="48"/>
      <c r="L1937" s="65"/>
    </row>
    <row r="1938" spans="5:12">
      <c r="E1938" s="49">
        <v>45055.416666659759</v>
      </c>
      <c r="F1938" s="56">
        <v>0</v>
      </c>
      <c r="G1938" s="48"/>
      <c r="H1938" s="48"/>
      <c r="I1938" s="48"/>
      <c r="J1938" s="48"/>
      <c r="L1938" s="65"/>
    </row>
    <row r="1939" spans="5:12">
      <c r="E1939" s="49">
        <v>45055.420138881978</v>
      </c>
      <c r="F1939" s="56">
        <v>0</v>
      </c>
      <c r="G1939" s="48"/>
      <c r="H1939" s="48"/>
      <c r="I1939" s="48"/>
      <c r="J1939" s="48"/>
      <c r="L1939" s="65"/>
    </row>
    <row r="1940" spans="5:12">
      <c r="E1940" s="49">
        <v>45055.423611104197</v>
      </c>
      <c r="F1940" s="56">
        <v>0</v>
      </c>
      <c r="G1940" s="48"/>
      <c r="H1940" s="48"/>
      <c r="I1940" s="48"/>
      <c r="J1940" s="48"/>
      <c r="L1940" s="65"/>
    </row>
    <row r="1941" spans="5:12">
      <c r="E1941" s="49">
        <v>45055.427083326416</v>
      </c>
      <c r="F1941" s="56">
        <v>0</v>
      </c>
      <c r="G1941" s="48"/>
      <c r="H1941" s="48"/>
      <c r="I1941" s="48"/>
      <c r="J1941" s="48"/>
      <c r="L1941" s="65"/>
    </row>
    <row r="1942" spans="5:12">
      <c r="E1942" s="49">
        <v>45055.430555548635</v>
      </c>
      <c r="F1942" s="56">
        <v>0</v>
      </c>
      <c r="G1942" s="48"/>
      <c r="H1942" s="48"/>
      <c r="I1942" s="48"/>
      <c r="J1942" s="48"/>
      <c r="L1942" s="65"/>
    </row>
    <row r="1943" spans="5:12">
      <c r="E1943" s="49">
        <v>45055.434027770854</v>
      </c>
      <c r="F1943" s="56">
        <v>0</v>
      </c>
      <c r="G1943" s="48"/>
      <c r="H1943" s="48"/>
      <c r="I1943" s="48"/>
      <c r="J1943" s="48"/>
      <c r="L1943" s="65"/>
    </row>
    <row r="1944" spans="5:12">
      <c r="E1944" s="49">
        <v>45055.437499993073</v>
      </c>
      <c r="F1944" s="56">
        <v>0</v>
      </c>
      <c r="G1944" s="48"/>
      <c r="H1944" s="48"/>
      <c r="I1944" s="48"/>
      <c r="J1944" s="48"/>
      <c r="L1944" s="65"/>
    </row>
    <row r="1945" spans="5:12">
      <c r="E1945" s="49">
        <v>45055.440972215292</v>
      </c>
      <c r="F1945" s="56">
        <v>0</v>
      </c>
      <c r="G1945" s="48"/>
      <c r="H1945" s="48"/>
      <c r="I1945" s="48"/>
      <c r="J1945" s="48"/>
      <c r="L1945" s="65"/>
    </row>
    <row r="1946" spans="5:12">
      <c r="E1946" s="49">
        <v>45055.444444437511</v>
      </c>
      <c r="F1946" s="56">
        <v>0</v>
      </c>
      <c r="G1946" s="48"/>
      <c r="H1946" s="48"/>
      <c r="I1946" s="48"/>
      <c r="J1946" s="48"/>
      <c r="L1946" s="65"/>
    </row>
    <row r="1947" spans="5:12">
      <c r="E1947" s="49">
        <v>45055.44791665973</v>
      </c>
      <c r="F1947" s="56">
        <v>0</v>
      </c>
      <c r="G1947" s="48"/>
      <c r="H1947" s="48"/>
      <c r="I1947" s="48"/>
      <c r="J1947" s="48"/>
      <c r="L1947" s="65"/>
    </row>
    <row r="1948" spans="5:12">
      <c r="E1948" s="49">
        <v>45055.451388881949</v>
      </c>
      <c r="F1948" s="56">
        <v>0</v>
      </c>
      <c r="G1948" s="48"/>
      <c r="H1948" s="48"/>
      <c r="I1948" s="48"/>
      <c r="J1948" s="48"/>
      <c r="L1948" s="65"/>
    </row>
    <row r="1949" spans="5:12">
      <c r="E1949" s="49">
        <v>45055.454861104168</v>
      </c>
      <c r="F1949" s="56">
        <v>0</v>
      </c>
      <c r="G1949" s="48"/>
      <c r="H1949" s="48"/>
      <c r="I1949" s="48"/>
      <c r="J1949" s="48"/>
      <c r="L1949" s="65"/>
    </row>
    <row r="1950" spans="5:12">
      <c r="E1950" s="49">
        <v>45055.458333326387</v>
      </c>
      <c r="F1950" s="56">
        <v>0</v>
      </c>
      <c r="G1950" s="48"/>
      <c r="H1950" s="48"/>
      <c r="I1950" s="48"/>
      <c r="J1950" s="48"/>
      <c r="L1950" s="65"/>
    </row>
    <row r="1951" spans="5:12">
      <c r="E1951" s="49">
        <v>45055.461805548606</v>
      </c>
      <c r="F1951" s="56">
        <v>0</v>
      </c>
      <c r="G1951" s="48"/>
      <c r="H1951" s="48"/>
      <c r="I1951" s="48"/>
      <c r="J1951" s="48"/>
      <c r="L1951" s="65"/>
    </row>
    <row r="1952" spans="5:12">
      <c r="E1952" s="49">
        <v>45055.465277770825</v>
      </c>
      <c r="F1952" s="56">
        <v>0</v>
      </c>
      <c r="G1952" s="48"/>
      <c r="H1952" s="48"/>
      <c r="I1952" s="48"/>
      <c r="J1952" s="48"/>
      <c r="L1952" s="65"/>
    </row>
    <row r="1953" spans="5:12">
      <c r="E1953" s="49">
        <v>45055.468749993044</v>
      </c>
      <c r="F1953" s="56">
        <v>0</v>
      </c>
      <c r="G1953" s="48"/>
      <c r="H1953" s="48"/>
      <c r="I1953" s="48"/>
      <c r="J1953" s="48"/>
      <c r="L1953" s="65"/>
    </row>
    <row r="1954" spans="5:12">
      <c r="E1954" s="49">
        <v>45055.472222215263</v>
      </c>
      <c r="F1954" s="56">
        <v>0</v>
      </c>
      <c r="G1954" s="48"/>
      <c r="H1954" s="48"/>
      <c r="I1954" s="48"/>
      <c r="J1954" s="48"/>
      <c r="L1954" s="65"/>
    </row>
    <row r="1955" spans="5:12">
      <c r="E1955" s="49">
        <v>45055.475694437482</v>
      </c>
      <c r="F1955" s="56">
        <v>0</v>
      </c>
      <c r="G1955" s="48"/>
      <c r="H1955" s="48"/>
      <c r="I1955" s="48"/>
      <c r="J1955" s="48"/>
      <c r="L1955" s="65"/>
    </row>
    <row r="1956" spans="5:12">
      <c r="E1956" s="49">
        <v>45055.479166659701</v>
      </c>
      <c r="F1956" s="56">
        <v>0</v>
      </c>
      <c r="G1956" s="48"/>
      <c r="H1956" s="48"/>
      <c r="I1956" s="48"/>
      <c r="J1956" s="48"/>
      <c r="L1956" s="65"/>
    </row>
    <row r="1957" spans="5:12">
      <c r="E1957" s="49">
        <v>45055.48263888192</v>
      </c>
      <c r="F1957" s="56">
        <v>0</v>
      </c>
      <c r="G1957" s="48"/>
      <c r="H1957" s="48"/>
      <c r="I1957" s="48"/>
      <c r="J1957" s="48"/>
      <c r="L1957" s="65"/>
    </row>
    <row r="1958" spans="5:12">
      <c r="E1958" s="49">
        <v>45055.486111104139</v>
      </c>
      <c r="F1958" s="56">
        <v>0</v>
      </c>
      <c r="G1958" s="48"/>
      <c r="H1958" s="48"/>
      <c r="I1958" s="48"/>
      <c r="J1958" s="48"/>
      <c r="L1958" s="65"/>
    </row>
    <row r="1959" spans="5:12">
      <c r="E1959" s="49">
        <v>45055.489583326358</v>
      </c>
      <c r="F1959" s="56">
        <v>0</v>
      </c>
      <c r="G1959" s="48"/>
      <c r="H1959" s="48"/>
      <c r="I1959" s="48"/>
      <c r="J1959" s="48"/>
      <c r="L1959" s="65"/>
    </row>
    <row r="1960" spans="5:12">
      <c r="E1960" s="49">
        <v>45055.493055548577</v>
      </c>
      <c r="F1960" s="56">
        <v>0</v>
      </c>
      <c r="G1960" s="48"/>
      <c r="H1960" s="48"/>
      <c r="I1960" s="48"/>
      <c r="J1960" s="48"/>
      <c r="L1960" s="65"/>
    </row>
    <row r="1961" spans="5:12">
      <c r="E1961" s="49">
        <v>45055.496527770796</v>
      </c>
      <c r="F1961" s="56">
        <v>0</v>
      </c>
      <c r="G1961" s="48"/>
      <c r="H1961" s="48"/>
      <c r="I1961" s="48"/>
      <c r="J1961" s="48"/>
      <c r="L1961" s="65"/>
    </row>
    <row r="1962" spans="5:12">
      <c r="E1962" s="49">
        <v>45055.499999993015</v>
      </c>
      <c r="F1962" s="56">
        <v>0</v>
      </c>
      <c r="G1962" s="48"/>
      <c r="H1962" s="48"/>
      <c r="I1962" s="48"/>
      <c r="J1962" s="48"/>
      <c r="L1962" s="65"/>
    </row>
    <row r="1963" spans="5:12">
      <c r="E1963" s="49">
        <v>45055.503472215234</v>
      </c>
      <c r="F1963" s="56">
        <v>0</v>
      </c>
      <c r="G1963" s="48"/>
      <c r="H1963" s="48"/>
      <c r="I1963" s="48"/>
      <c r="J1963" s="48"/>
      <c r="L1963" s="65"/>
    </row>
    <row r="1964" spans="5:12">
      <c r="E1964" s="49">
        <v>45055.506944437453</v>
      </c>
      <c r="F1964" s="56">
        <v>0</v>
      </c>
      <c r="G1964" s="48"/>
      <c r="H1964" s="48"/>
      <c r="I1964" s="48"/>
      <c r="J1964" s="48"/>
      <c r="L1964" s="65"/>
    </row>
    <row r="1965" spans="5:12">
      <c r="E1965" s="49">
        <v>45055.510416659672</v>
      </c>
      <c r="F1965" s="56">
        <v>0</v>
      </c>
      <c r="G1965" s="48"/>
      <c r="H1965" s="48"/>
      <c r="I1965" s="48"/>
      <c r="J1965" s="48"/>
      <c r="L1965" s="65"/>
    </row>
    <row r="1966" spans="5:12">
      <c r="E1966" s="49">
        <v>45055.513888881891</v>
      </c>
      <c r="F1966" s="56">
        <v>0</v>
      </c>
      <c r="G1966" s="48"/>
      <c r="H1966" s="48"/>
      <c r="I1966" s="48"/>
      <c r="J1966" s="48"/>
      <c r="L1966" s="65"/>
    </row>
    <row r="1967" spans="5:12">
      <c r="E1967" s="49">
        <v>45055.51736110411</v>
      </c>
      <c r="F1967" s="56">
        <v>0</v>
      </c>
      <c r="G1967" s="48"/>
      <c r="H1967" s="48"/>
      <c r="I1967" s="48"/>
      <c r="J1967" s="48"/>
      <c r="L1967" s="65"/>
    </row>
    <row r="1968" spans="5:12">
      <c r="E1968" s="49">
        <v>45055.520833326329</v>
      </c>
      <c r="F1968" s="56">
        <v>0</v>
      </c>
      <c r="G1968" s="48"/>
      <c r="H1968" s="48"/>
      <c r="I1968" s="48"/>
      <c r="J1968" s="48"/>
      <c r="L1968" s="65"/>
    </row>
    <row r="1969" spans="5:12">
      <c r="E1969" s="49">
        <v>45055.524305548548</v>
      </c>
      <c r="F1969" s="56">
        <v>0</v>
      </c>
      <c r="G1969" s="48"/>
      <c r="H1969" s="48"/>
      <c r="I1969" s="48"/>
      <c r="J1969" s="48"/>
      <c r="L1969" s="65"/>
    </row>
    <row r="1970" spans="5:12">
      <c r="E1970" s="49">
        <v>45055.527777770767</v>
      </c>
      <c r="F1970" s="56">
        <v>0</v>
      </c>
      <c r="G1970" s="48"/>
      <c r="H1970" s="48"/>
      <c r="I1970" s="48"/>
      <c r="J1970" s="48"/>
      <c r="L1970" s="65"/>
    </row>
    <row r="1971" spans="5:12">
      <c r="E1971" s="49">
        <v>45055.531249992986</v>
      </c>
      <c r="F1971" s="56">
        <v>0</v>
      </c>
      <c r="G1971" s="48"/>
      <c r="H1971" s="48"/>
      <c r="I1971" s="48"/>
      <c r="J1971" s="48"/>
      <c r="L1971" s="65"/>
    </row>
    <row r="1972" spans="5:12">
      <c r="E1972" s="49">
        <v>45055.534722215205</v>
      </c>
      <c r="F1972" s="56">
        <v>0</v>
      </c>
      <c r="G1972" s="48"/>
      <c r="H1972" s="48"/>
      <c r="I1972" s="48"/>
      <c r="J1972" s="48"/>
      <c r="L1972" s="65"/>
    </row>
    <row r="1973" spans="5:12">
      <c r="E1973" s="49">
        <v>45055.538194437424</v>
      </c>
      <c r="F1973" s="56">
        <v>0</v>
      </c>
      <c r="G1973" s="48"/>
      <c r="H1973" s="48"/>
      <c r="I1973" s="48"/>
      <c r="J1973" s="48"/>
      <c r="L1973" s="65"/>
    </row>
    <row r="1974" spans="5:12">
      <c r="E1974" s="49">
        <v>45055.541666659643</v>
      </c>
      <c r="F1974" s="56">
        <v>0</v>
      </c>
      <c r="G1974" s="48"/>
      <c r="H1974" s="48"/>
      <c r="I1974" s="48"/>
      <c r="J1974" s="48"/>
      <c r="L1974" s="65"/>
    </row>
    <row r="1975" spans="5:12">
      <c r="E1975" s="49">
        <v>45055.545138881862</v>
      </c>
      <c r="F1975" s="56">
        <v>0</v>
      </c>
      <c r="G1975" s="48"/>
      <c r="H1975" s="48"/>
      <c r="I1975" s="48"/>
      <c r="J1975" s="48"/>
      <c r="L1975" s="65"/>
    </row>
    <row r="1976" spans="5:12">
      <c r="E1976" s="49">
        <v>45055.548611104081</v>
      </c>
      <c r="F1976" s="56">
        <v>0</v>
      </c>
      <c r="G1976" s="48"/>
      <c r="H1976" s="48"/>
      <c r="I1976" s="48"/>
      <c r="J1976" s="48"/>
      <c r="L1976" s="65"/>
    </row>
    <row r="1977" spans="5:12">
      <c r="E1977" s="49">
        <v>45055.5520833263</v>
      </c>
      <c r="F1977" s="56">
        <v>0</v>
      </c>
      <c r="G1977" s="48"/>
      <c r="H1977" s="48"/>
      <c r="I1977" s="48"/>
      <c r="J1977" s="48"/>
      <c r="L1977" s="65"/>
    </row>
    <row r="1978" spans="5:12">
      <c r="E1978" s="49">
        <v>45055.555555548519</v>
      </c>
      <c r="F1978" s="56">
        <v>0</v>
      </c>
      <c r="G1978" s="48"/>
      <c r="H1978" s="48"/>
      <c r="I1978" s="48"/>
      <c r="J1978" s="48"/>
      <c r="L1978" s="65"/>
    </row>
    <row r="1979" spans="5:12">
      <c r="E1979" s="49">
        <v>45055.559027770738</v>
      </c>
      <c r="F1979" s="56">
        <v>0</v>
      </c>
      <c r="G1979" s="48"/>
      <c r="H1979" s="48"/>
      <c r="I1979" s="48"/>
      <c r="J1979" s="48"/>
      <c r="L1979" s="65"/>
    </row>
    <row r="1980" spans="5:12">
      <c r="E1980" s="49">
        <v>45055.562499992957</v>
      </c>
      <c r="F1980" s="56">
        <v>0</v>
      </c>
      <c r="G1980" s="48"/>
      <c r="H1980" s="48"/>
      <c r="I1980" s="48"/>
      <c r="J1980" s="48"/>
      <c r="L1980" s="65"/>
    </row>
    <row r="1981" spans="5:12">
      <c r="E1981" s="49">
        <v>45055.565972215176</v>
      </c>
      <c r="F1981" s="56">
        <v>0</v>
      </c>
      <c r="G1981" s="48"/>
      <c r="H1981" s="48"/>
      <c r="I1981" s="48"/>
      <c r="J1981" s="48"/>
      <c r="L1981" s="65"/>
    </row>
    <row r="1982" spans="5:12">
      <c r="E1982" s="49">
        <v>45055.569444437395</v>
      </c>
      <c r="F1982" s="56">
        <v>0</v>
      </c>
      <c r="G1982" s="48"/>
      <c r="H1982" s="48"/>
      <c r="I1982" s="48"/>
      <c r="J1982" s="48"/>
      <c r="L1982" s="65"/>
    </row>
    <row r="1983" spans="5:12">
      <c r="E1983" s="49">
        <v>45055.572916659614</v>
      </c>
      <c r="F1983" s="56">
        <v>0</v>
      </c>
      <c r="G1983" s="48"/>
      <c r="H1983" s="48"/>
      <c r="I1983" s="48"/>
      <c r="J1983" s="48"/>
      <c r="L1983" s="65"/>
    </row>
    <row r="1984" spans="5:12">
      <c r="E1984" s="49">
        <v>45055.576388881833</v>
      </c>
      <c r="F1984" s="56">
        <v>0</v>
      </c>
      <c r="G1984" s="48"/>
      <c r="H1984" s="48"/>
      <c r="I1984" s="48"/>
      <c r="J1984" s="48"/>
      <c r="L1984" s="65"/>
    </row>
    <row r="1985" spans="5:12">
      <c r="E1985" s="49">
        <v>45055.579861104052</v>
      </c>
      <c r="F1985" s="56">
        <v>0</v>
      </c>
      <c r="G1985" s="48"/>
      <c r="H1985" s="48"/>
      <c r="I1985" s="48"/>
      <c r="J1985" s="48"/>
      <c r="L1985" s="65"/>
    </row>
    <row r="1986" spans="5:12">
      <c r="E1986" s="49">
        <v>45055.583333326271</v>
      </c>
      <c r="F1986" s="56">
        <v>0</v>
      </c>
      <c r="G1986" s="48"/>
      <c r="H1986" s="48"/>
      <c r="I1986" s="48"/>
      <c r="J1986" s="48"/>
      <c r="L1986" s="65"/>
    </row>
    <row r="1987" spans="5:12">
      <c r="E1987" s="49">
        <v>45055.58680554849</v>
      </c>
      <c r="F1987" s="56">
        <v>0</v>
      </c>
      <c r="G1987" s="48"/>
      <c r="H1987" s="48"/>
      <c r="I1987" s="48"/>
      <c r="J1987" s="48"/>
      <c r="L1987" s="65"/>
    </row>
    <row r="1988" spans="5:12">
      <c r="E1988" s="49">
        <v>45055.590277770709</v>
      </c>
      <c r="F1988" s="56">
        <v>0</v>
      </c>
      <c r="G1988" s="48"/>
      <c r="H1988" s="48"/>
      <c r="I1988" s="48"/>
      <c r="J1988" s="48"/>
      <c r="L1988" s="65"/>
    </row>
    <row r="1989" spans="5:12">
      <c r="E1989" s="49">
        <v>45055.593749992928</v>
      </c>
      <c r="F1989" s="56">
        <v>0</v>
      </c>
      <c r="G1989" s="48"/>
      <c r="H1989" s="48"/>
      <c r="I1989" s="48"/>
      <c r="J1989" s="48"/>
      <c r="L1989" s="65"/>
    </row>
    <row r="1990" spans="5:12">
      <c r="E1990" s="49">
        <v>45055.597222215147</v>
      </c>
      <c r="F1990" s="56">
        <v>0</v>
      </c>
      <c r="G1990" s="48"/>
      <c r="H1990" s="48"/>
      <c r="I1990" s="48"/>
      <c r="J1990" s="48"/>
      <c r="L1990" s="65"/>
    </row>
    <row r="1991" spans="5:12">
      <c r="E1991" s="49">
        <v>45055.600694437366</v>
      </c>
      <c r="F1991" s="56">
        <v>0</v>
      </c>
      <c r="G1991" s="48"/>
      <c r="H1991" s="48"/>
      <c r="I1991" s="48"/>
      <c r="J1991" s="48"/>
      <c r="L1991" s="65"/>
    </row>
    <row r="1992" spans="5:12">
      <c r="E1992" s="49">
        <v>45055.604166659585</v>
      </c>
      <c r="F1992" s="56">
        <v>0</v>
      </c>
      <c r="G1992" s="48"/>
      <c r="H1992" s="48"/>
      <c r="I1992" s="48"/>
      <c r="J1992" s="48"/>
      <c r="L1992" s="65"/>
    </row>
    <row r="1993" spans="5:12">
      <c r="E1993" s="49">
        <v>45055.607638881804</v>
      </c>
      <c r="F1993" s="56">
        <v>0</v>
      </c>
      <c r="G1993" s="48"/>
      <c r="H1993" s="48"/>
      <c r="I1993" s="48"/>
      <c r="J1993" s="48"/>
      <c r="L1993" s="65"/>
    </row>
    <row r="1994" spans="5:12">
      <c r="E1994" s="49">
        <v>45055.611111104023</v>
      </c>
      <c r="F1994" s="56">
        <v>0</v>
      </c>
      <c r="G1994" s="48"/>
      <c r="H1994" s="48"/>
      <c r="I1994" s="48"/>
      <c r="J1994" s="48"/>
      <c r="L1994" s="65"/>
    </row>
    <row r="1995" spans="5:12">
      <c r="E1995" s="49">
        <v>45055.614583326242</v>
      </c>
      <c r="F1995" s="56">
        <v>0</v>
      </c>
      <c r="G1995" s="48"/>
      <c r="H1995" s="48"/>
      <c r="I1995" s="48"/>
      <c r="J1995" s="48"/>
      <c r="L1995" s="65"/>
    </row>
    <row r="1996" spans="5:12">
      <c r="E1996" s="49">
        <v>45055.618055548461</v>
      </c>
      <c r="F1996" s="56">
        <v>0</v>
      </c>
      <c r="G1996" s="48"/>
      <c r="H1996" s="48"/>
      <c r="I1996" s="48"/>
      <c r="J1996" s="48"/>
      <c r="L1996" s="65"/>
    </row>
    <row r="1997" spans="5:12">
      <c r="E1997" s="49">
        <v>45055.62152777068</v>
      </c>
      <c r="F1997" s="56">
        <v>0</v>
      </c>
      <c r="G1997" s="48"/>
      <c r="H1997" s="48"/>
      <c r="I1997" s="48"/>
      <c r="J1997" s="48"/>
      <c r="L1997" s="65"/>
    </row>
    <row r="1998" spans="5:12">
      <c r="E1998" s="49">
        <v>45055.624999992899</v>
      </c>
      <c r="F1998" s="56">
        <v>0</v>
      </c>
      <c r="G1998" s="48"/>
      <c r="H1998" s="48"/>
      <c r="I1998" s="48"/>
      <c r="J1998" s="48"/>
      <c r="L1998" s="65"/>
    </row>
    <row r="1999" spans="5:12">
      <c r="E1999" s="49">
        <v>45055.628472215118</v>
      </c>
      <c r="F1999" s="56">
        <v>0</v>
      </c>
      <c r="G1999" s="48"/>
      <c r="H1999" s="48"/>
      <c r="I1999" s="48"/>
      <c r="J1999" s="48"/>
      <c r="L1999" s="65"/>
    </row>
    <row r="2000" spans="5:12">
      <c r="E2000" s="49">
        <v>45055.631944437337</v>
      </c>
      <c r="F2000" s="56">
        <v>0</v>
      </c>
      <c r="G2000" s="48"/>
      <c r="H2000" s="48"/>
      <c r="I2000" s="48"/>
      <c r="J2000" s="48"/>
      <c r="L2000" s="65"/>
    </row>
    <row r="2001" spans="5:12">
      <c r="E2001" s="49">
        <v>45055.635416659556</v>
      </c>
      <c r="F2001" s="56">
        <v>0</v>
      </c>
      <c r="G2001" s="48"/>
      <c r="H2001" s="48"/>
      <c r="I2001" s="48"/>
      <c r="J2001" s="48"/>
      <c r="L2001" s="65"/>
    </row>
    <row r="2002" spans="5:12">
      <c r="E2002" s="49">
        <v>45055.638888881775</v>
      </c>
      <c r="F2002" s="56">
        <v>0</v>
      </c>
      <c r="G2002" s="48"/>
      <c r="H2002" s="48"/>
      <c r="I2002" s="48"/>
      <c r="J2002" s="48"/>
      <c r="L2002" s="65"/>
    </row>
    <row r="2003" spans="5:12">
      <c r="E2003" s="49">
        <v>45055.642361103994</v>
      </c>
      <c r="F2003" s="56">
        <v>0</v>
      </c>
      <c r="G2003" s="48"/>
      <c r="H2003" s="48"/>
      <c r="I2003" s="48"/>
      <c r="J2003" s="48"/>
      <c r="L2003" s="65"/>
    </row>
    <row r="2004" spans="5:12">
      <c r="E2004" s="49">
        <v>45055.645833326213</v>
      </c>
      <c r="F2004" s="56">
        <v>0</v>
      </c>
      <c r="G2004" s="48"/>
      <c r="H2004" s="48"/>
      <c r="I2004" s="48"/>
      <c r="J2004" s="48"/>
      <c r="L2004" s="65"/>
    </row>
    <row r="2005" spans="5:12">
      <c r="E2005" s="49">
        <v>45055.649305548432</v>
      </c>
      <c r="F2005" s="56">
        <v>0</v>
      </c>
      <c r="G2005" s="48"/>
      <c r="H2005" s="48"/>
      <c r="I2005" s="48"/>
      <c r="J2005" s="48"/>
      <c r="L2005" s="65"/>
    </row>
    <row r="2006" spans="5:12">
      <c r="E2006" s="49">
        <v>45055.652777770651</v>
      </c>
      <c r="F2006" s="56">
        <v>0</v>
      </c>
      <c r="G2006" s="48"/>
      <c r="H2006" s="48"/>
      <c r="I2006" s="48"/>
      <c r="J2006" s="48"/>
      <c r="L2006" s="65"/>
    </row>
    <row r="2007" spans="5:12">
      <c r="E2007" s="49">
        <v>45055.65624999287</v>
      </c>
      <c r="F2007" s="56">
        <v>0</v>
      </c>
      <c r="G2007" s="48"/>
      <c r="H2007" s="48"/>
      <c r="I2007" s="48"/>
      <c r="J2007" s="48"/>
      <c r="L2007" s="65"/>
    </row>
    <row r="2008" spans="5:12">
      <c r="E2008" s="49">
        <v>45055.659722215089</v>
      </c>
      <c r="F2008" s="56">
        <v>0</v>
      </c>
      <c r="G2008" s="48"/>
      <c r="H2008" s="48"/>
      <c r="I2008" s="48"/>
      <c r="J2008" s="48"/>
      <c r="L2008" s="65"/>
    </row>
    <row r="2009" spans="5:12">
      <c r="E2009" s="49">
        <v>45055.663194437308</v>
      </c>
      <c r="F2009" s="56">
        <v>0</v>
      </c>
      <c r="G2009" s="48"/>
      <c r="H2009" s="48"/>
      <c r="I2009" s="48"/>
      <c r="J2009" s="48"/>
      <c r="L2009" s="65"/>
    </row>
    <row r="2010" spans="5:12">
      <c r="E2010" s="49">
        <v>45055.666666659527</v>
      </c>
      <c r="F2010" s="56">
        <v>0</v>
      </c>
      <c r="G2010" s="48"/>
      <c r="H2010" s="48"/>
      <c r="I2010" s="48"/>
      <c r="J2010" s="48"/>
      <c r="L2010" s="65"/>
    </row>
    <row r="2011" spans="5:12">
      <c r="E2011" s="49">
        <v>45055.670138881746</v>
      </c>
      <c r="F2011" s="56">
        <v>0</v>
      </c>
      <c r="G2011" s="48"/>
      <c r="H2011" s="48"/>
      <c r="I2011" s="48"/>
      <c r="J2011" s="48"/>
      <c r="L2011" s="65"/>
    </row>
    <row r="2012" spans="5:12">
      <c r="E2012" s="49">
        <v>45055.673611103965</v>
      </c>
      <c r="F2012" s="56">
        <v>0</v>
      </c>
      <c r="G2012" s="48"/>
      <c r="H2012" s="48"/>
      <c r="I2012" s="48"/>
      <c r="J2012" s="48"/>
      <c r="L2012" s="65"/>
    </row>
    <row r="2013" spans="5:12">
      <c r="E2013" s="49">
        <v>45055.677083326183</v>
      </c>
      <c r="F2013" s="56">
        <v>0</v>
      </c>
      <c r="G2013" s="48"/>
      <c r="H2013" s="48"/>
      <c r="I2013" s="48"/>
      <c r="J2013" s="48"/>
      <c r="L2013" s="65"/>
    </row>
    <row r="2014" spans="5:12">
      <c r="E2014" s="49">
        <v>45055.680555548402</v>
      </c>
      <c r="F2014" s="56">
        <v>0</v>
      </c>
      <c r="G2014" s="48"/>
      <c r="H2014" s="48"/>
      <c r="I2014" s="48"/>
      <c r="J2014" s="48"/>
      <c r="L2014" s="65"/>
    </row>
    <row r="2015" spans="5:12">
      <c r="E2015" s="49">
        <v>45055.684027770621</v>
      </c>
      <c r="F2015" s="56">
        <v>0</v>
      </c>
      <c r="G2015" s="48"/>
      <c r="H2015" s="48"/>
      <c r="I2015" s="48"/>
      <c r="J2015" s="48"/>
      <c r="L2015" s="65"/>
    </row>
    <row r="2016" spans="5:12">
      <c r="E2016" s="49">
        <v>45055.68749999284</v>
      </c>
      <c r="F2016" s="56">
        <v>0</v>
      </c>
      <c r="G2016" s="48"/>
      <c r="H2016" s="48"/>
      <c r="I2016" s="48"/>
      <c r="J2016" s="48"/>
      <c r="L2016" s="65"/>
    </row>
    <row r="2017" spans="5:12">
      <c r="E2017" s="49">
        <v>45055.690972215059</v>
      </c>
      <c r="F2017" s="56">
        <v>0</v>
      </c>
      <c r="G2017" s="48"/>
      <c r="H2017" s="48"/>
      <c r="I2017" s="48"/>
      <c r="J2017" s="48"/>
      <c r="L2017" s="65"/>
    </row>
    <row r="2018" spans="5:12">
      <c r="E2018" s="49">
        <v>45055.694444437278</v>
      </c>
      <c r="F2018" s="56">
        <v>0</v>
      </c>
      <c r="G2018" s="48"/>
      <c r="H2018" s="48"/>
      <c r="I2018" s="48"/>
      <c r="J2018" s="48"/>
      <c r="L2018" s="65"/>
    </row>
    <row r="2019" spans="5:12">
      <c r="E2019" s="49">
        <v>45055.697916659497</v>
      </c>
      <c r="F2019" s="56">
        <v>0</v>
      </c>
      <c r="G2019" s="48"/>
      <c r="H2019" s="48"/>
      <c r="I2019" s="48"/>
      <c r="J2019" s="48"/>
      <c r="L2019" s="65"/>
    </row>
    <row r="2020" spans="5:12">
      <c r="E2020" s="49">
        <v>45055.701388881716</v>
      </c>
      <c r="F2020" s="56">
        <v>0</v>
      </c>
      <c r="G2020" s="48"/>
      <c r="H2020" s="48"/>
      <c r="I2020" s="48"/>
      <c r="J2020" s="48"/>
      <c r="L2020" s="65"/>
    </row>
    <row r="2021" spans="5:12">
      <c r="E2021" s="49">
        <v>45055.704861103935</v>
      </c>
      <c r="F2021" s="56">
        <v>0</v>
      </c>
      <c r="G2021" s="48"/>
      <c r="H2021" s="48"/>
      <c r="I2021" s="48"/>
      <c r="J2021" s="48"/>
      <c r="L2021" s="65"/>
    </row>
    <row r="2022" spans="5:12">
      <c r="E2022" s="49">
        <v>45055.708333326154</v>
      </c>
      <c r="F2022" s="56">
        <v>0</v>
      </c>
      <c r="G2022" s="48"/>
      <c r="H2022" s="48"/>
      <c r="I2022" s="48"/>
      <c r="J2022" s="48"/>
      <c r="L2022" s="65"/>
    </row>
    <row r="2023" spans="5:12">
      <c r="E2023" s="49">
        <v>45055.711805548373</v>
      </c>
      <c r="F2023" s="56">
        <v>0</v>
      </c>
      <c r="G2023" s="48"/>
      <c r="H2023" s="48"/>
      <c r="I2023" s="48"/>
      <c r="J2023" s="48"/>
      <c r="L2023" s="65"/>
    </row>
    <row r="2024" spans="5:12">
      <c r="E2024" s="49">
        <v>45055.715277770592</v>
      </c>
      <c r="F2024" s="56">
        <v>0</v>
      </c>
      <c r="G2024" s="48"/>
      <c r="H2024" s="48"/>
      <c r="I2024" s="48"/>
      <c r="J2024" s="48"/>
      <c r="L2024" s="65"/>
    </row>
    <row r="2025" spans="5:12">
      <c r="E2025" s="49">
        <v>45055.718749992811</v>
      </c>
      <c r="F2025" s="56">
        <v>0</v>
      </c>
      <c r="G2025" s="48"/>
      <c r="H2025" s="48"/>
      <c r="I2025" s="48"/>
      <c r="J2025" s="48"/>
      <c r="L2025" s="65"/>
    </row>
    <row r="2026" spans="5:12">
      <c r="E2026" s="49">
        <v>45055.72222221503</v>
      </c>
      <c r="F2026" s="56">
        <v>0</v>
      </c>
      <c r="G2026" s="48"/>
      <c r="H2026" s="48"/>
      <c r="I2026" s="48"/>
      <c r="J2026" s="48"/>
      <c r="L2026" s="65"/>
    </row>
    <row r="2027" spans="5:12">
      <c r="E2027" s="49">
        <v>45055.725694437249</v>
      </c>
      <c r="F2027" s="56">
        <v>0</v>
      </c>
      <c r="G2027" s="48"/>
      <c r="H2027" s="48"/>
      <c r="I2027" s="48"/>
      <c r="J2027" s="48"/>
      <c r="L2027" s="65"/>
    </row>
    <row r="2028" spans="5:12">
      <c r="E2028" s="49">
        <v>45055.729166659468</v>
      </c>
      <c r="F2028" s="56">
        <v>0</v>
      </c>
      <c r="G2028" s="48"/>
      <c r="H2028" s="48"/>
      <c r="I2028" s="48"/>
      <c r="J2028" s="48"/>
      <c r="L2028" s="65"/>
    </row>
    <row r="2029" spans="5:12">
      <c r="E2029" s="49">
        <v>45055.732638881687</v>
      </c>
      <c r="F2029" s="56">
        <v>0</v>
      </c>
      <c r="G2029" s="48"/>
      <c r="H2029" s="48"/>
      <c r="I2029" s="48"/>
      <c r="J2029" s="48"/>
      <c r="L2029" s="65"/>
    </row>
    <row r="2030" spans="5:12">
      <c r="E2030" s="49">
        <v>45055.736111103906</v>
      </c>
      <c r="F2030" s="56">
        <v>0</v>
      </c>
      <c r="G2030" s="48"/>
      <c r="H2030" s="48"/>
      <c r="I2030" s="48"/>
      <c r="J2030" s="48"/>
      <c r="L2030" s="65"/>
    </row>
    <row r="2031" spans="5:12">
      <c r="E2031" s="49">
        <v>45055.739583326125</v>
      </c>
      <c r="F2031" s="56">
        <v>0</v>
      </c>
      <c r="G2031" s="48"/>
      <c r="H2031" s="48"/>
      <c r="I2031" s="48"/>
      <c r="J2031" s="48"/>
      <c r="L2031" s="65"/>
    </row>
    <row r="2032" spans="5:12">
      <c r="E2032" s="49">
        <v>45055.743055548344</v>
      </c>
      <c r="F2032" s="56">
        <v>0</v>
      </c>
      <c r="G2032" s="48"/>
      <c r="H2032" s="48"/>
      <c r="I2032" s="48"/>
      <c r="J2032" s="48"/>
      <c r="L2032" s="65"/>
    </row>
    <row r="2033" spans="5:12">
      <c r="E2033" s="49">
        <v>45055.746527770563</v>
      </c>
      <c r="F2033" s="56">
        <v>0</v>
      </c>
      <c r="G2033" s="48"/>
      <c r="H2033" s="48"/>
      <c r="I2033" s="48"/>
      <c r="J2033" s="48"/>
      <c r="L2033" s="65"/>
    </row>
    <row r="2034" spans="5:12">
      <c r="E2034" s="49">
        <v>45055.749999992782</v>
      </c>
      <c r="F2034" s="56">
        <v>0</v>
      </c>
      <c r="G2034" s="48"/>
      <c r="H2034" s="48"/>
      <c r="I2034" s="48"/>
      <c r="J2034" s="48"/>
      <c r="L2034" s="65"/>
    </row>
    <row r="2035" spans="5:12">
      <c r="E2035" s="49">
        <v>45055.753472215001</v>
      </c>
      <c r="F2035" s="56">
        <v>0</v>
      </c>
      <c r="G2035" s="48"/>
      <c r="H2035" s="48"/>
      <c r="I2035" s="48"/>
      <c r="J2035" s="48"/>
      <c r="L2035" s="65"/>
    </row>
    <row r="2036" spans="5:12">
      <c r="E2036" s="49">
        <v>45055.75694443722</v>
      </c>
      <c r="F2036" s="56">
        <v>0</v>
      </c>
      <c r="G2036" s="48"/>
      <c r="H2036" s="48"/>
      <c r="I2036" s="48"/>
      <c r="J2036" s="48"/>
      <c r="L2036" s="65"/>
    </row>
    <row r="2037" spans="5:12">
      <c r="E2037" s="49">
        <v>45055.760416659439</v>
      </c>
      <c r="F2037" s="56">
        <v>0</v>
      </c>
      <c r="G2037" s="48"/>
      <c r="H2037" s="48"/>
      <c r="I2037" s="48"/>
      <c r="J2037" s="48"/>
      <c r="L2037" s="65"/>
    </row>
    <row r="2038" spans="5:12">
      <c r="E2038" s="49">
        <v>45055.763888881658</v>
      </c>
      <c r="F2038" s="56">
        <v>0</v>
      </c>
      <c r="G2038" s="48"/>
      <c r="H2038" s="48"/>
      <c r="I2038" s="48"/>
      <c r="J2038" s="48"/>
      <c r="L2038" s="65"/>
    </row>
    <row r="2039" spans="5:12">
      <c r="E2039" s="49">
        <v>45055.767361103877</v>
      </c>
      <c r="F2039" s="56">
        <v>0</v>
      </c>
      <c r="G2039" s="48"/>
      <c r="H2039" s="48"/>
      <c r="I2039" s="48"/>
      <c r="J2039" s="48"/>
      <c r="L2039" s="65"/>
    </row>
    <row r="2040" spans="5:12">
      <c r="E2040" s="49">
        <v>45055.770833326096</v>
      </c>
      <c r="F2040" s="56">
        <v>0</v>
      </c>
      <c r="G2040" s="48"/>
      <c r="H2040" s="48"/>
      <c r="I2040" s="48"/>
      <c r="J2040" s="48"/>
      <c r="L2040" s="65"/>
    </row>
    <row r="2041" spans="5:12">
      <c r="E2041" s="49">
        <v>45055.774305548315</v>
      </c>
      <c r="F2041" s="56">
        <v>0</v>
      </c>
      <c r="G2041" s="48"/>
      <c r="H2041" s="48"/>
      <c r="I2041" s="48"/>
      <c r="J2041" s="48"/>
      <c r="L2041" s="65"/>
    </row>
    <row r="2042" spans="5:12">
      <c r="E2042" s="49">
        <v>45055.777777770534</v>
      </c>
      <c r="F2042" s="56">
        <v>0</v>
      </c>
      <c r="G2042" s="48"/>
      <c r="H2042" s="48"/>
      <c r="I2042" s="48"/>
      <c r="J2042" s="48"/>
      <c r="L2042" s="65"/>
    </row>
    <row r="2043" spans="5:12">
      <c r="E2043" s="49">
        <v>45055.781249992753</v>
      </c>
      <c r="F2043" s="56">
        <v>0</v>
      </c>
      <c r="G2043" s="48"/>
      <c r="H2043" s="48"/>
      <c r="I2043" s="48"/>
      <c r="J2043" s="48"/>
      <c r="L2043" s="65"/>
    </row>
    <row r="2044" spans="5:12">
      <c r="E2044" s="49">
        <v>45055.784722214972</v>
      </c>
      <c r="F2044" s="56">
        <v>0</v>
      </c>
      <c r="G2044" s="48"/>
      <c r="H2044" s="48"/>
      <c r="I2044" s="48"/>
      <c r="J2044" s="48"/>
      <c r="L2044" s="65"/>
    </row>
    <row r="2045" spans="5:12">
      <c r="E2045" s="49">
        <v>45055.788194437191</v>
      </c>
      <c r="F2045" s="56">
        <v>0</v>
      </c>
      <c r="G2045" s="48"/>
      <c r="H2045" s="48"/>
      <c r="I2045" s="48"/>
      <c r="J2045" s="48"/>
      <c r="L2045" s="65"/>
    </row>
    <row r="2046" spans="5:12">
      <c r="E2046" s="49">
        <v>45055.79166665941</v>
      </c>
      <c r="F2046" s="56">
        <v>0</v>
      </c>
      <c r="G2046" s="48"/>
      <c r="H2046" s="48"/>
      <c r="I2046" s="48"/>
      <c r="J2046" s="48"/>
      <c r="L2046" s="65"/>
    </row>
    <row r="2047" spans="5:12">
      <c r="E2047" s="49">
        <v>45055.795138881629</v>
      </c>
      <c r="F2047" s="56">
        <v>0</v>
      </c>
      <c r="G2047" s="48"/>
      <c r="H2047" s="48"/>
      <c r="I2047" s="48"/>
      <c r="J2047" s="48"/>
      <c r="L2047" s="65"/>
    </row>
    <row r="2048" spans="5:12">
      <c r="E2048" s="49">
        <v>45055.798611103848</v>
      </c>
      <c r="F2048" s="56">
        <v>0</v>
      </c>
      <c r="G2048" s="48"/>
      <c r="H2048" s="48"/>
      <c r="I2048" s="48"/>
      <c r="J2048" s="48"/>
      <c r="L2048" s="65"/>
    </row>
    <row r="2049" spans="5:12">
      <c r="E2049" s="49">
        <v>45055.802083326067</v>
      </c>
      <c r="F2049" s="56">
        <v>0</v>
      </c>
      <c r="G2049" s="48"/>
      <c r="H2049" s="48"/>
      <c r="I2049" s="48"/>
      <c r="J2049" s="48"/>
      <c r="L2049" s="65"/>
    </row>
    <row r="2050" spans="5:12">
      <c r="E2050" s="49">
        <v>45055.805555548286</v>
      </c>
      <c r="F2050" s="56">
        <v>0</v>
      </c>
      <c r="G2050" s="48"/>
      <c r="H2050" s="48"/>
      <c r="I2050" s="48"/>
      <c r="J2050" s="48"/>
      <c r="L2050" s="65"/>
    </row>
    <row r="2051" spans="5:12">
      <c r="E2051" s="49">
        <v>45055.809027770505</v>
      </c>
      <c r="F2051" s="56">
        <v>0</v>
      </c>
      <c r="G2051" s="48"/>
      <c r="H2051" s="48"/>
      <c r="I2051" s="48"/>
      <c r="J2051" s="48"/>
      <c r="L2051" s="65"/>
    </row>
    <row r="2052" spans="5:12">
      <c r="E2052" s="49">
        <v>45055.812499992724</v>
      </c>
      <c r="F2052" s="56">
        <v>0</v>
      </c>
      <c r="G2052" s="48"/>
      <c r="H2052" s="48"/>
      <c r="I2052" s="48"/>
      <c r="J2052" s="48"/>
      <c r="L2052" s="65"/>
    </row>
    <row r="2053" spans="5:12">
      <c r="E2053" s="49">
        <v>45055.815972214943</v>
      </c>
      <c r="F2053" s="56">
        <v>0</v>
      </c>
      <c r="G2053" s="48"/>
      <c r="H2053" s="48"/>
      <c r="I2053" s="48"/>
      <c r="J2053" s="48"/>
      <c r="L2053" s="65"/>
    </row>
    <row r="2054" spans="5:12">
      <c r="E2054" s="49">
        <v>45055.819444437162</v>
      </c>
      <c r="F2054" s="56">
        <v>0</v>
      </c>
      <c r="G2054" s="48"/>
      <c r="H2054" s="48"/>
      <c r="I2054" s="48"/>
      <c r="J2054" s="48"/>
      <c r="L2054" s="65"/>
    </row>
    <row r="2055" spans="5:12">
      <c r="E2055" s="49">
        <v>45055.822916659381</v>
      </c>
      <c r="F2055" s="56">
        <v>0</v>
      </c>
      <c r="G2055" s="48"/>
      <c r="H2055" s="48"/>
      <c r="I2055" s="48"/>
      <c r="J2055" s="48"/>
      <c r="L2055" s="65"/>
    </row>
    <row r="2056" spans="5:12">
      <c r="E2056" s="49">
        <v>45055.8263888816</v>
      </c>
      <c r="F2056" s="56">
        <v>0</v>
      </c>
      <c r="G2056" s="48"/>
      <c r="H2056" s="48"/>
      <c r="I2056" s="48"/>
      <c r="J2056" s="48"/>
      <c r="L2056" s="65"/>
    </row>
    <row r="2057" spans="5:12">
      <c r="E2057" s="49">
        <v>45055.829861103819</v>
      </c>
      <c r="F2057" s="56">
        <v>0</v>
      </c>
      <c r="G2057" s="48"/>
      <c r="H2057" s="48"/>
      <c r="I2057" s="48"/>
      <c r="J2057" s="48"/>
      <c r="L2057" s="65"/>
    </row>
    <row r="2058" spans="5:12">
      <c r="E2058" s="49">
        <v>45055.833333326038</v>
      </c>
      <c r="F2058" s="56">
        <v>0</v>
      </c>
      <c r="G2058" s="48"/>
      <c r="H2058" s="48"/>
      <c r="I2058" s="48"/>
      <c r="J2058" s="48"/>
      <c r="L2058" s="65"/>
    </row>
    <row r="2059" spans="5:12">
      <c r="E2059" s="49">
        <v>45055.836805548257</v>
      </c>
      <c r="F2059" s="56">
        <v>0</v>
      </c>
      <c r="G2059" s="48"/>
      <c r="H2059" s="48"/>
      <c r="I2059" s="48"/>
      <c r="J2059" s="48"/>
      <c r="L2059" s="65"/>
    </row>
    <row r="2060" spans="5:12">
      <c r="E2060" s="49">
        <v>45055.840277770476</v>
      </c>
      <c r="F2060" s="56">
        <v>0</v>
      </c>
      <c r="G2060" s="48"/>
      <c r="H2060" s="48"/>
      <c r="I2060" s="48"/>
      <c r="J2060" s="48"/>
      <c r="L2060" s="65"/>
    </row>
    <row r="2061" spans="5:12">
      <c r="E2061" s="49">
        <v>45055.843749992695</v>
      </c>
      <c r="F2061" s="56">
        <v>0</v>
      </c>
      <c r="G2061" s="48"/>
      <c r="H2061" s="48"/>
      <c r="I2061" s="48"/>
      <c r="J2061" s="48"/>
      <c r="L2061" s="65"/>
    </row>
    <row r="2062" spans="5:12">
      <c r="E2062" s="49">
        <v>45055.847222214914</v>
      </c>
      <c r="F2062" s="56">
        <v>0</v>
      </c>
      <c r="G2062" s="48"/>
      <c r="H2062" s="48"/>
      <c r="I2062" s="48"/>
      <c r="J2062" s="48"/>
      <c r="L2062" s="65"/>
    </row>
    <row r="2063" spans="5:12">
      <c r="E2063" s="49">
        <v>45055.850694437133</v>
      </c>
      <c r="F2063" s="56">
        <v>0</v>
      </c>
      <c r="G2063" s="48"/>
      <c r="H2063" s="48"/>
      <c r="I2063" s="48"/>
      <c r="J2063" s="48"/>
      <c r="L2063" s="65"/>
    </row>
    <row r="2064" spans="5:12">
      <c r="E2064" s="49">
        <v>45055.854166659352</v>
      </c>
      <c r="F2064" s="56">
        <v>0</v>
      </c>
      <c r="G2064" s="48"/>
      <c r="H2064" s="48"/>
      <c r="I2064" s="48"/>
      <c r="J2064" s="48"/>
      <c r="L2064" s="65"/>
    </row>
    <row r="2065" spans="5:12">
      <c r="E2065" s="49">
        <v>45055.857638881571</v>
      </c>
      <c r="F2065" s="56">
        <v>0</v>
      </c>
      <c r="G2065" s="48"/>
      <c r="H2065" s="48"/>
      <c r="I2065" s="48"/>
      <c r="J2065" s="48"/>
      <c r="L2065" s="65"/>
    </row>
    <row r="2066" spans="5:12">
      <c r="E2066" s="49">
        <v>45055.86111110379</v>
      </c>
      <c r="F2066" s="56">
        <v>0</v>
      </c>
      <c r="G2066" s="48"/>
      <c r="H2066" s="48"/>
      <c r="I2066" s="48"/>
      <c r="J2066" s="48"/>
      <c r="L2066" s="65"/>
    </row>
    <row r="2067" spans="5:12">
      <c r="E2067" s="49">
        <v>45055.864583326009</v>
      </c>
      <c r="F2067" s="56">
        <v>0</v>
      </c>
      <c r="G2067" s="48"/>
      <c r="H2067" s="48"/>
      <c r="I2067" s="48"/>
      <c r="J2067" s="48"/>
      <c r="L2067" s="65"/>
    </row>
    <row r="2068" spans="5:12">
      <c r="E2068" s="49">
        <v>45055.868055548228</v>
      </c>
      <c r="F2068" s="56">
        <v>0</v>
      </c>
      <c r="G2068" s="48"/>
      <c r="H2068" s="48"/>
      <c r="I2068" s="48"/>
      <c r="J2068" s="48"/>
      <c r="L2068" s="65"/>
    </row>
    <row r="2069" spans="5:12">
      <c r="E2069" s="49">
        <v>45055.871527770447</v>
      </c>
      <c r="F2069" s="56">
        <v>0</v>
      </c>
      <c r="G2069" s="48"/>
      <c r="H2069" s="48"/>
      <c r="I2069" s="48"/>
      <c r="J2069" s="48"/>
      <c r="L2069" s="65"/>
    </row>
    <row r="2070" spans="5:12">
      <c r="E2070" s="49">
        <v>45055.874999992666</v>
      </c>
      <c r="F2070" s="56">
        <v>0</v>
      </c>
      <c r="G2070" s="48"/>
      <c r="H2070" s="48"/>
      <c r="I2070" s="48"/>
      <c r="J2070" s="48"/>
      <c r="L2070" s="65"/>
    </row>
    <row r="2071" spans="5:12">
      <c r="E2071" s="49">
        <v>45055.878472214885</v>
      </c>
      <c r="F2071" s="56">
        <v>0</v>
      </c>
      <c r="G2071" s="48"/>
      <c r="H2071" s="48"/>
      <c r="I2071" s="48"/>
      <c r="J2071" s="48"/>
      <c r="L2071" s="65"/>
    </row>
    <row r="2072" spans="5:12">
      <c r="E2072" s="49">
        <v>45055.881944437104</v>
      </c>
      <c r="F2072" s="56">
        <v>0</v>
      </c>
      <c r="G2072" s="48"/>
      <c r="H2072" s="48"/>
      <c r="I2072" s="48"/>
      <c r="J2072" s="48"/>
      <c r="L2072" s="65"/>
    </row>
    <row r="2073" spans="5:12">
      <c r="E2073" s="49">
        <v>45055.885416659323</v>
      </c>
      <c r="F2073" s="56">
        <v>0</v>
      </c>
      <c r="G2073" s="48"/>
      <c r="H2073" s="48"/>
      <c r="I2073" s="48"/>
      <c r="J2073" s="48"/>
      <c r="L2073" s="65"/>
    </row>
    <row r="2074" spans="5:12">
      <c r="E2074" s="49">
        <v>45055.888888881542</v>
      </c>
      <c r="F2074" s="56">
        <v>0</v>
      </c>
      <c r="G2074" s="48"/>
      <c r="H2074" s="48"/>
      <c r="I2074" s="48"/>
      <c r="J2074" s="48"/>
      <c r="L2074" s="65"/>
    </row>
    <row r="2075" spans="5:12">
      <c r="E2075" s="49">
        <v>45055.892361103761</v>
      </c>
      <c r="F2075" s="56">
        <v>0</v>
      </c>
      <c r="G2075" s="48"/>
      <c r="H2075" s="48"/>
      <c r="I2075" s="48"/>
      <c r="J2075" s="48"/>
      <c r="L2075" s="65"/>
    </row>
    <row r="2076" spans="5:12">
      <c r="E2076" s="49">
        <v>45055.89583332598</v>
      </c>
      <c r="F2076" s="56">
        <v>0</v>
      </c>
      <c r="G2076" s="48"/>
      <c r="H2076" s="48"/>
      <c r="I2076" s="48"/>
      <c r="J2076" s="48"/>
      <c r="L2076" s="65"/>
    </row>
    <row r="2077" spans="5:12">
      <c r="E2077" s="49">
        <v>45055.899305548199</v>
      </c>
      <c r="F2077" s="56">
        <v>0</v>
      </c>
      <c r="G2077" s="48"/>
      <c r="H2077" s="48"/>
      <c r="I2077" s="48"/>
      <c r="J2077" s="48"/>
      <c r="L2077" s="65"/>
    </row>
    <row r="2078" spans="5:12">
      <c r="E2078" s="49">
        <v>45055.902777770418</v>
      </c>
      <c r="F2078" s="56">
        <v>0</v>
      </c>
      <c r="G2078" s="48"/>
      <c r="H2078" s="48"/>
      <c r="I2078" s="48"/>
      <c r="J2078" s="48"/>
      <c r="L2078" s="65"/>
    </row>
    <row r="2079" spans="5:12">
      <c r="E2079" s="49">
        <v>45055.906249992637</v>
      </c>
      <c r="F2079" s="56">
        <v>0</v>
      </c>
      <c r="G2079" s="48"/>
      <c r="H2079" s="48"/>
      <c r="I2079" s="48"/>
      <c r="J2079" s="48"/>
      <c r="L2079" s="65"/>
    </row>
    <row r="2080" spans="5:12">
      <c r="E2080" s="49">
        <v>45055.909722214856</v>
      </c>
      <c r="F2080" s="56">
        <v>0</v>
      </c>
      <c r="G2080" s="48"/>
      <c r="H2080" s="48"/>
      <c r="I2080" s="48"/>
      <c r="J2080" s="48"/>
      <c r="L2080" s="65"/>
    </row>
    <row r="2081" spans="5:12">
      <c r="E2081" s="49">
        <v>45055.913194437075</v>
      </c>
      <c r="F2081" s="56">
        <v>0</v>
      </c>
      <c r="G2081" s="48"/>
      <c r="H2081" s="48"/>
      <c r="I2081" s="48"/>
      <c r="J2081" s="48"/>
      <c r="L2081" s="65"/>
    </row>
    <row r="2082" spans="5:12">
      <c r="E2082" s="49">
        <v>45055.916666659294</v>
      </c>
      <c r="F2082" s="56">
        <v>0</v>
      </c>
      <c r="G2082" s="48"/>
      <c r="H2082" s="48"/>
      <c r="I2082" s="48"/>
      <c r="J2082" s="48"/>
      <c r="L2082" s="65"/>
    </row>
    <row r="2083" spans="5:12">
      <c r="E2083" s="49">
        <v>45055.920138881513</v>
      </c>
      <c r="F2083" s="56">
        <v>0</v>
      </c>
      <c r="G2083" s="48"/>
      <c r="H2083" s="48"/>
      <c r="I2083" s="48"/>
      <c r="J2083" s="48"/>
      <c r="L2083" s="65"/>
    </row>
    <row r="2084" spans="5:12">
      <c r="E2084" s="49">
        <v>45055.923611103732</v>
      </c>
      <c r="F2084" s="56">
        <v>0</v>
      </c>
      <c r="G2084" s="48"/>
      <c r="H2084" s="48"/>
      <c r="I2084" s="48"/>
      <c r="J2084" s="48"/>
      <c r="L2084" s="65"/>
    </row>
    <row r="2085" spans="5:12">
      <c r="E2085" s="49">
        <v>45055.927083325951</v>
      </c>
      <c r="F2085" s="56">
        <v>0</v>
      </c>
      <c r="G2085" s="48"/>
      <c r="H2085" s="48"/>
      <c r="I2085" s="48"/>
      <c r="J2085" s="48"/>
      <c r="L2085" s="65"/>
    </row>
    <row r="2086" spans="5:12">
      <c r="E2086" s="49">
        <v>45055.93055554817</v>
      </c>
      <c r="F2086" s="56">
        <v>0</v>
      </c>
      <c r="G2086" s="48"/>
      <c r="H2086" s="48"/>
      <c r="I2086" s="48"/>
      <c r="J2086" s="48"/>
      <c r="L2086" s="65"/>
    </row>
    <row r="2087" spans="5:12">
      <c r="E2087" s="49">
        <v>45055.934027770389</v>
      </c>
      <c r="F2087" s="56">
        <v>0</v>
      </c>
      <c r="G2087" s="48"/>
      <c r="H2087" s="48"/>
      <c r="I2087" s="48"/>
      <c r="J2087" s="48"/>
      <c r="L2087" s="65"/>
    </row>
    <row r="2088" spans="5:12">
      <c r="E2088" s="49">
        <v>45055.937499992608</v>
      </c>
      <c r="F2088" s="56">
        <v>0</v>
      </c>
      <c r="G2088" s="48"/>
      <c r="H2088" s="48"/>
      <c r="I2088" s="48"/>
      <c r="J2088" s="48"/>
      <c r="L2088" s="65"/>
    </row>
    <row r="2089" spans="5:12">
      <c r="E2089" s="49">
        <v>45055.940972214827</v>
      </c>
      <c r="F2089" s="56">
        <v>0</v>
      </c>
      <c r="G2089" s="48"/>
      <c r="H2089" s="48"/>
      <c r="I2089" s="48"/>
      <c r="J2089" s="48"/>
      <c r="L2089" s="65"/>
    </row>
    <row r="2090" spans="5:12">
      <c r="E2090" s="49">
        <v>45055.944444437046</v>
      </c>
      <c r="F2090" s="56">
        <v>0</v>
      </c>
      <c r="G2090" s="48"/>
      <c r="H2090" s="48"/>
      <c r="I2090" s="48"/>
      <c r="J2090" s="48"/>
      <c r="L2090" s="65"/>
    </row>
    <row r="2091" spans="5:12">
      <c r="E2091" s="49">
        <v>45055.947916659265</v>
      </c>
      <c r="F2091" s="56">
        <v>0</v>
      </c>
      <c r="G2091" s="48"/>
      <c r="H2091" s="48"/>
      <c r="I2091" s="48"/>
      <c r="J2091" s="48"/>
      <c r="L2091" s="65"/>
    </row>
    <row r="2092" spans="5:12">
      <c r="E2092" s="49">
        <v>45055.951388881484</v>
      </c>
      <c r="F2092" s="56">
        <v>0</v>
      </c>
      <c r="G2092" s="48"/>
      <c r="H2092" s="48"/>
      <c r="I2092" s="48"/>
      <c r="J2092" s="48"/>
      <c r="L2092" s="65"/>
    </row>
    <row r="2093" spans="5:12">
      <c r="E2093" s="49">
        <v>45055.954861103703</v>
      </c>
      <c r="F2093" s="56">
        <v>0</v>
      </c>
      <c r="G2093" s="48"/>
      <c r="H2093" s="48"/>
      <c r="I2093" s="48"/>
      <c r="J2093" s="48"/>
      <c r="L2093" s="65"/>
    </row>
    <row r="2094" spans="5:12">
      <c r="E2094" s="49">
        <v>45055.958333325922</v>
      </c>
      <c r="F2094" s="56">
        <v>0</v>
      </c>
      <c r="G2094" s="48"/>
      <c r="H2094" s="48"/>
      <c r="I2094" s="48"/>
      <c r="J2094" s="48"/>
      <c r="L2094" s="65"/>
    </row>
    <row r="2095" spans="5:12">
      <c r="E2095" s="49">
        <v>45055.961805548141</v>
      </c>
      <c r="F2095" s="56">
        <v>0</v>
      </c>
      <c r="G2095" s="48"/>
      <c r="H2095" s="48"/>
      <c r="I2095" s="48"/>
      <c r="J2095" s="48"/>
      <c r="L2095" s="65"/>
    </row>
    <row r="2096" spans="5:12">
      <c r="E2096" s="49">
        <v>45055.96527777036</v>
      </c>
      <c r="F2096" s="56">
        <v>0</v>
      </c>
      <c r="G2096" s="48"/>
      <c r="H2096" s="48"/>
      <c r="I2096" s="48"/>
      <c r="J2096" s="48"/>
      <c r="L2096" s="65"/>
    </row>
    <row r="2097" spans="5:12">
      <c r="E2097" s="49">
        <v>45055.968749992579</v>
      </c>
      <c r="F2097" s="56">
        <v>0</v>
      </c>
      <c r="G2097" s="48"/>
      <c r="H2097" s="48"/>
      <c r="I2097" s="48"/>
      <c r="J2097" s="48"/>
      <c r="L2097" s="65"/>
    </row>
    <row r="2098" spans="5:12">
      <c r="E2098" s="49">
        <v>45055.972222214798</v>
      </c>
      <c r="F2098" s="56">
        <v>0</v>
      </c>
      <c r="G2098" s="48"/>
      <c r="H2098" s="48"/>
      <c r="I2098" s="48"/>
      <c r="J2098" s="48"/>
      <c r="L2098" s="65"/>
    </row>
    <row r="2099" spans="5:12">
      <c r="E2099" s="49">
        <v>45055.975694437017</v>
      </c>
      <c r="F2099" s="56">
        <v>0</v>
      </c>
      <c r="G2099" s="48"/>
      <c r="H2099" s="48"/>
      <c r="I2099" s="48"/>
      <c r="J2099" s="48"/>
      <c r="L2099" s="65"/>
    </row>
    <row r="2100" spans="5:12">
      <c r="E2100" s="49">
        <v>45055.979166659235</v>
      </c>
      <c r="F2100" s="56">
        <v>0</v>
      </c>
      <c r="G2100" s="48"/>
      <c r="H2100" s="48"/>
      <c r="I2100" s="48"/>
      <c r="J2100" s="48"/>
      <c r="L2100" s="65"/>
    </row>
    <row r="2101" spans="5:12">
      <c r="E2101" s="49">
        <v>45055.982638881454</v>
      </c>
      <c r="F2101" s="56">
        <v>0</v>
      </c>
      <c r="G2101" s="48"/>
      <c r="H2101" s="48"/>
      <c r="I2101" s="48"/>
      <c r="J2101" s="48"/>
      <c r="L2101" s="65"/>
    </row>
    <row r="2102" spans="5:12">
      <c r="E2102" s="49">
        <v>45055.986111103673</v>
      </c>
      <c r="F2102" s="56">
        <v>0</v>
      </c>
      <c r="G2102" s="48"/>
      <c r="H2102" s="48"/>
      <c r="I2102" s="48"/>
      <c r="J2102" s="48"/>
      <c r="L2102" s="65"/>
    </row>
    <row r="2103" spans="5:12">
      <c r="E2103" s="49">
        <v>45055.989583325892</v>
      </c>
      <c r="F2103" s="56">
        <v>0</v>
      </c>
      <c r="G2103" s="48"/>
      <c r="H2103" s="48"/>
      <c r="I2103" s="48"/>
      <c r="J2103" s="48"/>
      <c r="L2103" s="65"/>
    </row>
    <row r="2104" spans="5:12">
      <c r="E2104" s="49">
        <v>45055.993055548111</v>
      </c>
      <c r="F2104" s="56">
        <v>0</v>
      </c>
      <c r="G2104" s="48"/>
      <c r="H2104" s="48"/>
      <c r="I2104" s="48"/>
      <c r="J2104" s="48"/>
      <c r="L2104" s="65"/>
    </row>
    <row r="2105" spans="5:12">
      <c r="E2105" s="49">
        <v>45055.99652777033</v>
      </c>
      <c r="F2105" s="56">
        <v>0</v>
      </c>
      <c r="G2105" s="48"/>
      <c r="H2105" s="48"/>
      <c r="I2105" s="48"/>
      <c r="J2105" s="48"/>
      <c r="L2105" s="65"/>
    </row>
    <row r="2106" spans="5:12">
      <c r="E2106" s="49">
        <v>45055.999999992549</v>
      </c>
      <c r="F2106" s="56">
        <v>0</v>
      </c>
      <c r="G2106" s="48"/>
      <c r="H2106" s="48"/>
      <c r="I2106" s="48"/>
      <c r="J2106" s="48"/>
      <c r="L2106" s="65"/>
    </row>
    <row r="2107" spans="5:12">
      <c r="E2107" s="49">
        <v>45056.003472214768</v>
      </c>
      <c r="F2107" s="56">
        <v>0</v>
      </c>
      <c r="G2107" s="48"/>
      <c r="H2107" s="48"/>
      <c r="I2107" s="48"/>
      <c r="J2107" s="48"/>
      <c r="L2107" s="65"/>
    </row>
    <row r="2108" spans="5:12">
      <c r="E2108" s="49">
        <v>45056.006944436987</v>
      </c>
      <c r="F2108" s="56">
        <v>0</v>
      </c>
      <c r="G2108" s="48"/>
      <c r="H2108" s="48"/>
      <c r="I2108" s="48"/>
      <c r="J2108" s="48"/>
      <c r="L2108" s="65"/>
    </row>
    <row r="2109" spans="5:12">
      <c r="E2109" s="49">
        <v>45056.010416659206</v>
      </c>
      <c r="F2109" s="56">
        <v>0</v>
      </c>
      <c r="G2109" s="48"/>
      <c r="H2109" s="48"/>
      <c r="I2109" s="48"/>
      <c r="J2109" s="48"/>
      <c r="L2109" s="65"/>
    </row>
    <row r="2110" spans="5:12">
      <c r="E2110" s="49">
        <v>45056.013888881425</v>
      </c>
      <c r="F2110" s="56">
        <v>0</v>
      </c>
      <c r="G2110" s="48"/>
      <c r="H2110" s="48"/>
      <c r="I2110" s="48"/>
      <c r="J2110" s="48"/>
      <c r="L2110" s="65"/>
    </row>
    <row r="2111" spans="5:12">
      <c r="E2111" s="49">
        <v>45056.017361103644</v>
      </c>
      <c r="F2111" s="56">
        <v>0</v>
      </c>
      <c r="G2111" s="48"/>
      <c r="H2111" s="48"/>
      <c r="I2111" s="48"/>
      <c r="J2111" s="48"/>
      <c r="L2111" s="65"/>
    </row>
    <row r="2112" spans="5:12">
      <c r="E2112" s="49">
        <v>45056.020833325863</v>
      </c>
      <c r="F2112" s="56">
        <v>0</v>
      </c>
      <c r="G2112" s="48"/>
      <c r="H2112" s="48"/>
      <c r="I2112" s="48"/>
      <c r="J2112" s="48"/>
      <c r="L2112" s="65"/>
    </row>
    <row r="2113" spans="5:12">
      <c r="E2113" s="49">
        <v>45056.024305548082</v>
      </c>
      <c r="F2113" s="56">
        <v>0</v>
      </c>
      <c r="G2113" s="48"/>
      <c r="H2113" s="48"/>
      <c r="I2113" s="48"/>
      <c r="J2113" s="48"/>
      <c r="L2113" s="65"/>
    </row>
    <row r="2114" spans="5:12">
      <c r="E2114" s="49">
        <v>45056.027777770301</v>
      </c>
      <c r="F2114" s="56">
        <v>0</v>
      </c>
      <c r="G2114" s="48"/>
      <c r="H2114" s="48"/>
      <c r="I2114" s="48"/>
      <c r="J2114" s="48"/>
      <c r="L2114" s="65"/>
    </row>
    <row r="2115" spans="5:12">
      <c r="E2115" s="49">
        <v>45056.03124999252</v>
      </c>
      <c r="F2115" s="56">
        <v>0</v>
      </c>
      <c r="G2115" s="48"/>
      <c r="H2115" s="48"/>
      <c r="I2115" s="48"/>
      <c r="J2115" s="48"/>
      <c r="L2115" s="65"/>
    </row>
    <row r="2116" spans="5:12">
      <c r="E2116" s="49">
        <v>45056.034722214739</v>
      </c>
      <c r="F2116" s="56">
        <v>0</v>
      </c>
      <c r="G2116" s="48"/>
      <c r="H2116" s="48"/>
      <c r="I2116" s="48"/>
      <c r="J2116" s="48"/>
      <c r="L2116" s="65"/>
    </row>
    <row r="2117" spans="5:12">
      <c r="E2117" s="49">
        <v>45056.038194436958</v>
      </c>
      <c r="F2117" s="56">
        <v>0</v>
      </c>
      <c r="G2117" s="48"/>
      <c r="H2117" s="48"/>
      <c r="I2117" s="48"/>
      <c r="J2117" s="48"/>
      <c r="L2117" s="65"/>
    </row>
    <row r="2118" spans="5:12">
      <c r="E2118" s="49">
        <v>45056.041666659177</v>
      </c>
      <c r="F2118" s="56">
        <v>0</v>
      </c>
      <c r="G2118" s="48"/>
      <c r="H2118" s="48"/>
      <c r="I2118" s="48"/>
      <c r="J2118" s="48"/>
      <c r="L2118" s="65"/>
    </row>
    <row r="2119" spans="5:12">
      <c r="E2119" s="49">
        <v>45056.045138881396</v>
      </c>
      <c r="F2119" s="56">
        <v>0</v>
      </c>
      <c r="G2119" s="48"/>
      <c r="H2119" s="48"/>
      <c r="I2119" s="48"/>
      <c r="J2119" s="48"/>
      <c r="L2119" s="65"/>
    </row>
    <row r="2120" spans="5:12">
      <c r="E2120" s="49">
        <v>45056.048611103615</v>
      </c>
      <c r="F2120" s="56">
        <v>0</v>
      </c>
      <c r="G2120" s="48"/>
      <c r="H2120" s="48"/>
      <c r="I2120" s="48"/>
      <c r="J2120" s="48"/>
      <c r="L2120" s="65"/>
    </row>
    <row r="2121" spans="5:12">
      <c r="E2121" s="49">
        <v>45056.052083325834</v>
      </c>
      <c r="F2121" s="56">
        <v>0</v>
      </c>
      <c r="G2121" s="48"/>
      <c r="H2121" s="48"/>
      <c r="I2121" s="48"/>
      <c r="J2121" s="48"/>
      <c r="L2121" s="65"/>
    </row>
    <row r="2122" spans="5:12">
      <c r="E2122" s="49">
        <v>45056.055555548053</v>
      </c>
      <c r="F2122" s="56">
        <v>0</v>
      </c>
      <c r="G2122" s="48"/>
      <c r="H2122" s="48"/>
      <c r="I2122" s="48"/>
      <c r="J2122" s="48"/>
      <c r="L2122" s="65"/>
    </row>
    <row r="2123" spans="5:12">
      <c r="E2123" s="49">
        <v>45056.059027770272</v>
      </c>
      <c r="F2123" s="56">
        <v>0</v>
      </c>
      <c r="G2123" s="48"/>
      <c r="H2123" s="48"/>
      <c r="I2123" s="48"/>
      <c r="J2123" s="48"/>
      <c r="L2123" s="65"/>
    </row>
    <row r="2124" spans="5:12">
      <c r="E2124" s="49">
        <v>45056.062499992491</v>
      </c>
      <c r="F2124" s="56">
        <v>0</v>
      </c>
      <c r="G2124" s="48"/>
      <c r="H2124" s="48"/>
      <c r="I2124" s="48"/>
      <c r="J2124" s="48"/>
      <c r="L2124" s="65"/>
    </row>
    <row r="2125" spans="5:12">
      <c r="E2125" s="49">
        <v>45056.06597221471</v>
      </c>
      <c r="F2125" s="56">
        <v>0</v>
      </c>
      <c r="G2125" s="48"/>
      <c r="H2125" s="48"/>
      <c r="I2125" s="48"/>
      <c r="J2125" s="48"/>
      <c r="L2125" s="65"/>
    </row>
    <row r="2126" spans="5:12">
      <c r="E2126" s="49">
        <v>45056.069444436929</v>
      </c>
      <c r="F2126" s="56">
        <v>0</v>
      </c>
      <c r="G2126" s="48"/>
      <c r="H2126" s="48"/>
      <c r="I2126" s="48"/>
      <c r="J2126" s="48"/>
      <c r="L2126" s="65"/>
    </row>
    <row r="2127" spans="5:12">
      <c r="E2127" s="49">
        <v>45056.072916659148</v>
      </c>
      <c r="F2127" s="56">
        <v>0</v>
      </c>
      <c r="G2127" s="48"/>
      <c r="H2127" s="48"/>
      <c r="I2127" s="48"/>
      <c r="J2127" s="48"/>
      <c r="L2127" s="65"/>
    </row>
    <row r="2128" spans="5:12">
      <c r="E2128" s="49">
        <v>45056.076388881367</v>
      </c>
      <c r="F2128" s="56">
        <v>0</v>
      </c>
      <c r="G2128" s="48"/>
      <c r="H2128" s="48"/>
      <c r="I2128" s="48"/>
      <c r="J2128" s="48"/>
      <c r="L2128" s="65"/>
    </row>
    <row r="2129" spans="5:12">
      <c r="E2129" s="49">
        <v>45056.079861103586</v>
      </c>
      <c r="F2129" s="56">
        <v>0</v>
      </c>
      <c r="G2129" s="48"/>
      <c r="H2129" s="48"/>
      <c r="I2129" s="48"/>
      <c r="J2129" s="48"/>
      <c r="L2129" s="65"/>
    </row>
    <row r="2130" spans="5:12">
      <c r="E2130" s="49">
        <v>45056.083333325805</v>
      </c>
      <c r="F2130" s="56">
        <v>0</v>
      </c>
      <c r="G2130" s="48"/>
      <c r="H2130" s="48"/>
      <c r="I2130" s="48"/>
      <c r="J2130" s="48"/>
      <c r="L2130" s="65"/>
    </row>
    <row r="2131" spans="5:12">
      <c r="E2131" s="49">
        <v>45056.086805548024</v>
      </c>
      <c r="F2131" s="56">
        <v>0</v>
      </c>
      <c r="G2131" s="48"/>
      <c r="H2131" s="48"/>
      <c r="I2131" s="48"/>
      <c r="J2131" s="48"/>
      <c r="L2131" s="65"/>
    </row>
    <row r="2132" spans="5:12">
      <c r="E2132" s="49">
        <v>45056.090277770243</v>
      </c>
      <c r="F2132" s="56">
        <v>0</v>
      </c>
      <c r="G2132" s="48"/>
      <c r="H2132" s="48"/>
      <c r="I2132" s="48"/>
      <c r="J2132" s="48"/>
      <c r="L2132" s="65"/>
    </row>
    <row r="2133" spans="5:12">
      <c r="E2133" s="49">
        <v>45056.093749992462</v>
      </c>
      <c r="F2133" s="56">
        <v>0</v>
      </c>
      <c r="G2133" s="48"/>
      <c r="H2133" s="48"/>
      <c r="I2133" s="48"/>
      <c r="J2133" s="48"/>
      <c r="L2133" s="65"/>
    </row>
    <row r="2134" spans="5:12">
      <c r="E2134" s="49">
        <v>45056.097222214681</v>
      </c>
      <c r="F2134" s="56">
        <v>0</v>
      </c>
      <c r="G2134" s="48"/>
      <c r="H2134" s="48"/>
      <c r="I2134" s="48"/>
      <c r="J2134" s="48"/>
      <c r="L2134" s="65"/>
    </row>
    <row r="2135" spans="5:12">
      <c r="E2135" s="49">
        <v>45056.1006944369</v>
      </c>
      <c r="F2135" s="56">
        <v>0</v>
      </c>
      <c r="G2135" s="48"/>
      <c r="H2135" s="48"/>
      <c r="I2135" s="48"/>
      <c r="J2135" s="48"/>
      <c r="L2135" s="65"/>
    </row>
    <row r="2136" spans="5:12">
      <c r="E2136" s="49">
        <v>45056.104166659119</v>
      </c>
      <c r="F2136" s="56">
        <v>0</v>
      </c>
      <c r="G2136" s="48"/>
      <c r="H2136" s="48"/>
      <c r="I2136" s="48"/>
      <c r="J2136" s="48"/>
      <c r="L2136" s="65"/>
    </row>
    <row r="2137" spans="5:12">
      <c r="E2137" s="49">
        <v>45056.107638881338</v>
      </c>
      <c r="F2137" s="56">
        <v>0</v>
      </c>
      <c r="G2137" s="48"/>
      <c r="H2137" s="48"/>
      <c r="I2137" s="48"/>
      <c r="J2137" s="48"/>
      <c r="L2137" s="65"/>
    </row>
    <row r="2138" spans="5:12">
      <c r="E2138" s="49">
        <v>45056.111111103557</v>
      </c>
      <c r="F2138" s="56">
        <v>0</v>
      </c>
      <c r="G2138" s="48"/>
      <c r="H2138" s="48"/>
      <c r="I2138" s="48"/>
      <c r="J2138" s="48"/>
      <c r="L2138" s="65"/>
    </row>
    <row r="2139" spans="5:12">
      <c r="E2139" s="49">
        <v>45056.114583325776</v>
      </c>
      <c r="F2139" s="56">
        <v>0</v>
      </c>
      <c r="G2139" s="48"/>
      <c r="H2139" s="48"/>
      <c r="I2139" s="48"/>
      <c r="J2139" s="48"/>
      <c r="L2139" s="65"/>
    </row>
    <row r="2140" spans="5:12">
      <c r="E2140" s="49">
        <v>45056.118055547995</v>
      </c>
      <c r="F2140" s="56">
        <v>0</v>
      </c>
      <c r="G2140" s="48"/>
      <c r="H2140" s="48"/>
      <c r="I2140" s="48"/>
      <c r="J2140" s="48"/>
      <c r="L2140" s="65"/>
    </row>
    <row r="2141" spans="5:12">
      <c r="E2141" s="49">
        <v>45056.121527770214</v>
      </c>
      <c r="F2141" s="56">
        <v>0</v>
      </c>
      <c r="G2141" s="48"/>
      <c r="H2141" s="48"/>
      <c r="I2141" s="48"/>
      <c r="J2141" s="48"/>
      <c r="L2141" s="65"/>
    </row>
    <row r="2142" spans="5:12">
      <c r="E2142" s="49">
        <v>45056.124999992433</v>
      </c>
      <c r="F2142" s="56">
        <v>0</v>
      </c>
      <c r="G2142" s="48"/>
      <c r="H2142" s="48"/>
      <c r="I2142" s="48"/>
      <c r="J2142" s="48"/>
      <c r="L2142" s="65"/>
    </row>
    <row r="2143" spans="5:12">
      <c r="E2143" s="49">
        <v>45056.128472214652</v>
      </c>
      <c r="F2143" s="56">
        <v>0</v>
      </c>
      <c r="G2143" s="48"/>
      <c r="H2143" s="48"/>
      <c r="I2143" s="48"/>
      <c r="J2143" s="48"/>
      <c r="L2143" s="65"/>
    </row>
    <row r="2144" spans="5:12">
      <c r="E2144" s="49">
        <v>45056.131944436871</v>
      </c>
      <c r="F2144" s="56">
        <v>0</v>
      </c>
      <c r="G2144" s="48"/>
      <c r="H2144" s="48"/>
      <c r="I2144" s="48"/>
      <c r="J2144" s="48"/>
      <c r="L2144" s="65"/>
    </row>
    <row r="2145" spans="5:12">
      <c r="E2145" s="49">
        <v>45056.13541665909</v>
      </c>
      <c r="F2145" s="56">
        <v>0</v>
      </c>
      <c r="G2145" s="48"/>
      <c r="H2145" s="48"/>
      <c r="I2145" s="48"/>
      <c r="J2145" s="48"/>
      <c r="L2145" s="65"/>
    </row>
    <row r="2146" spans="5:12">
      <c r="E2146" s="49">
        <v>45056.138888881309</v>
      </c>
      <c r="F2146" s="56">
        <v>0</v>
      </c>
      <c r="G2146" s="48"/>
      <c r="H2146" s="48"/>
      <c r="I2146" s="48"/>
      <c r="J2146" s="48"/>
      <c r="L2146" s="65"/>
    </row>
    <row r="2147" spans="5:12">
      <c r="E2147" s="49">
        <v>45056.142361103528</v>
      </c>
      <c r="F2147" s="56">
        <v>0</v>
      </c>
      <c r="G2147" s="48"/>
      <c r="H2147" s="48"/>
      <c r="I2147" s="48"/>
      <c r="J2147" s="48"/>
      <c r="L2147" s="65"/>
    </row>
    <row r="2148" spans="5:12">
      <c r="E2148" s="49">
        <v>45056.145833325747</v>
      </c>
      <c r="F2148" s="56">
        <v>0</v>
      </c>
      <c r="G2148" s="48"/>
      <c r="H2148" s="48"/>
      <c r="I2148" s="48"/>
      <c r="J2148" s="48"/>
      <c r="L2148" s="65"/>
    </row>
    <row r="2149" spans="5:12">
      <c r="E2149" s="49">
        <v>45056.149305547966</v>
      </c>
      <c r="F2149" s="56">
        <v>0</v>
      </c>
      <c r="G2149" s="48"/>
      <c r="H2149" s="48"/>
      <c r="I2149" s="48"/>
      <c r="J2149" s="48"/>
      <c r="L2149" s="65"/>
    </row>
    <row r="2150" spans="5:12">
      <c r="E2150" s="49">
        <v>45056.152777770185</v>
      </c>
      <c r="F2150" s="56">
        <v>0</v>
      </c>
      <c r="G2150" s="48"/>
      <c r="H2150" s="48"/>
      <c r="I2150" s="48"/>
      <c r="J2150" s="48"/>
      <c r="L2150" s="65"/>
    </row>
    <row r="2151" spans="5:12">
      <c r="E2151" s="49">
        <v>45056.156249992404</v>
      </c>
      <c r="F2151" s="56">
        <v>0</v>
      </c>
      <c r="G2151" s="48"/>
      <c r="H2151" s="48"/>
      <c r="I2151" s="48"/>
      <c r="J2151" s="48"/>
      <c r="L2151" s="65"/>
    </row>
    <row r="2152" spans="5:12">
      <c r="E2152" s="49">
        <v>45056.159722214623</v>
      </c>
      <c r="F2152" s="56">
        <v>0</v>
      </c>
      <c r="G2152" s="48"/>
      <c r="H2152" s="48"/>
      <c r="I2152" s="48"/>
      <c r="J2152" s="48"/>
      <c r="L2152" s="65"/>
    </row>
    <row r="2153" spans="5:12">
      <c r="E2153" s="49">
        <v>45056.163194436842</v>
      </c>
      <c r="F2153" s="56">
        <v>0</v>
      </c>
      <c r="G2153" s="48"/>
      <c r="H2153" s="48"/>
      <c r="I2153" s="48"/>
      <c r="J2153" s="48"/>
      <c r="L2153" s="65"/>
    </row>
    <row r="2154" spans="5:12">
      <c r="E2154" s="49">
        <v>45056.166666659061</v>
      </c>
      <c r="F2154" s="56">
        <v>0</v>
      </c>
      <c r="G2154" s="48"/>
      <c r="H2154" s="48"/>
      <c r="I2154" s="48"/>
      <c r="J2154" s="48"/>
      <c r="L2154" s="65"/>
    </row>
    <row r="2155" spans="5:12">
      <c r="E2155" s="49">
        <v>45056.17013888128</v>
      </c>
      <c r="F2155" s="56">
        <v>0</v>
      </c>
      <c r="G2155" s="48"/>
      <c r="H2155" s="48"/>
      <c r="I2155" s="48"/>
      <c r="J2155" s="48"/>
      <c r="L2155" s="65"/>
    </row>
    <row r="2156" spans="5:12">
      <c r="E2156" s="49">
        <v>45056.173611103499</v>
      </c>
      <c r="F2156" s="56">
        <v>0</v>
      </c>
      <c r="G2156" s="48"/>
      <c r="H2156" s="48"/>
      <c r="I2156" s="48"/>
      <c r="J2156" s="48"/>
      <c r="L2156" s="65"/>
    </row>
    <row r="2157" spans="5:12">
      <c r="E2157" s="49">
        <v>45056.177083325718</v>
      </c>
      <c r="F2157" s="56">
        <v>0</v>
      </c>
      <c r="G2157" s="48"/>
      <c r="H2157" s="48"/>
      <c r="I2157" s="48"/>
      <c r="J2157" s="48"/>
      <c r="L2157" s="65"/>
    </row>
    <row r="2158" spans="5:12">
      <c r="E2158" s="49">
        <v>45056.180555547937</v>
      </c>
      <c r="F2158" s="56">
        <v>0</v>
      </c>
      <c r="G2158" s="48"/>
      <c r="H2158" s="48"/>
      <c r="I2158" s="48"/>
      <c r="J2158" s="48"/>
      <c r="L2158" s="65"/>
    </row>
    <row r="2159" spans="5:12">
      <c r="E2159" s="49">
        <v>45056.184027770156</v>
      </c>
      <c r="F2159" s="56">
        <v>0</v>
      </c>
      <c r="G2159" s="48"/>
      <c r="H2159" s="48"/>
      <c r="I2159" s="48"/>
      <c r="J2159" s="48"/>
      <c r="L2159" s="65"/>
    </row>
    <row r="2160" spans="5:12">
      <c r="E2160" s="49">
        <v>45056.187499992375</v>
      </c>
      <c r="F2160" s="56">
        <v>0</v>
      </c>
      <c r="G2160" s="48"/>
      <c r="H2160" s="48"/>
      <c r="I2160" s="48"/>
      <c r="J2160" s="48"/>
      <c r="L2160" s="65"/>
    </row>
    <row r="2161" spans="5:12">
      <c r="E2161" s="49">
        <v>45056.190972214594</v>
      </c>
      <c r="F2161" s="56">
        <v>0</v>
      </c>
      <c r="G2161" s="48"/>
      <c r="H2161" s="48"/>
      <c r="I2161" s="48"/>
      <c r="J2161" s="48"/>
      <c r="L2161" s="65"/>
    </row>
    <row r="2162" spans="5:12">
      <c r="E2162" s="49">
        <v>45056.194444436813</v>
      </c>
      <c r="F2162" s="56">
        <v>0</v>
      </c>
      <c r="G2162" s="48"/>
      <c r="H2162" s="48"/>
      <c r="I2162" s="48"/>
      <c r="J2162" s="48"/>
      <c r="L2162" s="65"/>
    </row>
    <row r="2163" spans="5:12">
      <c r="E2163" s="49">
        <v>45056.197916659032</v>
      </c>
      <c r="F2163" s="56">
        <v>0</v>
      </c>
      <c r="G2163" s="48"/>
      <c r="H2163" s="48"/>
      <c r="I2163" s="48"/>
      <c r="J2163" s="48"/>
      <c r="L2163" s="65"/>
    </row>
    <row r="2164" spans="5:12">
      <c r="E2164" s="49">
        <v>45056.201388881251</v>
      </c>
      <c r="F2164" s="56">
        <v>0</v>
      </c>
      <c r="G2164" s="48"/>
      <c r="H2164" s="48"/>
      <c r="I2164" s="48"/>
      <c r="J2164" s="48"/>
      <c r="L2164" s="65"/>
    </row>
    <row r="2165" spans="5:12">
      <c r="E2165" s="49">
        <v>45056.20486110347</v>
      </c>
      <c r="F2165" s="56">
        <v>0</v>
      </c>
      <c r="G2165" s="48"/>
      <c r="H2165" s="48"/>
      <c r="I2165" s="48"/>
      <c r="J2165" s="48"/>
      <c r="L2165" s="65"/>
    </row>
    <row r="2166" spans="5:12">
      <c r="E2166" s="49">
        <v>45056.208333325689</v>
      </c>
      <c r="F2166" s="56">
        <v>0</v>
      </c>
      <c r="G2166" s="48"/>
      <c r="H2166" s="48"/>
      <c r="I2166" s="48"/>
      <c r="J2166" s="48"/>
      <c r="L2166" s="65"/>
    </row>
    <row r="2167" spans="5:12">
      <c r="E2167" s="49">
        <v>45056.211805547908</v>
      </c>
      <c r="F2167" s="56">
        <v>0</v>
      </c>
      <c r="G2167" s="48"/>
      <c r="H2167" s="48"/>
      <c r="I2167" s="48"/>
      <c r="J2167" s="48"/>
      <c r="L2167" s="65"/>
    </row>
    <row r="2168" spans="5:12">
      <c r="E2168" s="49">
        <v>45056.215277770127</v>
      </c>
      <c r="F2168" s="56">
        <v>0</v>
      </c>
      <c r="G2168" s="48"/>
      <c r="H2168" s="48"/>
      <c r="I2168" s="48"/>
      <c r="J2168" s="48"/>
      <c r="L2168" s="65"/>
    </row>
    <row r="2169" spans="5:12">
      <c r="E2169" s="49">
        <v>45056.218749992346</v>
      </c>
      <c r="F2169" s="56">
        <v>0</v>
      </c>
      <c r="G2169" s="48"/>
      <c r="H2169" s="48"/>
      <c r="I2169" s="48"/>
      <c r="J2169" s="48"/>
      <c r="L2169" s="65"/>
    </row>
    <row r="2170" spans="5:12">
      <c r="E2170" s="49">
        <v>45056.222222214565</v>
      </c>
      <c r="F2170" s="56">
        <v>0</v>
      </c>
      <c r="G2170" s="48"/>
      <c r="H2170" s="48"/>
      <c r="I2170" s="48"/>
      <c r="J2170" s="48"/>
      <c r="L2170" s="65"/>
    </row>
    <row r="2171" spans="5:12">
      <c r="E2171" s="49">
        <v>45056.225694436784</v>
      </c>
      <c r="F2171" s="56">
        <v>0</v>
      </c>
      <c r="G2171" s="48"/>
      <c r="H2171" s="48"/>
      <c r="I2171" s="48"/>
      <c r="J2171" s="48"/>
      <c r="L2171" s="65"/>
    </row>
    <row r="2172" spans="5:12">
      <c r="E2172" s="49">
        <v>45056.229166659003</v>
      </c>
      <c r="F2172" s="56">
        <v>0</v>
      </c>
      <c r="G2172" s="48"/>
      <c r="H2172" s="48"/>
      <c r="I2172" s="48"/>
      <c r="J2172" s="48"/>
      <c r="L2172" s="65"/>
    </row>
    <row r="2173" spans="5:12">
      <c r="E2173" s="49">
        <v>45056.232638881222</v>
      </c>
      <c r="F2173" s="56">
        <v>0</v>
      </c>
      <c r="G2173" s="48"/>
      <c r="H2173" s="48"/>
      <c r="I2173" s="48"/>
      <c r="J2173" s="48"/>
      <c r="L2173" s="65"/>
    </row>
    <row r="2174" spans="5:12">
      <c r="E2174" s="49">
        <v>45056.236111103441</v>
      </c>
      <c r="F2174" s="56">
        <v>0</v>
      </c>
      <c r="G2174" s="48"/>
      <c r="H2174" s="48"/>
      <c r="I2174" s="48"/>
      <c r="J2174" s="48"/>
      <c r="L2174" s="65"/>
    </row>
    <row r="2175" spans="5:12">
      <c r="E2175" s="49">
        <v>45056.23958332566</v>
      </c>
      <c r="F2175" s="56">
        <v>0</v>
      </c>
      <c r="G2175" s="48"/>
      <c r="H2175" s="48"/>
      <c r="I2175" s="48"/>
      <c r="J2175" s="48"/>
      <c r="L2175" s="65"/>
    </row>
    <row r="2176" spans="5:12">
      <c r="E2176" s="49">
        <v>45056.243055547879</v>
      </c>
      <c r="F2176" s="56">
        <v>0</v>
      </c>
      <c r="G2176" s="48"/>
      <c r="H2176" s="48"/>
      <c r="I2176" s="48"/>
      <c r="J2176" s="48"/>
      <c r="L2176" s="65"/>
    </row>
    <row r="2177" spans="5:12">
      <c r="E2177" s="49">
        <v>45056.246527770098</v>
      </c>
      <c r="F2177" s="56">
        <v>0</v>
      </c>
      <c r="G2177" s="48"/>
      <c r="H2177" s="48"/>
      <c r="I2177" s="48"/>
      <c r="J2177" s="48"/>
      <c r="L2177" s="65"/>
    </row>
    <row r="2178" spans="5:12">
      <c r="E2178" s="49">
        <v>45056.249999992317</v>
      </c>
      <c r="F2178" s="56">
        <v>0</v>
      </c>
      <c r="G2178" s="48"/>
      <c r="H2178" s="48"/>
      <c r="I2178" s="48"/>
      <c r="J2178" s="48"/>
      <c r="L2178" s="65"/>
    </row>
    <row r="2179" spans="5:12">
      <c r="E2179" s="49">
        <v>45056.253472214536</v>
      </c>
      <c r="F2179" s="56">
        <v>0</v>
      </c>
      <c r="G2179" s="48"/>
      <c r="H2179" s="48"/>
      <c r="I2179" s="48"/>
      <c r="J2179" s="48"/>
      <c r="L2179" s="65"/>
    </row>
    <row r="2180" spans="5:12">
      <c r="E2180" s="49">
        <v>45056.256944436755</v>
      </c>
      <c r="F2180" s="56">
        <v>0</v>
      </c>
      <c r="G2180" s="48"/>
      <c r="H2180" s="48"/>
      <c r="I2180" s="48"/>
      <c r="J2180" s="48"/>
      <c r="L2180" s="65"/>
    </row>
    <row r="2181" spans="5:12">
      <c r="E2181" s="49">
        <v>45056.260416658974</v>
      </c>
      <c r="F2181" s="56">
        <v>0</v>
      </c>
      <c r="G2181" s="48"/>
      <c r="H2181" s="48"/>
      <c r="I2181" s="48"/>
      <c r="J2181" s="48"/>
      <c r="L2181" s="65"/>
    </row>
    <row r="2182" spans="5:12">
      <c r="E2182" s="49">
        <v>45056.263888881193</v>
      </c>
      <c r="F2182" s="56">
        <v>0</v>
      </c>
      <c r="G2182" s="48"/>
      <c r="H2182" s="48"/>
      <c r="I2182" s="48"/>
      <c r="J2182" s="48"/>
      <c r="L2182" s="65"/>
    </row>
    <row r="2183" spans="5:12">
      <c r="E2183" s="49">
        <v>45056.267361103412</v>
      </c>
      <c r="F2183" s="56">
        <v>0</v>
      </c>
      <c r="G2183" s="48"/>
      <c r="H2183" s="48"/>
      <c r="I2183" s="48"/>
      <c r="J2183" s="48"/>
      <c r="L2183" s="65"/>
    </row>
    <row r="2184" spans="5:12">
      <c r="E2184" s="49">
        <v>45056.270833325631</v>
      </c>
      <c r="F2184" s="56">
        <v>0</v>
      </c>
      <c r="G2184" s="48"/>
      <c r="H2184" s="48"/>
      <c r="I2184" s="48"/>
      <c r="J2184" s="48"/>
      <c r="L2184" s="65"/>
    </row>
    <row r="2185" spans="5:12">
      <c r="E2185" s="49">
        <v>45056.27430554785</v>
      </c>
      <c r="F2185" s="56">
        <v>0</v>
      </c>
      <c r="G2185" s="48"/>
      <c r="H2185" s="48"/>
      <c r="I2185" s="48"/>
      <c r="J2185" s="48"/>
      <c r="L2185" s="65"/>
    </row>
    <row r="2186" spans="5:12">
      <c r="E2186" s="49">
        <v>45056.277777770068</v>
      </c>
      <c r="F2186" s="56">
        <v>0</v>
      </c>
      <c r="G2186" s="48"/>
      <c r="H2186" s="48"/>
      <c r="I2186" s="48"/>
      <c r="J2186" s="48"/>
      <c r="L2186" s="65"/>
    </row>
    <row r="2187" spans="5:12">
      <c r="E2187" s="49">
        <v>45056.281249992287</v>
      </c>
      <c r="F2187" s="56">
        <v>0</v>
      </c>
      <c r="G2187" s="48"/>
      <c r="H2187" s="48"/>
      <c r="I2187" s="48"/>
      <c r="J2187" s="48"/>
      <c r="L2187" s="65"/>
    </row>
    <row r="2188" spans="5:12">
      <c r="E2188" s="49">
        <v>45056.284722214506</v>
      </c>
      <c r="F2188" s="56">
        <v>0</v>
      </c>
      <c r="G2188" s="48"/>
      <c r="H2188" s="48"/>
      <c r="I2188" s="48"/>
      <c r="J2188" s="48"/>
      <c r="L2188" s="65"/>
    </row>
    <row r="2189" spans="5:12">
      <c r="E2189" s="49">
        <v>45056.288194436725</v>
      </c>
      <c r="F2189" s="56">
        <v>0</v>
      </c>
      <c r="G2189" s="48"/>
      <c r="H2189" s="48"/>
      <c r="I2189" s="48"/>
      <c r="J2189" s="48"/>
      <c r="L2189" s="65"/>
    </row>
    <row r="2190" spans="5:12">
      <c r="E2190" s="49">
        <v>45056.291666658944</v>
      </c>
      <c r="F2190" s="56">
        <v>0</v>
      </c>
      <c r="G2190" s="48"/>
      <c r="H2190" s="48"/>
      <c r="I2190" s="48"/>
      <c r="J2190" s="48"/>
      <c r="L2190" s="65"/>
    </row>
    <row r="2191" spans="5:12">
      <c r="E2191" s="49">
        <v>45056.295138881163</v>
      </c>
      <c r="F2191" s="56">
        <v>0</v>
      </c>
      <c r="G2191" s="48"/>
      <c r="H2191" s="48"/>
      <c r="I2191" s="48"/>
      <c r="J2191" s="48"/>
      <c r="L2191" s="65"/>
    </row>
    <row r="2192" spans="5:12">
      <c r="E2192" s="49">
        <v>45056.298611103382</v>
      </c>
      <c r="F2192" s="56">
        <v>0</v>
      </c>
      <c r="G2192" s="48"/>
      <c r="H2192" s="48"/>
      <c r="I2192" s="48"/>
      <c r="J2192" s="48"/>
      <c r="L2192" s="65"/>
    </row>
    <row r="2193" spans="5:12">
      <c r="E2193" s="49">
        <v>45056.302083325601</v>
      </c>
      <c r="F2193" s="56">
        <v>0</v>
      </c>
      <c r="G2193" s="48"/>
      <c r="H2193" s="48"/>
      <c r="I2193" s="48"/>
      <c r="J2193" s="48"/>
      <c r="L2193" s="65"/>
    </row>
    <row r="2194" spans="5:12">
      <c r="E2194" s="49">
        <v>45056.30555554782</v>
      </c>
      <c r="F2194" s="56">
        <v>0</v>
      </c>
      <c r="G2194" s="48"/>
      <c r="H2194" s="48"/>
      <c r="I2194" s="48"/>
      <c r="J2194" s="48"/>
      <c r="L2194" s="65"/>
    </row>
    <row r="2195" spans="5:12">
      <c r="E2195" s="49">
        <v>45056.309027770039</v>
      </c>
      <c r="F2195" s="56">
        <v>0</v>
      </c>
      <c r="G2195" s="48"/>
      <c r="H2195" s="48"/>
      <c r="I2195" s="48"/>
      <c r="J2195" s="48"/>
      <c r="L2195" s="65"/>
    </row>
    <row r="2196" spans="5:12">
      <c r="E2196" s="49">
        <v>45056.312499992258</v>
      </c>
      <c r="F2196" s="56">
        <v>0</v>
      </c>
      <c r="G2196" s="48"/>
      <c r="H2196" s="48"/>
      <c r="I2196" s="48"/>
      <c r="J2196" s="48"/>
      <c r="L2196" s="65"/>
    </row>
    <row r="2197" spans="5:12">
      <c r="E2197" s="49">
        <v>45056.315972214477</v>
      </c>
      <c r="F2197" s="56">
        <v>0</v>
      </c>
      <c r="G2197" s="48"/>
      <c r="H2197" s="48"/>
      <c r="I2197" s="48"/>
      <c r="J2197" s="48"/>
      <c r="L2197" s="65"/>
    </row>
    <row r="2198" spans="5:12">
      <c r="E2198" s="49">
        <v>45056.319444436696</v>
      </c>
      <c r="F2198" s="56">
        <v>0</v>
      </c>
      <c r="G2198" s="48"/>
      <c r="H2198" s="48"/>
      <c r="I2198" s="48"/>
      <c r="J2198" s="48"/>
      <c r="L2198" s="65"/>
    </row>
    <row r="2199" spans="5:12">
      <c r="E2199" s="49">
        <v>45056.322916658915</v>
      </c>
      <c r="F2199" s="56">
        <v>0</v>
      </c>
      <c r="G2199" s="48"/>
      <c r="H2199" s="48"/>
      <c r="I2199" s="48"/>
      <c r="J2199" s="48"/>
      <c r="L2199" s="65"/>
    </row>
    <row r="2200" spans="5:12">
      <c r="E2200" s="49">
        <v>45056.326388881134</v>
      </c>
      <c r="F2200" s="56">
        <v>0</v>
      </c>
      <c r="G2200" s="48"/>
      <c r="H2200" s="48"/>
      <c r="I2200" s="48"/>
      <c r="J2200" s="48"/>
      <c r="L2200" s="65"/>
    </row>
    <row r="2201" spans="5:12">
      <c r="E2201" s="49">
        <v>45056.329861103353</v>
      </c>
      <c r="F2201" s="56">
        <v>0</v>
      </c>
      <c r="G2201" s="48"/>
      <c r="H2201" s="48"/>
      <c r="I2201" s="48"/>
      <c r="J2201" s="48"/>
      <c r="L2201" s="65"/>
    </row>
    <row r="2202" spans="5:12">
      <c r="E2202" s="49">
        <v>45056.333333325572</v>
      </c>
      <c r="F2202" s="56">
        <v>0</v>
      </c>
      <c r="G2202" s="48"/>
      <c r="H2202" s="48"/>
      <c r="I2202" s="48"/>
      <c r="J2202" s="48"/>
      <c r="L2202" s="65"/>
    </row>
    <row r="2203" spans="5:12">
      <c r="E2203" s="49">
        <v>45056.336805547791</v>
      </c>
      <c r="F2203" s="56">
        <v>0</v>
      </c>
      <c r="G2203" s="48"/>
      <c r="H2203" s="48"/>
      <c r="I2203" s="48"/>
      <c r="J2203" s="48"/>
      <c r="L2203" s="65"/>
    </row>
    <row r="2204" spans="5:12">
      <c r="E2204" s="49">
        <v>45056.34027777001</v>
      </c>
      <c r="F2204" s="56">
        <v>0</v>
      </c>
      <c r="G2204" s="48"/>
      <c r="H2204" s="48"/>
      <c r="I2204" s="48"/>
      <c r="J2204" s="48"/>
      <c r="L2204" s="65"/>
    </row>
    <row r="2205" spans="5:12">
      <c r="E2205" s="49">
        <v>45056.343749992229</v>
      </c>
      <c r="F2205" s="56">
        <v>0</v>
      </c>
      <c r="G2205" s="48"/>
      <c r="H2205" s="48"/>
      <c r="I2205" s="48"/>
      <c r="J2205" s="48"/>
      <c r="L2205" s="65"/>
    </row>
    <row r="2206" spans="5:12">
      <c r="E2206" s="49">
        <v>45056.347222214448</v>
      </c>
      <c r="F2206" s="56">
        <v>0</v>
      </c>
      <c r="G2206" s="48"/>
      <c r="H2206" s="48"/>
      <c r="I2206" s="48"/>
      <c r="J2206" s="48"/>
      <c r="L2206" s="65"/>
    </row>
    <row r="2207" spans="5:12">
      <c r="E2207" s="49">
        <v>45056.350694436667</v>
      </c>
      <c r="F2207" s="56">
        <v>0</v>
      </c>
      <c r="G2207" s="48"/>
      <c r="H2207" s="48"/>
      <c r="I2207" s="48"/>
      <c r="J2207" s="48"/>
      <c r="L2207" s="65"/>
    </row>
    <row r="2208" spans="5:12">
      <c r="E2208" s="49">
        <v>45056.354166658886</v>
      </c>
      <c r="F2208" s="56">
        <v>0</v>
      </c>
      <c r="G2208" s="48"/>
      <c r="H2208" s="48"/>
      <c r="I2208" s="48"/>
      <c r="J2208" s="48"/>
      <c r="L2208" s="65"/>
    </row>
    <row r="2209" spans="5:12">
      <c r="E2209" s="49">
        <v>45056.357638881105</v>
      </c>
      <c r="F2209" s="56">
        <v>0</v>
      </c>
      <c r="G2209" s="48"/>
      <c r="H2209" s="48"/>
      <c r="I2209" s="48"/>
      <c r="J2209" s="48"/>
      <c r="L2209" s="65"/>
    </row>
    <row r="2210" spans="5:12">
      <c r="E2210" s="49">
        <v>45056.361111103324</v>
      </c>
      <c r="F2210" s="56">
        <v>0</v>
      </c>
      <c r="G2210" s="48"/>
      <c r="H2210" s="48"/>
      <c r="I2210" s="48"/>
      <c r="J2210" s="48"/>
      <c r="L2210" s="65"/>
    </row>
    <row r="2211" spans="5:12">
      <c r="E2211" s="49">
        <v>45056.364583325543</v>
      </c>
      <c r="F2211" s="56">
        <v>0</v>
      </c>
      <c r="G2211" s="48"/>
      <c r="H2211" s="48"/>
      <c r="I2211" s="48"/>
      <c r="J2211" s="48"/>
      <c r="L2211" s="65"/>
    </row>
    <row r="2212" spans="5:12">
      <c r="E2212" s="49">
        <v>45056.368055547762</v>
      </c>
      <c r="F2212" s="56">
        <v>0</v>
      </c>
      <c r="G2212" s="48"/>
      <c r="H2212" s="48"/>
      <c r="I2212" s="48"/>
      <c r="J2212" s="48"/>
      <c r="L2212" s="65"/>
    </row>
    <row r="2213" spans="5:12">
      <c r="E2213" s="49">
        <v>45056.371527769981</v>
      </c>
      <c r="F2213" s="56">
        <v>0</v>
      </c>
      <c r="G2213" s="48"/>
      <c r="H2213" s="48"/>
      <c r="I2213" s="48"/>
      <c r="J2213" s="48"/>
      <c r="L2213" s="65"/>
    </row>
    <row r="2214" spans="5:12">
      <c r="E2214" s="49">
        <v>45056.3749999922</v>
      </c>
      <c r="F2214" s="56">
        <v>0</v>
      </c>
      <c r="G2214" s="48"/>
      <c r="H2214" s="48"/>
      <c r="I2214" s="48"/>
      <c r="J2214" s="48"/>
      <c r="L2214" s="65"/>
    </row>
    <row r="2215" spans="5:12">
      <c r="E2215" s="49">
        <v>45056.378472214419</v>
      </c>
      <c r="F2215" s="56">
        <v>0</v>
      </c>
      <c r="G2215" s="48"/>
      <c r="H2215" s="48"/>
      <c r="I2215" s="48"/>
      <c r="J2215" s="48"/>
      <c r="L2215" s="65"/>
    </row>
    <row r="2216" spans="5:12">
      <c r="E2216" s="49">
        <v>45056.381944436638</v>
      </c>
      <c r="F2216" s="56">
        <v>0</v>
      </c>
      <c r="G2216" s="48"/>
      <c r="H2216" s="48"/>
      <c r="I2216" s="48"/>
      <c r="J2216" s="48"/>
      <c r="L2216" s="65"/>
    </row>
    <row r="2217" spans="5:12">
      <c r="E2217" s="49">
        <v>45056.385416658857</v>
      </c>
      <c r="F2217" s="56">
        <v>0</v>
      </c>
      <c r="G2217" s="48"/>
      <c r="H2217" s="48"/>
      <c r="I2217" s="48"/>
      <c r="J2217" s="48"/>
      <c r="L2217" s="65"/>
    </row>
    <row r="2218" spans="5:12">
      <c r="E2218" s="49">
        <v>45056.388888881076</v>
      </c>
      <c r="F2218" s="56">
        <v>0</v>
      </c>
      <c r="G2218" s="48"/>
      <c r="H2218" s="48"/>
      <c r="I2218" s="48"/>
      <c r="J2218" s="48"/>
      <c r="L2218" s="65"/>
    </row>
    <row r="2219" spans="5:12">
      <c r="E2219" s="49">
        <v>45056.392361103295</v>
      </c>
      <c r="F2219" s="56">
        <v>0</v>
      </c>
      <c r="G2219" s="48"/>
      <c r="H2219" s="48"/>
      <c r="I2219" s="48"/>
      <c r="J2219" s="48"/>
      <c r="L2219" s="65"/>
    </row>
    <row r="2220" spans="5:12">
      <c r="E2220" s="49">
        <v>45056.395833325514</v>
      </c>
      <c r="F2220" s="56">
        <v>0</v>
      </c>
      <c r="G2220" s="48"/>
      <c r="H2220" s="48"/>
      <c r="I2220" s="48"/>
      <c r="J2220" s="48"/>
      <c r="L2220" s="65"/>
    </row>
    <row r="2221" spans="5:12">
      <c r="E2221" s="49">
        <v>45056.399305547733</v>
      </c>
      <c r="F2221" s="56">
        <v>0</v>
      </c>
      <c r="G2221" s="48"/>
      <c r="H2221" s="48"/>
      <c r="I2221" s="48"/>
      <c r="J2221" s="48"/>
      <c r="L2221" s="65"/>
    </row>
    <row r="2222" spans="5:12">
      <c r="E2222" s="49">
        <v>45056.402777769952</v>
      </c>
      <c r="F2222" s="56">
        <v>0</v>
      </c>
      <c r="G2222" s="48"/>
      <c r="H2222" s="48"/>
      <c r="I2222" s="48"/>
      <c r="J2222" s="48"/>
      <c r="L2222" s="65"/>
    </row>
    <row r="2223" spans="5:12">
      <c r="E2223" s="49">
        <v>45056.406249992171</v>
      </c>
      <c r="F2223" s="56">
        <v>0</v>
      </c>
      <c r="G2223" s="48"/>
      <c r="H2223" s="48"/>
      <c r="I2223" s="48"/>
      <c r="J2223" s="48"/>
      <c r="L2223" s="65"/>
    </row>
    <row r="2224" spans="5:12">
      <c r="E2224" s="49">
        <v>45056.40972221439</v>
      </c>
      <c r="F2224" s="56">
        <v>0</v>
      </c>
      <c r="G2224" s="48"/>
      <c r="H2224" s="48"/>
      <c r="I2224" s="48"/>
      <c r="J2224" s="48"/>
      <c r="L2224" s="65"/>
    </row>
    <row r="2225" spans="5:12">
      <c r="E2225" s="49">
        <v>45056.413194436609</v>
      </c>
      <c r="F2225" s="56">
        <v>0</v>
      </c>
      <c r="G2225" s="48"/>
      <c r="H2225" s="48"/>
      <c r="I2225" s="48"/>
      <c r="J2225" s="48"/>
      <c r="L2225" s="65"/>
    </row>
    <row r="2226" spans="5:12">
      <c r="E2226" s="49">
        <v>45056.416666658828</v>
      </c>
      <c r="F2226" s="56">
        <v>0</v>
      </c>
      <c r="G2226" s="48"/>
      <c r="H2226" s="48"/>
      <c r="I2226" s="48"/>
      <c r="J2226" s="48"/>
      <c r="L2226" s="65"/>
    </row>
    <row r="2227" spans="5:12">
      <c r="E2227" s="49">
        <v>45056.420138881047</v>
      </c>
      <c r="F2227" s="56">
        <v>0</v>
      </c>
      <c r="G2227" s="48"/>
      <c r="H2227" s="48"/>
      <c r="I2227" s="48"/>
      <c r="J2227" s="48"/>
      <c r="L2227" s="65"/>
    </row>
    <row r="2228" spans="5:12">
      <c r="E2228" s="49">
        <v>45056.423611103266</v>
      </c>
      <c r="F2228" s="56">
        <v>0</v>
      </c>
      <c r="G2228" s="48"/>
      <c r="H2228" s="48"/>
      <c r="I2228" s="48"/>
      <c r="J2228" s="48"/>
      <c r="L2228" s="65"/>
    </row>
    <row r="2229" spans="5:12">
      <c r="E2229" s="49">
        <v>45056.427083325485</v>
      </c>
      <c r="F2229" s="56">
        <v>0</v>
      </c>
      <c r="G2229" s="48"/>
      <c r="H2229" s="48"/>
      <c r="I2229" s="48"/>
      <c r="J2229" s="48"/>
      <c r="L2229" s="65"/>
    </row>
    <row r="2230" spans="5:12">
      <c r="E2230" s="49">
        <v>45056.430555547704</v>
      </c>
      <c r="F2230" s="56">
        <v>0</v>
      </c>
      <c r="G2230" s="48"/>
      <c r="H2230" s="48"/>
      <c r="I2230" s="48"/>
      <c r="J2230" s="48"/>
      <c r="L2230" s="65"/>
    </row>
    <row r="2231" spans="5:12">
      <c r="E2231" s="49">
        <v>45056.434027769923</v>
      </c>
      <c r="F2231" s="56">
        <v>0</v>
      </c>
      <c r="G2231" s="48"/>
      <c r="H2231" s="48"/>
      <c r="I2231" s="48"/>
      <c r="J2231" s="48"/>
      <c r="L2231" s="65"/>
    </row>
    <row r="2232" spans="5:12">
      <c r="E2232" s="49">
        <v>45056.437499992142</v>
      </c>
      <c r="F2232" s="56">
        <v>0</v>
      </c>
      <c r="G2232" s="48"/>
      <c r="H2232" s="48"/>
      <c r="I2232" s="48"/>
      <c r="J2232" s="48"/>
      <c r="L2232" s="65"/>
    </row>
    <row r="2233" spans="5:12">
      <c r="E2233" s="49">
        <v>45056.440972214361</v>
      </c>
      <c r="F2233" s="56">
        <v>0</v>
      </c>
      <c r="G2233" s="48"/>
      <c r="H2233" s="48"/>
      <c r="I2233" s="48"/>
      <c r="J2233" s="48"/>
      <c r="L2233" s="65"/>
    </row>
    <row r="2234" spans="5:12">
      <c r="E2234" s="49">
        <v>45056.44444443658</v>
      </c>
      <c r="F2234" s="56">
        <v>0</v>
      </c>
      <c r="G2234" s="48"/>
      <c r="H2234" s="48"/>
      <c r="I2234" s="48"/>
      <c r="J2234" s="48"/>
      <c r="L2234" s="65"/>
    </row>
    <row r="2235" spans="5:12">
      <c r="E2235" s="49">
        <v>45056.447916658799</v>
      </c>
      <c r="F2235" s="56">
        <v>0</v>
      </c>
      <c r="G2235" s="48"/>
      <c r="H2235" s="48"/>
      <c r="I2235" s="48"/>
      <c r="J2235" s="48"/>
      <c r="L2235" s="65"/>
    </row>
    <row r="2236" spans="5:12">
      <c r="E2236" s="49">
        <v>45056.451388881018</v>
      </c>
      <c r="F2236" s="56">
        <v>0</v>
      </c>
      <c r="G2236" s="48"/>
      <c r="H2236" s="48"/>
      <c r="I2236" s="48"/>
      <c r="J2236" s="48"/>
      <c r="L2236" s="65"/>
    </row>
    <row r="2237" spans="5:12">
      <c r="E2237" s="49">
        <v>45056.454861103237</v>
      </c>
      <c r="F2237" s="56">
        <v>0</v>
      </c>
      <c r="G2237" s="48"/>
      <c r="H2237" s="48"/>
      <c r="I2237" s="48"/>
      <c r="J2237" s="48"/>
      <c r="L2237" s="65"/>
    </row>
    <row r="2238" spans="5:12">
      <c r="E2238" s="49">
        <v>45056.458333325456</v>
      </c>
      <c r="F2238" s="56">
        <v>0</v>
      </c>
      <c r="G2238" s="48"/>
      <c r="H2238" s="48"/>
      <c r="I2238" s="48"/>
      <c r="J2238" s="48"/>
      <c r="L2238" s="65"/>
    </row>
    <row r="2239" spans="5:12">
      <c r="E2239" s="49">
        <v>45056.461805547675</v>
      </c>
      <c r="F2239" s="56">
        <v>0</v>
      </c>
      <c r="G2239" s="48"/>
      <c r="H2239" s="48"/>
      <c r="I2239" s="48"/>
      <c r="J2239" s="48"/>
      <c r="L2239" s="65"/>
    </row>
    <row r="2240" spans="5:12">
      <c r="E2240" s="49">
        <v>45056.465277769894</v>
      </c>
      <c r="F2240" s="56">
        <v>0</v>
      </c>
      <c r="G2240" s="48"/>
      <c r="H2240" s="48"/>
      <c r="I2240" s="48"/>
      <c r="J2240" s="48"/>
      <c r="L2240" s="65"/>
    </row>
    <row r="2241" spans="5:12">
      <c r="E2241" s="49">
        <v>45056.468749992113</v>
      </c>
      <c r="F2241" s="56">
        <v>0</v>
      </c>
      <c r="G2241" s="48"/>
      <c r="H2241" s="48"/>
      <c r="I2241" s="48"/>
      <c r="J2241" s="48"/>
      <c r="L2241" s="65"/>
    </row>
    <row r="2242" spans="5:12">
      <c r="E2242" s="49">
        <v>45056.472222214332</v>
      </c>
      <c r="F2242" s="56">
        <v>0</v>
      </c>
      <c r="G2242" s="48"/>
      <c r="H2242" s="48"/>
      <c r="I2242" s="48"/>
      <c r="J2242" s="48"/>
      <c r="L2242" s="65"/>
    </row>
    <row r="2243" spans="5:12">
      <c r="E2243" s="49">
        <v>45056.475694436551</v>
      </c>
      <c r="F2243" s="56">
        <v>0</v>
      </c>
      <c r="G2243" s="48"/>
      <c r="H2243" s="48"/>
      <c r="I2243" s="48"/>
      <c r="J2243" s="48"/>
      <c r="L2243" s="65"/>
    </row>
    <row r="2244" spans="5:12">
      <c r="E2244" s="49">
        <v>45056.47916665877</v>
      </c>
      <c r="F2244" s="56">
        <v>0</v>
      </c>
      <c r="G2244" s="48"/>
      <c r="H2244" s="48"/>
      <c r="I2244" s="48"/>
      <c r="J2244" s="48"/>
      <c r="L2244" s="65"/>
    </row>
    <row r="2245" spans="5:12">
      <c r="E2245" s="49">
        <v>45056.482638880989</v>
      </c>
      <c r="F2245" s="56">
        <v>0</v>
      </c>
      <c r="G2245" s="48"/>
      <c r="H2245" s="48"/>
      <c r="I2245" s="48"/>
      <c r="J2245" s="48"/>
      <c r="L2245" s="65"/>
    </row>
    <row r="2246" spans="5:12">
      <c r="E2246" s="49">
        <v>45056.486111103208</v>
      </c>
      <c r="F2246" s="56">
        <v>0</v>
      </c>
      <c r="G2246" s="48"/>
      <c r="H2246" s="48"/>
      <c r="I2246" s="48"/>
      <c r="J2246" s="48"/>
      <c r="L2246" s="65"/>
    </row>
    <row r="2247" spans="5:12">
      <c r="E2247" s="49">
        <v>45056.489583325427</v>
      </c>
      <c r="F2247" s="56">
        <v>0</v>
      </c>
      <c r="G2247" s="48"/>
      <c r="H2247" s="48"/>
      <c r="I2247" s="48"/>
      <c r="J2247" s="48"/>
      <c r="L2247" s="65"/>
    </row>
    <row r="2248" spans="5:12">
      <c r="E2248" s="49">
        <v>45056.493055547646</v>
      </c>
      <c r="F2248" s="56">
        <v>0</v>
      </c>
      <c r="G2248" s="48"/>
      <c r="H2248" s="48"/>
      <c r="I2248" s="48"/>
      <c r="J2248" s="48"/>
      <c r="L2248" s="65"/>
    </row>
    <row r="2249" spans="5:12">
      <c r="E2249" s="49">
        <v>45056.496527769865</v>
      </c>
      <c r="F2249" s="56">
        <v>0</v>
      </c>
      <c r="G2249" s="48"/>
      <c r="H2249" s="48"/>
      <c r="I2249" s="48"/>
      <c r="J2249" s="48"/>
      <c r="L2249" s="65"/>
    </row>
    <row r="2250" spans="5:12">
      <c r="E2250" s="49">
        <v>45056.499999992084</v>
      </c>
      <c r="F2250" s="56">
        <v>0</v>
      </c>
      <c r="G2250" s="48"/>
      <c r="H2250" s="48"/>
      <c r="I2250" s="48"/>
      <c r="J2250" s="48"/>
      <c r="L2250" s="65"/>
    </row>
    <row r="2251" spans="5:12">
      <c r="E2251" s="49">
        <v>45056.503472214303</v>
      </c>
      <c r="F2251" s="56">
        <v>0</v>
      </c>
      <c r="G2251" s="48"/>
      <c r="H2251" s="48"/>
      <c r="I2251" s="48"/>
      <c r="J2251" s="48"/>
      <c r="L2251" s="65"/>
    </row>
    <row r="2252" spans="5:12">
      <c r="E2252" s="49">
        <v>45056.506944436522</v>
      </c>
      <c r="F2252" s="56">
        <v>0</v>
      </c>
      <c r="G2252" s="48"/>
      <c r="H2252" s="48"/>
      <c r="I2252" s="48"/>
      <c r="J2252" s="48"/>
      <c r="L2252" s="65"/>
    </row>
    <row r="2253" spans="5:12">
      <c r="E2253" s="49">
        <v>45056.510416658741</v>
      </c>
      <c r="F2253" s="56">
        <v>0</v>
      </c>
      <c r="G2253" s="48"/>
      <c r="H2253" s="48"/>
      <c r="I2253" s="48"/>
      <c r="J2253" s="48"/>
      <c r="L2253" s="65"/>
    </row>
    <row r="2254" spans="5:12">
      <c r="E2254" s="49">
        <v>45056.51388888096</v>
      </c>
      <c r="F2254" s="56">
        <v>0</v>
      </c>
      <c r="G2254" s="48"/>
      <c r="H2254" s="48"/>
      <c r="I2254" s="48"/>
      <c r="J2254" s="48"/>
      <c r="L2254" s="65"/>
    </row>
    <row r="2255" spans="5:12">
      <c r="E2255" s="49">
        <v>45056.517361103179</v>
      </c>
      <c r="F2255" s="56">
        <v>0</v>
      </c>
      <c r="G2255" s="48"/>
      <c r="H2255" s="48"/>
      <c r="I2255" s="48"/>
      <c r="J2255" s="48"/>
      <c r="L2255" s="65"/>
    </row>
    <row r="2256" spans="5:12">
      <c r="E2256" s="49">
        <v>45056.520833325398</v>
      </c>
      <c r="F2256" s="56">
        <v>0</v>
      </c>
      <c r="G2256" s="48"/>
      <c r="H2256" s="48"/>
      <c r="I2256" s="48"/>
      <c r="J2256" s="48"/>
      <c r="L2256" s="65"/>
    </row>
    <row r="2257" spans="5:12">
      <c r="E2257" s="49">
        <v>45056.524305547617</v>
      </c>
      <c r="F2257" s="56">
        <v>0</v>
      </c>
      <c r="G2257" s="48"/>
      <c r="H2257" s="48"/>
      <c r="I2257" s="48"/>
      <c r="J2257" s="48"/>
      <c r="L2257" s="65"/>
    </row>
    <row r="2258" spans="5:12">
      <c r="E2258" s="49">
        <v>45056.527777769836</v>
      </c>
      <c r="F2258" s="56">
        <v>0</v>
      </c>
      <c r="G2258" s="48"/>
      <c r="H2258" s="48"/>
      <c r="I2258" s="48"/>
      <c r="J2258" s="48"/>
      <c r="L2258" s="65"/>
    </row>
    <row r="2259" spans="5:12">
      <c r="E2259" s="49">
        <v>45056.531249992055</v>
      </c>
      <c r="F2259" s="56">
        <v>0</v>
      </c>
      <c r="G2259" s="48"/>
      <c r="H2259" s="48"/>
      <c r="I2259" s="48"/>
      <c r="J2259" s="48"/>
      <c r="L2259" s="65"/>
    </row>
    <row r="2260" spans="5:12">
      <c r="E2260" s="49">
        <v>45056.534722214274</v>
      </c>
      <c r="F2260" s="56">
        <v>0</v>
      </c>
      <c r="G2260" s="48"/>
      <c r="H2260" s="48"/>
      <c r="I2260" s="48"/>
      <c r="J2260" s="48"/>
      <c r="L2260" s="65"/>
    </row>
    <row r="2261" spans="5:12">
      <c r="E2261" s="49">
        <v>45056.538194436493</v>
      </c>
      <c r="F2261" s="56">
        <v>0</v>
      </c>
      <c r="G2261" s="48"/>
      <c r="H2261" s="48"/>
      <c r="I2261" s="48"/>
      <c r="J2261" s="48"/>
      <c r="L2261" s="65"/>
    </row>
    <row r="2262" spans="5:12">
      <c r="E2262" s="49">
        <v>45056.541666658712</v>
      </c>
      <c r="F2262" s="56">
        <v>0</v>
      </c>
      <c r="G2262" s="48"/>
      <c r="H2262" s="48"/>
      <c r="I2262" s="48"/>
      <c r="J2262" s="48"/>
      <c r="L2262" s="65"/>
    </row>
    <row r="2263" spans="5:12">
      <c r="E2263" s="49">
        <v>45056.545138880931</v>
      </c>
      <c r="F2263" s="56">
        <v>0</v>
      </c>
      <c r="G2263" s="48"/>
      <c r="H2263" s="48"/>
      <c r="I2263" s="48"/>
      <c r="J2263" s="48"/>
      <c r="L2263" s="65"/>
    </row>
    <row r="2264" spans="5:12">
      <c r="E2264" s="49">
        <v>45056.54861110315</v>
      </c>
      <c r="F2264" s="56">
        <v>0</v>
      </c>
      <c r="G2264" s="48"/>
      <c r="H2264" s="48"/>
      <c r="I2264" s="48"/>
      <c r="J2264" s="48"/>
      <c r="L2264" s="65"/>
    </row>
    <row r="2265" spans="5:12">
      <c r="E2265" s="49">
        <v>45056.552083325369</v>
      </c>
      <c r="F2265" s="56">
        <v>0</v>
      </c>
      <c r="G2265" s="48"/>
      <c r="H2265" s="48"/>
      <c r="I2265" s="48"/>
      <c r="J2265" s="48"/>
      <c r="L2265" s="65"/>
    </row>
    <row r="2266" spans="5:12">
      <c r="E2266" s="49">
        <v>45056.555555547588</v>
      </c>
      <c r="F2266" s="56">
        <v>0</v>
      </c>
      <c r="G2266" s="48"/>
      <c r="H2266" s="48"/>
      <c r="I2266" s="48"/>
      <c r="J2266" s="48"/>
      <c r="L2266" s="65"/>
    </row>
    <row r="2267" spans="5:12">
      <c r="E2267" s="49">
        <v>45056.559027769807</v>
      </c>
      <c r="F2267" s="56">
        <v>0</v>
      </c>
      <c r="G2267" s="48"/>
      <c r="H2267" s="48"/>
      <c r="I2267" s="48"/>
      <c r="J2267" s="48"/>
      <c r="L2267" s="65"/>
    </row>
    <row r="2268" spans="5:12">
      <c r="E2268" s="49">
        <v>45056.562499992026</v>
      </c>
      <c r="F2268" s="56">
        <v>0</v>
      </c>
      <c r="G2268" s="48"/>
      <c r="H2268" s="48"/>
      <c r="I2268" s="48"/>
      <c r="J2268" s="48"/>
      <c r="L2268" s="65"/>
    </row>
    <row r="2269" spans="5:12">
      <c r="E2269" s="49">
        <v>45056.565972214245</v>
      </c>
      <c r="F2269" s="56">
        <v>0</v>
      </c>
      <c r="G2269" s="48"/>
      <c r="H2269" s="48"/>
      <c r="I2269" s="48"/>
      <c r="J2269" s="48"/>
      <c r="L2269" s="65"/>
    </row>
    <row r="2270" spans="5:12">
      <c r="E2270" s="49">
        <v>45056.569444436464</v>
      </c>
      <c r="F2270" s="56">
        <v>0</v>
      </c>
      <c r="G2270" s="48"/>
      <c r="H2270" s="48"/>
      <c r="I2270" s="48"/>
      <c r="J2270" s="48"/>
      <c r="L2270" s="65"/>
    </row>
    <row r="2271" spans="5:12">
      <c r="E2271" s="49">
        <v>45056.572916658683</v>
      </c>
      <c r="F2271" s="56">
        <v>0</v>
      </c>
      <c r="G2271" s="48"/>
      <c r="H2271" s="48"/>
      <c r="I2271" s="48"/>
      <c r="J2271" s="48"/>
      <c r="L2271" s="65"/>
    </row>
    <row r="2272" spans="5:12">
      <c r="E2272" s="49">
        <v>45056.576388880902</v>
      </c>
      <c r="F2272" s="56">
        <v>0</v>
      </c>
      <c r="G2272" s="48"/>
      <c r="H2272" s="48"/>
      <c r="I2272" s="48"/>
      <c r="J2272" s="48"/>
      <c r="L2272" s="65"/>
    </row>
    <row r="2273" spans="5:12">
      <c r="E2273" s="49">
        <v>45056.57986110312</v>
      </c>
      <c r="F2273" s="56">
        <v>0</v>
      </c>
      <c r="G2273" s="48"/>
      <c r="H2273" s="48"/>
      <c r="I2273" s="48"/>
      <c r="J2273" s="48"/>
      <c r="L2273" s="65"/>
    </row>
    <row r="2274" spans="5:12">
      <c r="E2274" s="49">
        <v>45056.583333325339</v>
      </c>
      <c r="F2274" s="56">
        <v>0</v>
      </c>
      <c r="G2274" s="48"/>
      <c r="H2274" s="48"/>
      <c r="I2274" s="48"/>
      <c r="J2274" s="48"/>
      <c r="L2274" s="65"/>
    </row>
    <row r="2275" spans="5:12">
      <c r="E2275" s="49">
        <v>45056.586805547558</v>
      </c>
      <c r="F2275" s="56">
        <v>0</v>
      </c>
      <c r="G2275" s="48"/>
      <c r="H2275" s="48"/>
      <c r="I2275" s="48"/>
      <c r="J2275" s="48"/>
      <c r="L2275" s="65"/>
    </row>
    <row r="2276" spans="5:12">
      <c r="E2276" s="49">
        <v>45056.590277769777</v>
      </c>
      <c r="F2276" s="56">
        <v>0</v>
      </c>
      <c r="G2276" s="48"/>
      <c r="H2276" s="48"/>
      <c r="I2276" s="48"/>
      <c r="J2276" s="48"/>
      <c r="L2276" s="65"/>
    </row>
    <row r="2277" spans="5:12">
      <c r="E2277" s="49">
        <v>45056.593749991996</v>
      </c>
      <c r="F2277" s="56">
        <v>0</v>
      </c>
      <c r="G2277" s="48"/>
      <c r="H2277" s="48"/>
      <c r="I2277" s="48"/>
      <c r="J2277" s="48"/>
      <c r="L2277" s="65"/>
    </row>
    <row r="2278" spans="5:12">
      <c r="E2278" s="49">
        <v>45056.597222214215</v>
      </c>
      <c r="F2278" s="56">
        <v>0</v>
      </c>
      <c r="G2278" s="48"/>
      <c r="H2278" s="48"/>
      <c r="I2278" s="48"/>
      <c r="J2278" s="48"/>
      <c r="L2278" s="65"/>
    </row>
    <row r="2279" spans="5:12">
      <c r="E2279" s="49">
        <v>45056.600694436434</v>
      </c>
      <c r="F2279" s="56">
        <v>0</v>
      </c>
      <c r="G2279" s="48"/>
      <c r="H2279" s="48"/>
      <c r="I2279" s="48"/>
      <c r="J2279" s="48"/>
      <c r="L2279" s="65"/>
    </row>
    <row r="2280" spans="5:12">
      <c r="E2280" s="49">
        <v>45056.604166658653</v>
      </c>
      <c r="F2280" s="56">
        <v>0</v>
      </c>
      <c r="G2280" s="48"/>
      <c r="H2280" s="48"/>
      <c r="I2280" s="48"/>
      <c r="J2280" s="48"/>
      <c r="L2280" s="65"/>
    </row>
    <row r="2281" spans="5:12">
      <c r="E2281" s="49">
        <v>45056.607638880872</v>
      </c>
      <c r="F2281" s="56">
        <v>0</v>
      </c>
      <c r="G2281" s="48"/>
      <c r="H2281" s="48"/>
      <c r="I2281" s="48"/>
      <c r="J2281" s="48"/>
      <c r="L2281" s="65"/>
    </row>
    <row r="2282" spans="5:12">
      <c r="E2282" s="49">
        <v>45056.611111103091</v>
      </c>
      <c r="F2282" s="56">
        <v>0</v>
      </c>
      <c r="G2282" s="48"/>
      <c r="H2282" s="48"/>
      <c r="I2282" s="48"/>
      <c r="J2282" s="48"/>
      <c r="L2282" s="65"/>
    </row>
    <row r="2283" spans="5:12">
      <c r="E2283" s="49">
        <v>45056.61458332531</v>
      </c>
      <c r="F2283" s="56">
        <v>0</v>
      </c>
      <c r="G2283" s="48"/>
      <c r="H2283" s="48"/>
      <c r="I2283" s="48"/>
      <c r="J2283" s="48"/>
      <c r="L2283" s="65"/>
    </row>
    <row r="2284" spans="5:12">
      <c r="E2284" s="49">
        <v>45056.618055547529</v>
      </c>
      <c r="F2284" s="56">
        <v>0</v>
      </c>
      <c r="G2284" s="48"/>
      <c r="H2284" s="48"/>
      <c r="I2284" s="48"/>
      <c r="J2284" s="48"/>
      <c r="L2284" s="65"/>
    </row>
    <row r="2285" spans="5:12">
      <c r="E2285" s="49">
        <v>45056.621527769748</v>
      </c>
      <c r="F2285" s="56">
        <v>0</v>
      </c>
      <c r="G2285" s="48"/>
      <c r="H2285" s="48"/>
      <c r="I2285" s="48"/>
      <c r="J2285" s="48"/>
      <c r="L2285" s="65"/>
    </row>
    <row r="2286" spans="5:12">
      <c r="E2286" s="49">
        <v>45056.624999991967</v>
      </c>
      <c r="F2286" s="56">
        <v>0</v>
      </c>
      <c r="G2286" s="48"/>
      <c r="H2286" s="48"/>
      <c r="I2286" s="48"/>
      <c r="J2286" s="48"/>
      <c r="L2286" s="65"/>
    </row>
    <row r="2287" spans="5:12">
      <c r="E2287" s="49">
        <v>45056.628472214186</v>
      </c>
      <c r="F2287" s="56">
        <v>0</v>
      </c>
      <c r="G2287" s="48"/>
      <c r="H2287" s="48"/>
      <c r="I2287" s="48"/>
      <c r="J2287" s="48"/>
      <c r="L2287" s="65"/>
    </row>
    <row r="2288" spans="5:12">
      <c r="E2288" s="49">
        <v>45056.631944436405</v>
      </c>
      <c r="F2288" s="56">
        <v>0</v>
      </c>
      <c r="G2288" s="48"/>
      <c r="H2288" s="48"/>
      <c r="I2288" s="48"/>
      <c r="J2288" s="48"/>
      <c r="L2288" s="65"/>
    </row>
    <row r="2289" spans="5:12">
      <c r="E2289" s="49">
        <v>45056.635416658624</v>
      </c>
      <c r="F2289" s="56">
        <v>0</v>
      </c>
      <c r="G2289" s="48"/>
      <c r="H2289" s="48"/>
      <c r="I2289" s="48"/>
      <c r="J2289" s="48"/>
      <c r="L2289" s="65"/>
    </row>
    <row r="2290" spans="5:12">
      <c r="E2290" s="49">
        <v>45056.638888880843</v>
      </c>
      <c r="F2290" s="56">
        <v>0</v>
      </c>
      <c r="G2290" s="48"/>
      <c r="H2290" s="48"/>
      <c r="I2290" s="48"/>
      <c r="J2290" s="48"/>
      <c r="L2290" s="65"/>
    </row>
    <row r="2291" spans="5:12">
      <c r="E2291" s="49">
        <v>45056.642361103062</v>
      </c>
      <c r="F2291" s="56">
        <v>0</v>
      </c>
      <c r="G2291" s="48"/>
      <c r="H2291" s="48"/>
      <c r="I2291" s="48"/>
      <c r="J2291" s="48"/>
      <c r="L2291" s="65"/>
    </row>
    <row r="2292" spans="5:12">
      <c r="E2292" s="49">
        <v>45056.645833325281</v>
      </c>
      <c r="F2292" s="56">
        <v>0</v>
      </c>
      <c r="G2292" s="48"/>
      <c r="H2292" s="48"/>
      <c r="I2292" s="48"/>
      <c r="J2292" s="48"/>
      <c r="L2292" s="65"/>
    </row>
    <row r="2293" spans="5:12">
      <c r="E2293" s="49">
        <v>45056.6493055475</v>
      </c>
      <c r="F2293" s="56">
        <v>0</v>
      </c>
      <c r="G2293" s="48"/>
      <c r="H2293" s="48"/>
      <c r="I2293" s="48"/>
      <c r="J2293" s="48"/>
      <c r="L2293" s="65"/>
    </row>
    <row r="2294" spans="5:12">
      <c r="E2294" s="49">
        <v>45056.652777769719</v>
      </c>
      <c r="F2294" s="56">
        <v>0</v>
      </c>
      <c r="G2294" s="48"/>
      <c r="H2294" s="48"/>
      <c r="I2294" s="48"/>
      <c r="J2294" s="48"/>
      <c r="L2294" s="65"/>
    </row>
    <row r="2295" spans="5:12">
      <c r="E2295" s="49">
        <v>45056.656249991938</v>
      </c>
      <c r="F2295" s="56">
        <v>0</v>
      </c>
      <c r="G2295" s="48"/>
      <c r="H2295" s="48"/>
      <c r="I2295" s="48"/>
      <c r="J2295" s="48"/>
      <c r="L2295" s="65"/>
    </row>
    <row r="2296" spans="5:12">
      <c r="E2296" s="49">
        <v>45056.659722214157</v>
      </c>
      <c r="F2296" s="56">
        <v>0</v>
      </c>
      <c r="G2296" s="48"/>
      <c r="H2296" s="48"/>
      <c r="I2296" s="48"/>
      <c r="J2296" s="48"/>
      <c r="L2296" s="65"/>
    </row>
    <row r="2297" spans="5:12">
      <c r="E2297" s="49">
        <v>45056.663194436376</v>
      </c>
      <c r="F2297" s="56">
        <v>0</v>
      </c>
      <c r="G2297" s="48"/>
      <c r="H2297" s="48"/>
      <c r="I2297" s="48"/>
      <c r="J2297" s="48"/>
      <c r="L2297" s="65"/>
    </row>
    <row r="2298" spans="5:12">
      <c r="E2298" s="49">
        <v>45056.666666658595</v>
      </c>
      <c r="F2298" s="56">
        <v>0</v>
      </c>
      <c r="G2298" s="48"/>
      <c r="H2298" s="48"/>
      <c r="I2298" s="48"/>
      <c r="J2298" s="48"/>
      <c r="L2298" s="65"/>
    </row>
    <row r="2299" spans="5:12">
      <c r="E2299" s="49">
        <v>45056.670138880814</v>
      </c>
      <c r="F2299" s="56">
        <v>0</v>
      </c>
      <c r="G2299" s="48"/>
      <c r="H2299" s="48"/>
      <c r="I2299" s="48"/>
      <c r="J2299" s="48"/>
      <c r="L2299" s="65"/>
    </row>
    <row r="2300" spans="5:12">
      <c r="E2300" s="49">
        <v>45056.673611103033</v>
      </c>
      <c r="F2300" s="56">
        <v>0</v>
      </c>
      <c r="G2300" s="48"/>
      <c r="H2300" s="48"/>
      <c r="I2300" s="48"/>
      <c r="J2300" s="48"/>
      <c r="L2300" s="65"/>
    </row>
    <row r="2301" spans="5:12">
      <c r="E2301" s="49">
        <v>45056.677083325252</v>
      </c>
      <c r="F2301" s="56">
        <v>0</v>
      </c>
      <c r="G2301" s="48"/>
      <c r="H2301" s="48"/>
      <c r="I2301" s="48"/>
      <c r="J2301" s="48"/>
      <c r="L2301" s="65"/>
    </row>
    <row r="2302" spans="5:12">
      <c r="E2302" s="49">
        <v>45056.680555547471</v>
      </c>
      <c r="F2302" s="56">
        <v>0</v>
      </c>
      <c r="G2302" s="48"/>
      <c r="H2302" s="48"/>
      <c r="I2302" s="48"/>
      <c r="J2302" s="48"/>
      <c r="L2302" s="65"/>
    </row>
    <row r="2303" spans="5:12">
      <c r="E2303" s="49">
        <v>45056.68402776969</v>
      </c>
      <c r="F2303" s="56">
        <v>0</v>
      </c>
      <c r="G2303" s="48"/>
      <c r="H2303" s="48"/>
      <c r="I2303" s="48"/>
      <c r="J2303" s="48"/>
      <c r="L2303" s="65"/>
    </row>
    <row r="2304" spans="5:12">
      <c r="E2304" s="49">
        <v>45056.687499991909</v>
      </c>
      <c r="F2304" s="56">
        <v>0</v>
      </c>
      <c r="G2304" s="48"/>
      <c r="H2304" s="48"/>
      <c r="I2304" s="48"/>
      <c r="J2304" s="48"/>
      <c r="L2304" s="65"/>
    </row>
    <row r="2305" spans="5:12">
      <c r="E2305" s="49">
        <v>45056.690972214128</v>
      </c>
      <c r="F2305" s="56">
        <v>0</v>
      </c>
      <c r="G2305" s="48"/>
      <c r="H2305" s="48"/>
      <c r="I2305" s="48"/>
      <c r="J2305" s="48"/>
      <c r="L2305" s="65"/>
    </row>
    <row r="2306" spans="5:12">
      <c r="E2306" s="49">
        <v>45056.694444436347</v>
      </c>
      <c r="F2306" s="56">
        <v>0</v>
      </c>
      <c r="G2306" s="48"/>
      <c r="H2306" s="48"/>
      <c r="I2306" s="48"/>
      <c r="J2306" s="48"/>
      <c r="L2306" s="65"/>
    </row>
    <row r="2307" spans="5:12">
      <c r="E2307" s="49">
        <v>45056.697916658566</v>
      </c>
      <c r="F2307" s="56">
        <v>0</v>
      </c>
      <c r="G2307" s="48"/>
      <c r="H2307" s="48"/>
      <c r="I2307" s="48"/>
      <c r="J2307" s="48"/>
      <c r="L2307" s="65"/>
    </row>
    <row r="2308" spans="5:12">
      <c r="E2308" s="49">
        <v>45056.701388880785</v>
      </c>
      <c r="F2308" s="56">
        <v>0</v>
      </c>
      <c r="G2308" s="48"/>
      <c r="H2308" s="48"/>
      <c r="I2308" s="48"/>
      <c r="J2308" s="48"/>
      <c r="L2308" s="65"/>
    </row>
    <row r="2309" spans="5:12">
      <c r="E2309" s="49">
        <v>45056.704861103004</v>
      </c>
      <c r="F2309" s="56">
        <v>0</v>
      </c>
      <c r="G2309" s="48"/>
      <c r="H2309" s="48"/>
      <c r="I2309" s="48"/>
      <c r="J2309" s="48"/>
      <c r="L2309" s="65"/>
    </row>
    <row r="2310" spans="5:12">
      <c r="E2310" s="49">
        <v>45056.708333325223</v>
      </c>
      <c r="F2310" s="56">
        <v>0</v>
      </c>
      <c r="G2310" s="48"/>
      <c r="H2310" s="48"/>
      <c r="I2310" s="48"/>
      <c r="J2310" s="48"/>
      <c r="L2310" s="65"/>
    </row>
    <row r="2311" spans="5:12">
      <c r="E2311" s="49">
        <v>45056.711805547442</v>
      </c>
      <c r="F2311" s="56">
        <v>0</v>
      </c>
      <c r="G2311" s="48"/>
      <c r="H2311" s="48"/>
      <c r="I2311" s="48"/>
      <c r="J2311" s="48"/>
      <c r="L2311" s="65"/>
    </row>
    <row r="2312" spans="5:12">
      <c r="E2312" s="49">
        <v>45056.715277769661</v>
      </c>
      <c r="F2312" s="56">
        <v>0</v>
      </c>
      <c r="G2312" s="48"/>
      <c r="H2312" s="48"/>
      <c r="I2312" s="48"/>
      <c r="J2312" s="48"/>
      <c r="L2312" s="65"/>
    </row>
    <row r="2313" spans="5:12">
      <c r="E2313" s="49">
        <v>45056.71874999188</v>
      </c>
      <c r="F2313" s="56">
        <v>0</v>
      </c>
      <c r="G2313" s="48"/>
      <c r="H2313" s="48"/>
      <c r="I2313" s="48"/>
      <c r="J2313" s="48"/>
      <c r="L2313" s="65"/>
    </row>
    <row r="2314" spans="5:12">
      <c r="E2314" s="49">
        <v>45056.722222214099</v>
      </c>
      <c r="F2314" s="56">
        <v>0</v>
      </c>
      <c r="G2314" s="48"/>
      <c r="H2314" s="48"/>
      <c r="I2314" s="48"/>
      <c r="J2314" s="48"/>
      <c r="L2314" s="65"/>
    </row>
    <row r="2315" spans="5:12">
      <c r="E2315" s="49">
        <v>45056.725694436318</v>
      </c>
      <c r="F2315" s="56">
        <v>0</v>
      </c>
      <c r="G2315" s="48"/>
      <c r="H2315" s="48"/>
      <c r="I2315" s="48"/>
      <c r="J2315" s="48"/>
      <c r="L2315" s="65"/>
    </row>
    <row r="2316" spans="5:12">
      <c r="E2316" s="49">
        <v>45056.729166658537</v>
      </c>
      <c r="F2316" s="56">
        <v>0</v>
      </c>
      <c r="G2316" s="48"/>
      <c r="H2316" s="48"/>
      <c r="I2316" s="48"/>
      <c r="J2316" s="48"/>
      <c r="L2316" s="65"/>
    </row>
    <row r="2317" spans="5:12">
      <c r="E2317" s="49">
        <v>45056.732638880756</v>
      </c>
      <c r="F2317" s="56">
        <v>0</v>
      </c>
      <c r="G2317" s="48"/>
      <c r="H2317" s="48"/>
      <c r="I2317" s="48"/>
      <c r="J2317" s="48"/>
      <c r="L2317" s="65"/>
    </row>
    <row r="2318" spans="5:12">
      <c r="E2318" s="49">
        <v>45056.736111102975</v>
      </c>
      <c r="F2318" s="56">
        <v>0</v>
      </c>
      <c r="G2318" s="48"/>
      <c r="H2318" s="48"/>
      <c r="I2318" s="48"/>
      <c r="J2318" s="48"/>
      <c r="L2318" s="65"/>
    </row>
    <row r="2319" spans="5:12">
      <c r="E2319" s="49">
        <v>45056.739583325194</v>
      </c>
      <c r="F2319" s="56">
        <v>0</v>
      </c>
      <c r="G2319" s="48"/>
      <c r="H2319" s="48"/>
      <c r="I2319" s="48"/>
      <c r="J2319" s="48"/>
      <c r="L2319" s="65"/>
    </row>
    <row r="2320" spans="5:12">
      <c r="E2320" s="49">
        <v>45056.743055547413</v>
      </c>
      <c r="F2320" s="56">
        <v>0</v>
      </c>
      <c r="G2320" s="48"/>
      <c r="H2320" s="48"/>
      <c r="I2320" s="48"/>
      <c r="J2320" s="48"/>
      <c r="L2320" s="65"/>
    </row>
    <row r="2321" spans="5:12">
      <c r="E2321" s="49">
        <v>45056.746527769632</v>
      </c>
      <c r="F2321" s="56">
        <v>0</v>
      </c>
      <c r="G2321" s="48"/>
      <c r="H2321" s="48"/>
      <c r="I2321" s="48"/>
      <c r="J2321" s="48"/>
      <c r="L2321" s="65"/>
    </row>
    <row r="2322" spans="5:12">
      <c r="E2322" s="49">
        <v>45056.749999991851</v>
      </c>
      <c r="F2322" s="56">
        <v>0</v>
      </c>
      <c r="G2322" s="48"/>
      <c r="H2322" s="48"/>
      <c r="I2322" s="48"/>
      <c r="J2322" s="48"/>
      <c r="L2322" s="65"/>
    </row>
    <row r="2323" spans="5:12">
      <c r="E2323" s="49">
        <v>45056.75347221407</v>
      </c>
      <c r="F2323" s="56">
        <v>0</v>
      </c>
      <c r="G2323" s="48"/>
      <c r="H2323" s="48"/>
      <c r="I2323" s="48"/>
      <c r="J2323" s="48"/>
      <c r="L2323" s="65"/>
    </row>
    <row r="2324" spans="5:12">
      <c r="E2324" s="49">
        <v>45056.756944436289</v>
      </c>
      <c r="F2324" s="56">
        <v>0</v>
      </c>
      <c r="G2324" s="48"/>
      <c r="H2324" s="48"/>
      <c r="I2324" s="48"/>
      <c r="J2324" s="48"/>
      <c r="L2324" s="65"/>
    </row>
    <row r="2325" spans="5:12">
      <c r="E2325" s="49">
        <v>45056.760416658508</v>
      </c>
      <c r="F2325" s="56">
        <v>0</v>
      </c>
      <c r="G2325" s="48"/>
      <c r="H2325" s="48"/>
      <c r="I2325" s="48"/>
      <c r="J2325" s="48"/>
      <c r="L2325" s="65"/>
    </row>
    <row r="2326" spans="5:12">
      <c r="E2326" s="49">
        <v>45056.763888880727</v>
      </c>
      <c r="F2326" s="56">
        <v>0</v>
      </c>
      <c r="G2326" s="48"/>
      <c r="H2326" s="48"/>
      <c r="I2326" s="48"/>
      <c r="J2326" s="48"/>
      <c r="L2326" s="65"/>
    </row>
    <row r="2327" spans="5:12">
      <c r="E2327" s="49">
        <v>45056.767361102946</v>
      </c>
      <c r="F2327" s="56">
        <v>0</v>
      </c>
      <c r="G2327" s="48"/>
      <c r="H2327" s="48"/>
      <c r="I2327" s="48"/>
      <c r="J2327" s="48"/>
      <c r="L2327" s="65"/>
    </row>
    <row r="2328" spans="5:12">
      <c r="E2328" s="49">
        <v>45056.770833325165</v>
      </c>
      <c r="F2328" s="56">
        <v>0</v>
      </c>
      <c r="G2328" s="48"/>
      <c r="H2328" s="48"/>
      <c r="I2328" s="48"/>
      <c r="J2328" s="48"/>
      <c r="L2328" s="65"/>
    </row>
    <row r="2329" spans="5:12">
      <c r="E2329" s="49">
        <v>45056.774305547384</v>
      </c>
      <c r="F2329" s="56">
        <v>0</v>
      </c>
      <c r="G2329" s="48"/>
      <c r="H2329" s="48"/>
      <c r="I2329" s="48"/>
      <c r="J2329" s="48"/>
      <c r="L2329" s="65"/>
    </row>
    <row r="2330" spans="5:12">
      <c r="E2330" s="49">
        <v>45056.777777769603</v>
      </c>
      <c r="F2330" s="56">
        <v>0</v>
      </c>
      <c r="G2330" s="48"/>
      <c r="H2330" s="48"/>
      <c r="I2330" s="48"/>
      <c r="J2330" s="48"/>
      <c r="L2330" s="65"/>
    </row>
    <row r="2331" spans="5:12">
      <c r="E2331" s="49">
        <v>45056.781249991822</v>
      </c>
      <c r="F2331" s="56">
        <v>0</v>
      </c>
      <c r="G2331" s="48"/>
      <c r="H2331" s="48"/>
      <c r="I2331" s="48"/>
      <c r="J2331" s="48"/>
      <c r="L2331" s="65"/>
    </row>
    <row r="2332" spans="5:12">
      <c r="E2332" s="49">
        <v>45056.784722214041</v>
      </c>
      <c r="F2332" s="56">
        <v>0</v>
      </c>
      <c r="G2332" s="48"/>
      <c r="H2332" s="48"/>
      <c r="I2332" s="48"/>
      <c r="J2332" s="48"/>
      <c r="L2332" s="65"/>
    </row>
    <row r="2333" spans="5:12">
      <c r="E2333" s="49">
        <v>45056.78819443626</v>
      </c>
      <c r="F2333" s="56">
        <v>0</v>
      </c>
      <c r="G2333" s="48"/>
      <c r="H2333" s="48"/>
      <c r="I2333" s="48"/>
      <c r="J2333" s="48"/>
      <c r="L2333" s="65"/>
    </row>
    <row r="2334" spans="5:12">
      <c r="E2334" s="49">
        <v>45056.791666658479</v>
      </c>
      <c r="F2334" s="56">
        <v>0</v>
      </c>
      <c r="G2334" s="48"/>
      <c r="H2334" s="48"/>
      <c r="I2334" s="48"/>
      <c r="J2334" s="48"/>
      <c r="L2334" s="65"/>
    </row>
    <row r="2335" spans="5:12">
      <c r="E2335" s="49">
        <v>45056.795138880698</v>
      </c>
      <c r="F2335" s="56">
        <v>0</v>
      </c>
      <c r="G2335" s="48"/>
      <c r="H2335" s="48"/>
      <c r="I2335" s="48"/>
      <c r="J2335" s="48"/>
      <c r="L2335" s="65"/>
    </row>
    <row r="2336" spans="5:12">
      <c r="E2336" s="49">
        <v>45056.798611102917</v>
      </c>
      <c r="F2336" s="56">
        <v>0</v>
      </c>
      <c r="G2336" s="48"/>
      <c r="H2336" s="48"/>
      <c r="I2336" s="48"/>
      <c r="J2336" s="48"/>
      <c r="L2336" s="65"/>
    </row>
    <row r="2337" spans="5:12">
      <c r="E2337" s="49">
        <v>45056.802083325136</v>
      </c>
      <c r="F2337" s="56">
        <v>0</v>
      </c>
      <c r="G2337" s="48"/>
      <c r="H2337" s="48"/>
      <c r="I2337" s="48"/>
      <c r="J2337" s="48"/>
      <c r="L2337" s="65"/>
    </row>
    <row r="2338" spans="5:12">
      <c r="E2338" s="49">
        <v>45056.805555547355</v>
      </c>
      <c r="F2338" s="56">
        <v>0</v>
      </c>
      <c r="G2338" s="48"/>
      <c r="H2338" s="48"/>
      <c r="I2338" s="48"/>
      <c r="J2338" s="48"/>
      <c r="L2338" s="65"/>
    </row>
    <row r="2339" spans="5:12">
      <c r="E2339" s="49">
        <v>45056.809027769574</v>
      </c>
      <c r="F2339" s="56">
        <v>0</v>
      </c>
      <c r="G2339" s="48"/>
      <c r="H2339" s="48"/>
      <c r="I2339" s="48"/>
      <c r="J2339" s="48"/>
      <c r="L2339" s="65"/>
    </row>
    <row r="2340" spans="5:12">
      <c r="E2340" s="49">
        <v>45056.812499991793</v>
      </c>
      <c r="F2340" s="56">
        <v>0</v>
      </c>
      <c r="G2340" s="48"/>
      <c r="H2340" s="48"/>
      <c r="I2340" s="48"/>
      <c r="J2340" s="48"/>
      <c r="L2340" s="65"/>
    </row>
    <row r="2341" spans="5:12">
      <c r="E2341" s="49">
        <v>45056.815972214012</v>
      </c>
      <c r="F2341" s="56">
        <v>0</v>
      </c>
      <c r="G2341" s="48"/>
      <c r="H2341" s="48"/>
      <c r="I2341" s="48"/>
      <c r="J2341" s="48"/>
      <c r="L2341" s="65"/>
    </row>
    <row r="2342" spans="5:12">
      <c r="E2342" s="49">
        <v>45056.819444436231</v>
      </c>
      <c r="F2342" s="56">
        <v>0</v>
      </c>
      <c r="G2342" s="48"/>
      <c r="H2342" s="48"/>
      <c r="I2342" s="48"/>
      <c r="J2342" s="48"/>
      <c r="L2342" s="65"/>
    </row>
    <row r="2343" spans="5:12">
      <c r="E2343" s="49">
        <v>45056.82291665845</v>
      </c>
      <c r="F2343" s="56">
        <v>0</v>
      </c>
      <c r="G2343" s="48"/>
      <c r="H2343" s="48"/>
      <c r="I2343" s="48"/>
      <c r="J2343" s="48"/>
      <c r="L2343" s="65"/>
    </row>
    <row r="2344" spans="5:12">
      <c r="E2344" s="49">
        <v>45056.826388880669</v>
      </c>
      <c r="F2344" s="56">
        <v>0</v>
      </c>
      <c r="G2344" s="48"/>
      <c r="H2344" s="48"/>
      <c r="I2344" s="48"/>
      <c r="J2344" s="48"/>
      <c r="L2344" s="65"/>
    </row>
    <row r="2345" spans="5:12">
      <c r="E2345" s="49">
        <v>45056.829861102888</v>
      </c>
      <c r="F2345" s="56">
        <v>0</v>
      </c>
      <c r="G2345" s="48"/>
      <c r="H2345" s="48"/>
      <c r="I2345" s="48"/>
      <c r="J2345" s="48"/>
      <c r="L2345" s="65"/>
    </row>
    <row r="2346" spans="5:12">
      <c r="E2346" s="49">
        <v>45056.833333325107</v>
      </c>
      <c r="F2346" s="56">
        <v>0</v>
      </c>
      <c r="G2346" s="48"/>
      <c r="H2346" s="48"/>
      <c r="I2346" s="48"/>
      <c r="J2346" s="48"/>
      <c r="L2346" s="65"/>
    </row>
    <row r="2347" spans="5:12">
      <c r="E2347" s="49">
        <v>45056.836805547326</v>
      </c>
      <c r="F2347" s="56">
        <v>0</v>
      </c>
      <c r="G2347" s="48"/>
      <c r="H2347" s="48"/>
      <c r="I2347" s="48"/>
      <c r="J2347" s="48"/>
      <c r="L2347" s="65"/>
    </row>
    <row r="2348" spans="5:12">
      <c r="E2348" s="49">
        <v>45056.840277769545</v>
      </c>
      <c r="F2348" s="56">
        <v>0</v>
      </c>
      <c r="G2348" s="48"/>
      <c r="H2348" s="48"/>
      <c r="I2348" s="48"/>
      <c r="J2348" s="48"/>
      <c r="L2348" s="65"/>
    </row>
    <row r="2349" spans="5:12">
      <c r="E2349" s="49">
        <v>45056.843749991764</v>
      </c>
      <c r="F2349" s="56">
        <v>0</v>
      </c>
      <c r="G2349" s="48"/>
      <c r="H2349" s="48"/>
      <c r="I2349" s="48"/>
      <c r="J2349" s="48"/>
      <c r="L2349" s="65"/>
    </row>
    <row r="2350" spans="5:12">
      <c r="E2350" s="49">
        <v>45056.847222213983</v>
      </c>
      <c r="F2350" s="56">
        <v>0</v>
      </c>
      <c r="G2350" s="48"/>
      <c r="H2350" s="48"/>
      <c r="I2350" s="48"/>
      <c r="J2350" s="48"/>
      <c r="L2350" s="65"/>
    </row>
    <row r="2351" spans="5:12">
      <c r="E2351" s="49">
        <v>45056.850694436202</v>
      </c>
      <c r="F2351" s="56">
        <v>0</v>
      </c>
      <c r="G2351" s="48"/>
      <c r="H2351" s="48"/>
      <c r="I2351" s="48"/>
      <c r="J2351" s="48"/>
      <c r="L2351" s="65"/>
    </row>
    <row r="2352" spans="5:12">
      <c r="E2352" s="49">
        <v>45056.854166658421</v>
      </c>
      <c r="F2352" s="56">
        <v>0</v>
      </c>
      <c r="G2352" s="48"/>
      <c r="H2352" s="48"/>
      <c r="I2352" s="48"/>
      <c r="J2352" s="48"/>
      <c r="L2352" s="65"/>
    </row>
    <row r="2353" spans="5:12">
      <c r="E2353" s="49">
        <v>45056.85763888064</v>
      </c>
      <c r="F2353" s="56">
        <v>0</v>
      </c>
      <c r="G2353" s="48"/>
      <c r="H2353" s="48"/>
      <c r="I2353" s="48"/>
      <c r="J2353" s="48"/>
      <c r="L2353" s="65"/>
    </row>
    <row r="2354" spans="5:12">
      <c r="E2354" s="49">
        <v>45056.861111102859</v>
      </c>
      <c r="F2354" s="56">
        <v>0</v>
      </c>
      <c r="G2354" s="48"/>
      <c r="H2354" s="48"/>
      <c r="I2354" s="48"/>
      <c r="J2354" s="48"/>
      <c r="L2354" s="65"/>
    </row>
    <row r="2355" spans="5:12">
      <c r="E2355" s="49">
        <v>45056.864583325078</v>
      </c>
      <c r="F2355" s="56">
        <v>0</v>
      </c>
      <c r="G2355" s="48"/>
      <c r="H2355" s="48"/>
      <c r="I2355" s="48"/>
      <c r="J2355" s="48"/>
      <c r="L2355" s="65"/>
    </row>
    <row r="2356" spans="5:12">
      <c r="E2356" s="49">
        <v>45056.868055547297</v>
      </c>
      <c r="F2356" s="56">
        <v>0</v>
      </c>
      <c r="G2356" s="48"/>
      <c r="H2356" s="48"/>
      <c r="I2356" s="48"/>
      <c r="J2356" s="48"/>
      <c r="L2356" s="65"/>
    </row>
    <row r="2357" spans="5:12">
      <c r="E2357" s="49">
        <v>45056.871527769516</v>
      </c>
      <c r="F2357" s="56">
        <v>0</v>
      </c>
      <c r="G2357" s="48"/>
      <c r="H2357" s="48"/>
      <c r="I2357" s="48"/>
      <c r="J2357" s="48"/>
      <c r="L2357" s="65"/>
    </row>
    <row r="2358" spans="5:12">
      <c r="E2358" s="49">
        <v>45056.874999991735</v>
      </c>
      <c r="F2358" s="56">
        <v>0</v>
      </c>
      <c r="G2358" s="48"/>
      <c r="H2358" s="48"/>
      <c r="I2358" s="48"/>
      <c r="J2358" s="48"/>
      <c r="L2358" s="65"/>
    </row>
    <row r="2359" spans="5:12">
      <c r="E2359" s="49">
        <v>45056.878472213954</v>
      </c>
      <c r="F2359" s="56">
        <v>0</v>
      </c>
      <c r="G2359" s="48"/>
      <c r="H2359" s="48"/>
      <c r="I2359" s="48"/>
      <c r="J2359" s="48"/>
      <c r="L2359" s="65"/>
    </row>
    <row r="2360" spans="5:12">
      <c r="E2360" s="49">
        <v>45056.881944436172</v>
      </c>
      <c r="F2360" s="56">
        <v>0</v>
      </c>
      <c r="G2360" s="48"/>
      <c r="H2360" s="48"/>
      <c r="I2360" s="48"/>
      <c r="J2360" s="48"/>
      <c r="L2360" s="65"/>
    </row>
    <row r="2361" spans="5:12">
      <c r="E2361" s="49">
        <v>45056.885416658391</v>
      </c>
      <c r="F2361" s="56">
        <v>0</v>
      </c>
      <c r="G2361" s="48"/>
      <c r="H2361" s="48"/>
      <c r="I2361" s="48"/>
      <c r="J2361" s="48"/>
      <c r="L2361" s="65"/>
    </row>
    <row r="2362" spans="5:12">
      <c r="E2362" s="49">
        <v>45056.88888888061</v>
      </c>
      <c r="F2362" s="56">
        <v>0</v>
      </c>
      <c r="G2362" s="48"/>
      <c r="H2362" s="48"/>
      <c r="I2362" s="48"/>
      <c r="J2362" s="48"/>
      <c r="L2362" s="65"/>
    </row>
    <row r="2363" spans="5:12">
      <c r="E2363" s="49">
        <v>45056.892361102829</v>
      </c>
      <c r="F2363" s="56">
        <v>0</v>
      </c>
      <c r="G2363" s="48"/>
      <c r="H2363" s="48"/>
      <c r="I2363" s="48"/>
      <c r="J2363" s="48"/>
      <c r="L2363" s="65"/>
    </row>
    <row r="2364" spans="5:12">
      <c r="E2364" s="49">
        <v>45056.895833325048</v>
      </c>
      <c r="F2364" s="56">
        <v>0</v>
      </c>
      <c r="G2364" s="48"/>
      <c r="H2364" s="48"/>
      <c r="I2364" s="48"/>
      <c r="J2364" s="48"/>
      <c r="L2364" s="65"/>
    </row>
    <row r="2365" spans="5:12">
      <c r="E2365" s="49">
        <v>45056.899305547267</v>
      </c>
      <c r="F2365" s="56">
        <v>0</v>
      </c>
      <c r="G2365" s="48"/>
      <c r="H2365" s="48"/>
      <c r="I2365" s="48"/>
      <c r="J2365" s="48"/>
      <c r="L2365" s="65"/>
    </row>
    <row r="2366" spans="5:12">
      <c r="E2366" s="49">
        <v>45056.902777769486</v>
      </c>
      <c r="F2366" s="56">
        <v>0</v>
      </c>
      <c r="G2366" s="48"/>
      <c r="H2366" s="48"/>
      <c r="I2366" s="48"/>
      <c r="J2366" s="48"/>
      <c r="L2366" s="65"/>
    </row>
    <row r="2367" spans="5:12">
      <c r="E2367" s="49">
        <v>45056.906249991705</v>
      </c>
      <c r="F2367" s="56">
        <v>0</v>
      </c>
      <c r="G2367" s="48"/>
      <c r="H2367" s="48"/>
      <c r="I2367" s="48"/>
      <c r="J2367" s="48"/>
      <c r="L2367" s="65"/>
    </row>
    <row r="2368" spans="5:12">
      <c r="E2368" s="49">
        <v>45056.909722213924</v>
      </c>
      <c r="F2368" s="56">
        <v>0</v>
      </c>
      <c r="G2368" s="48"/>
      <c r="H2368" s="48"/>
      <c r="I2368" s="48"/>
      <c r="J2368" s="48"/>
      <c r="L2368" s="65"/>
    </row>
    <row r="2369" spans="5:12">
      <c r="E2369" s="49">
        <v>45056.913194436143</v>
      </c>
      <c r="F2369" s="56">
        <v>0</v>
      </c>
      <c r="G2369" s="48"/>
      <c r="H2369" s="48"/>
      <c r="I2369" s="48"/>
      <c r="J2369" s="48"/>
      <c r="L2369" s="65"/>
    </row>
    <row r="2370" spans="5:12">
      <c r="E2370" s="49">
        <v>45056.916666658362</v>
      </c>
      <c r="F2370" s="56">
        <v>0</v>
      </c>
      <c r="G2370" s="48"/>
      <c r="H2370" s="48"/>
      <c r="I2370" s="48"/>
      <c r="J2370" s="48"/>
      <c r="L2370" s="65"/>
    </row>
    <row r="2371" spans="5:12">
      <c r="E2371" s="49">
        <v>45056.920138880581</v>
      </c>
      <c r="F2371" s="56">
        <v>0</v>
      </c>
      <c r="G2371" s="48"/>
      <c r="H2371" s="48"/>
      <c r="I2371" s="48"/>
      <c r="J2371" s="48"/>
      <c r="L2371" s="65"/>
    </row>
    <row r="2372" spans="5:12">
      <c r="E2372" s="49">
        <v>45056.9236111028</v>
      </c>
      <c r="F2372" s="56">
        <v>0</v>
      </c>
      <c r="G2372" s="48"/>
      <c r="H2372" s="48"/>
      <c r="I2372" s="48"/>
      <c r="J2372" s="48"/>
      <c r="L2372" s="65"/>
    </row>
    <row r="2373" spans="5:12">
      <c r="E2373" s="49">
        <v>45056.927083325019</v>
      </c>
      <c r="F2373" s="56">
        <v>0</v>
      </c>
      <c r="G2373" s="48"/>
      <c r="H2373" s="48"/>
      <c r="I2373" s="48"/>
      <c r="J2373" s="48"/>
      <c r="L2373" s="65"/>
    </row>
    <row r="2374" spans="5:12">
      <c r="E2374" s="49">
        <v>45056.930555547238</v>
      </c>
      <c r="F2374" s="56">
        <v>0</v>
      </c>
      <c r="G2374" s="48"/>
      <c r="H2374" s="48"/>
      <c r="I2374" s="48"/>
      <c r="J2374" s="48"/>
      <c r="L2374" s="65"/>
    </row>
    <row r="2375" spans="5:12">
      <c r="E2375" s="49">
        <v>45056.934027769457</v>
      </c>
      <c r="F2375" s="56">
        <v>0</v>
      </c>
      <c r="G2375" s="48"/>
      <c r="H2375" s="48"/>
      <c r="I2375" s="48"/>
      <c r="J2375" s="48"/>
      <c r="L2375" s="65"/>
    </row>
    <row r="2376" spans="5:12">
      <c r="E2376" s="49">
        <v>45056.937499991676</v>
      </c>
      <c r="F2376" s="56">
        <v>0</v>
      </c>
      <c r="G2376" s="48"/>
      <c r="H2376" s="48"/>
      <c r="I2376" s="48"/>
      <c r="J2376" s="48"/>
      <c r="L2376" s="65"/>
    </row>
    <row r="2377" spans="5:12">
      <c r="E2377" s="49">
        <v>45056.940972213895</v>
      </c>
      <c r="F2377" s="56">
        <v>0</v>
      </c>
      <c r="G2377" s="48"/>
      <c r="H2377" s="48"/>
      <c r="I2377" s="48"/>
      <c r="J2377" s="48"/>
      <c r="L2377" s="65"/>
    </row>
    <row r="2378" spans="5:12">
      <c r="E2378" s="49">
        <v>45056.944444436114</v>
      </c>
      <c r="F2378" s="56">
        <v>0</v>
      </c>
      <c r="G2378" s="48"/>
      <c r="H2378" s="48"/>
      <c r="I2378" s="48"/>
      <c r="J2378" s="48"/>
      <c r="L2378" s="65"/>
    </row>
    <row r="2379" spans="5:12">
      <c r="E2379" s="49">
        <v>45056.947916658333</v>
      </c>
      <c r="F2379" s="56">
        <v>0</v>
      </c>
      <c r="G2379" s="48"/>
      <c r="H2379" s="48"/>
      <c r="I2379" s="48"/>
      <c r="J2379" s="48"/>
      <c r="L2379" s="65"/>
    </row>
    <row r="2380" spans="5:12">
      <c r="E2380" s="49">
        <v>45056.951388880552</v>
      </c>
      <c r="F2380" s="56">
        <v>0</v>
      </c>
      <c r="G2380" s="48"/>
      <c r="H2380" s="48"/>
      <c r="I2380" s="48"/>
      <c r="J2380" s="48"/>
      <c r="L2380" s="65"/>
    </row>
    <row r="2381" spans="5:12">
      <c r="E2381" s="49">
        <v>45056.954861102771</v>
      </c>
      <c r="F2381" s="56">
        <v>0</v>
      </c>
      <c r="G2381" s="48"/>
      <c r="H2381" s="48"/>
      <c r="I2381" s="48"/>
      <c r="J2381" s="48"/>
      <c r="L2381" s="65"/>
    </row>
    <row r="2382" spans="5:12">
      <c r="E2382" s="49">
        <v>45056.95833332499</v>
      </c>
      <c r="F2382" s="56">
        <v>0</v>
      </c>
      <c r="G2382" s="48"/>
      <c r="H2382" s="48"/>
      <c r="I2382" s="48"/>
      <c r="J2382" s="48"/>
      <c r="L2382" s="65"/>
    </row>
    <row r="2383" spans="5:12">
      <c r="E2383" s="49">
        <v>45056.961805547209</v>
      </c>
      <c r="F2383" s="56">
        <v>0</v>
      </c>
      <c r="G2383" s="48"/>
      <c r="H2383" s="48"/>
      <c r="I2383" s="48"/>
      <c r="J2383" s="48"/>
      <c r="L2383" s="65"/>
    </row>
    <row r="2384" spans="5:12">
      <c r="E2384" s="49">
        <v>45056.965277769428</v>
      </c>
      <c r="F2384" s="56">
        <v>0</v>
      </c>
      <c r="G2384" s="48"/>
      <c r="H2384" s="48"/>
      <c r="I2384" s="48"/>
      <c r="J2384" s="48"/>
      <c r="L2384" s="65"/>
    </row>
    <row r="2385" spans="5:12">
      <c r="E2385" s="49">
        <v>45056.968749991647</v>
      </c>
      <c r="F2385" s="56">
        <v>0</v>
      </c>
      <c r="G2385" s="48"/>
      <c r="H2385" s="48"/>
      <c r="I2385" s="48"/>
      <c r="J2385" s="48"/>
      <c r="L2385" s="65"/>
    </row>
    <row r="2386" spans="5:12">
      <c r="E2386" s="49">
        <v>45056.972222213866</v>
      </c>
      <c r="F2386" s="56">
        <v>0</v>
      </c>
      <c r="G2386" s="48"/>
      <c r="H2386" s="48"/>
      <c r="I2386" s="48"/>
      <c r="J2386" s="48"/>
      <c r="L2386" s="65"/>
    </row>
    <row r="2387" spans="5:12">
      <c r="E2387" s="49">
        <v>45056.975694436085</v>
      </c>
      <c r="F2387" s="56">
        <v>0</v>
      </c>
      <c r="G2387" s="48"/>
      <c r="H2387" s="48"/>
      <c r="I2387" s="48"/>
      <c r="J2387" s="48"/>
      <c r="L2387" s="65"/>
    </row>
    <row r="2388" spans="5:12">
      <c r="E2388" s="49">
        <v>45056.979166658304</v>
      </c>
      <c r="F2388" s="56">
        <v>0</v>
      </c>
      <c r="G2388" s="48"/>
      <c r="H2388" s="48"/>
      <c r="I2388" s="48"/>
      <c r="J2388" s="48"/>
      <c r="L2388" s="65"/>
    </row>
    <row r="2389" spans="5:12">
      <c r="E2389" s="49">
        <v>45056.982638880523</v>
      </c>
      <c r="F2389" s="56">
        <v>0</v>
      </c>
      <c r="G2389" s="48"/>
      <c r="H2389" s="48"/>
      <c r="I2389" s="48"/>
      <c r="J2389" s="48"/>
      <c r="L2389" s="65"/>
    </row>
    <row r="2390" spans="5:12">
      <c r="E2390" s="49">
        <v>45056.986111102742</v>
      </c>
      <c r="F2390" s="56">
        <v>0</v>
      </c>
      <c r="G2390" s="48"/>
      <c r="H2390" s="48"/>
      <c r="I2390" s="48"/>
      <c r="J2390" s="48"/>
      <c r="L2390" s="65"/>
    </row>
    <row r="2391" spans="5:12">
      <c r="E2391" s="49">
        <v>45056.989583324961</v>
      </c>
      <c r="F2391" s="56">
        <v>0</v>
      </c>
      <c r="G2391" s="48"/>
      <c r="H2391" s="48"/>
      <c r="I2391" s="48"/>
      <c r="J2391" s="48"/>
      <c r="L2391" s="65"/>
    </row>
    <row r="2392" spans="5:12">
      <c r="E2392" s="49">
        <v>45056.99305554718</v>
      </c>
      <c r="F2392" s="56">
        <v>0</v>
      </c>
      <c r="G2392" s="48"/>
      <c r="H2392" s="48"/>
      <c r="I2392" s="48"/>
      <c r="J2392" s="48"/>
      <c r="L2392" s="65"/>
    </row>
    <row r="2393" spans="5:12">
      <c r="E2393" s="49">
        <v>45056.996527769399</v>
      </c>
      <c r="F2393" s="56">
        <v>0</v>
      </c>
      <c r="G2393" s="48"/>
      <c r="H2393" s="48"/>
      <c r="I2393" s="48"/>
      <c r="J2393" s="48"/>
      <c r="L2393" s="65"/>
    </row>
    <row r="2394" spans="5:12">
      <c r="E2394" s="49">
        <v>45056.999999991618</v>
      </c>
      <c r="F2394" s="56">
        <v>0</v>
      </c>
      <c r="G2394" s="48"/>
      <c r="H2394" s="48"/>
      <c r="I2394" s="48"/>
      <c r="J2394" s="48"/>
      <c r="L2394" s="65"/>
    </row>
    <row r="2395" spans="5:12">
      <c r="E2395" s="49">
        <v>45057.003472213837</v>
      </c>
      <c r="F2395" s="56">
        <v>0</v>
      </c>
      <c r="G2395" s="48"/>
      <c r="H2395" s="48"/>
      <c r="I2395" s="48"/>
      <c r="J2395" s="48"/>
      <c r="L2395" s="65"/>
    </row>
    <row r="2396" spans="5:12">
      <c r="E2396" s="49">
        <v>45057.006944436056</v>
      </c>
      <c r="F2396" s="56">
        <v>0</v>
      </c>
      <c r="G2396" s="48"/>
      <c r="H2396" s="48"/>
      <c r="I2396" s="48"/>
      <c r="J2396" s="48"/>
      <c r="L2396" s="65"/>
    </row>
    <row r="2397" spans="5:12">
      <c r="E2397" s="49">
        <v>45057.010416658275</v>
      </c>
      <c r="F2397" s="56">
        <v>0</v>
      </c>
      <c r="G2397" s="48"/>
      <c r="H2397" s="48"/>
      <c r="I2397" s="48"/>
      <c r="J2397" s="48"/>
      <c r="L2397" s="65"/>
    </row>
    <row r="2398" spans="5:12">
      <c r="E2398" s="49">
        <v>45057.013888880494</v>
      </c>
      <c r="F2398" s="56">
        <v>0</v>
      </c>
      <c r="G2398" s="48"/>
      <c r="H2398" s="48"/>
      <c r="I2398" s="48"/>
      <c r="J2398" s="48"/>
      <c r="L2398" s="65"/>
    </row>
    <row r="2399" spans="5:12">
      <c r="E2399" s="49">
        <v>45057.017361102713</v>
      </c>
      <c r="F2399" s="56">
        <v>0</v>
      </c>
      <c r="G2399" s="48"/>
      <c r="H2399" s="48"/>
      <c r="I2399" s="48"/>
      <c r="J2399" s="48"/>
      <c r="L2399" s="65"/>
    </row>
    <row r="2400" spans="5:12">
      <c r="E2400" s="49">
        <v>45057.020833324932</v>
      </c>
      <c r="F2400" s="56">
        <v>0</v>
      </c>
      <c r="G2400" s="48"/>
      <c r="H2400" s="48"/>
      <c r="I2400" s="48"/>
      <c r="J2400" s="48"/>
      <c r="L2400" s="65"/>
    </row>
    <row r="2401" spans="5:12">
      <c r="E2401" s="49">
        <v>45057.024305547151</v>
      </c>
      <c r="F2401" s="56">
        <v>0</v>
      </c>
      <c r="G2401" s="48"/>
      <c r="H2401" s="48"/>
      <c r="I2401" s="48"/>
      <c r="J2401" s="48"/>
      <c r="L2401" s="65"/>
    </row>
    <row r="2402" spans="5:12">
      <c r="E2402" s="49">
        <v>45057.02777776937</v>
      </c>
      <c r="F2402" s="56">
        <v>0</v>
      </c>
      <c r="G2402" s="48"/>
      <c r="H2402" s="48"/>
      <c r="I2402" s="48"/>
      <c r="J2402" s="48"/>
      <c r="L2402" s="65"/>
    </row>
    <row r="2403" spans="5:12">
      <c r="E2403" s="49">
        <v>45057.031249991589</v>
      </c>
      <c r="F2403" s="56">
        <v>0</v>
      </c>
      <c r="G2403" s="48"/>
      <c r="H2403" s="48"/>
      <c r="I2403" s="48"/>
      <c r="J2403" s="48"/>
      <c r="L2403" s="65"/>
    </row>
    <row r="2404" spans="5:12">
      <c r="E2404" s="49">
        <v>45057.034722213808</v>
      </c>
      <c r="F2404" s="56">
        <v>0</v>
      </c>
      <c r="G2404" s="48"/>
      <c r="H2404" s="48"/>
      <c r="I2404" s="48"/>
      <c r="J2404" s="48"/>
      <c r="L2404" s="65"/>
    </row>
    <row r="2405" spans="5:12">
      <c r="E2405" s="49">
        <v>45057.038194436027</v>
      </c>
      <c r="F2405" s="56">
        <v>0</v>
      </c>
      <c r="G2405" s="48"/>
      <c r="H2405" s="48"/>
      <c r="I2405" s="48"/>
      <c r="J2405" s="48"/>
      <c r="L2405" s="65"/>
    </row>
    <row r="2406" spans="5:12">
      <c r="E2406" s="49">
        <v>45057.041666658246</v>
      </c>
      <c r="F2406" s="56">
        <v>0</v>
      </c>
      <c r="G2406" s="48"/>
      <c r="H2406" s="48"/>
      <c r="I2406" s="48"/>
      <c r="J2406" s="48"/>
      <c r="L2406" s="65"/>
    </row>
    <row r="2407" spans="5:12">
      <c r="E2407" s="49">
        <v>45057.045138880465</v>
      </c>
      <c r="F2407" s="56">
        <v>0</v>
      </c>
      <c r="G2407" s="48"/>
      <c r="H2407" s="48"/>
      <c r="I2407" s="48"/>
      <c r="J2407" s="48"/>
      <c r="L2407" s="65"/>
    </row>
    <row r="2408" spans="5:12">
      <c r="E2408" s="49">
        <v>45057.048611102684</v>
      </c>
      <c r="F2408" s="56">
        <v>0</v>
      </c>
      <c r="G2408" s="48"/>
      <c r="H2408" s="48"/>
      <c r="I2408" s="48"/>
      <c r="J2408" s="48"/>
      <c r="L2408" s="65"/>
    </row>
    <row r="2409" spans="5:12">
      <c r="E2409" s="49">
        <v>45057.052083324903</v>
      </c>
      <c r="F2409" s="56">
        <v>0</v>
      </c>
      <c r="G2409" s="48"/>
      <c r="H2409" s="48"/>
      <c r="I2409" s="48"/>
      <c r="J2409" s="48"/>
      <c r="L2409" s="65"/>
    </row>
    <row r="2410" spans="5:12">
      <c r="E2410" s="49">
        <v>45057.055555547122</v>
      </c>
      <c r="F2410" s="56">
        <v>0</v>
      </c>
      <c r="G2410" s="48"/>
      <c r="H2410" s="48"/>
      <c r="I2410" s="48"/>
      <c r="J2410" s="48"/>
      <c r="L2410" s="65"/>
    </row>
    <row r="2411" spans="5:12">
      <c r="E2411" s="49">
        <v>45057.059027769341</v>
      </c>
      <c r="F2411" s="56">
        <v>0</v>
      </c>
      <c r="G2411" s="48"/>
      <c r="H2411" s="48"/>
      <c r="I2411" s="48"/>
      <c r="J2411" s="48"/>
      <c r="L2411" s="65"/>
    </row>
    <row r="2412" spans="5:12">
      <c r="E2412" s="49">
        <v>45057.06249999156</v>
      </c>
      <c r="F2412" s="56">
        <v>0</v>
      </c>
      <c r="G2412" s="48"/>
      <c r="H2412" s="48"/>
      <c r="I2412" s="48"/>
      <c r="J2412" s="48"/>
      <c r="L2412" s="65"/>
    </row>
    <row r="2413" spans="5:12">
      <c r="E2413" s="49">
        <v>45057.065972213779</v>
      </c>
      <c r="F2413" s="56">
        <v>0</v>
      </c>
      <c r="G2413" s="48"/>
      <c r="H2413" s="48"/>
      <c r="I2413" s="48"/>
      <c r="J2413" s="48"/>
      <c r="L2413" s="65"/>
    </row>
    <row r="2414" spans="5:12">
      <c r="E2414" s="49">
        <v>45057.069444435998</v>
      </c>
      <c r="F2414" s="56">
        <v>0</v>
      </c>
      <c r="G2414" s="48"/>
      <c r="H2414" s="48"/>
      <c r="I2414" s="48"/>
      <c r="J2414" s="48"/>
      <c r="L2414" s="65"/>
    </row>
    <row r="2415" spans="5:12">
      <c r="E2415" s="49">
        <v>45057.072916658217</v>
      </c>
      <c r="F2415" s="56">
        <v>0</v>
      </c>
      <c r="G2415" s="48"/>
      <c r="H2415" s="48"/>
      <c r="I2415" s="48"/>
      <c r="J2415" s="48"/>
      <c r="L2415" s="65"/>
    </row>
    <row r="2416" spans="5:12">
      <c r="E2416" s="49">
        <v>45057.076388880436</v>
      </c>
      <c r="F2416" s="56">
        <v>0</v>
      </c>
      <c r="G2416" s="48"/>
      <c r="H2416" s="48"/>
      <c r="I2416" s="48"/>
      <c r="J2416" s="48"/>
      <c r="L2416" s="65"/>
    </row>
    <row r="2417" spans="5:12">
      <c r="E2417" s="49">
        <v>45057.079861102655</v>
      </c>
      <c r="F2417" s="56">
        <v>0</v>
      </c>
      <c r="G2417" s="48"/>
      <c r="H2417" s="48"/>
      <c r="I2417" s="48"/>
      <c r="J2417" s="48"/>
      <c r="L2417" s="65"/>
    </row>
    <row r="2418" spans="5:12">
      <c r="E2418" s="49">
        <v>45057.083333324874</v>
      </c>
      <c r="F2418" s="56">
        <v>0</v>
      </c>
      <c r="G2418" s="48"/>
      <c r="H2418" s="48"/>
      <c r="I2418" s="48"/>
      <c r="J2418" s="48"/>
      <c r="L2418" s="65"/>
    </row>
    <row r="2419" spans="5:12">
      <c r="E2419" s="49">
        <v>45057.086805547093</v>
      </c>
      <c r="F2419" s="56">
        <v>0</v>
      </c>
      <c r="G2419" s="48"/>
      <c r="H2419" s="48"/>
      <c r="I2419" s="48"/>
      <c r="J2419" s="48"/>
      <c r="L2419" s="65"/>
    </row>
    <row r="2420" spans="5:12">
      <c r="E2420" s="49">
        <v>45057.090277769312</v>
      </c>
      <c r="F2420" s="56">
        <v>0</v>
      </c>
      <c r="G2420" s="48"/>
      <c r="H2420" s="48"/>
      <c r="I2420" s="48"/>
      <c r="J2420" s="48"/>
      <c r="L2420" s="65"/>
    </row>
    <row r="2421" spans="5:12">
      <c r="E2421" s="49">
        <v>45057.093749991531</v>
      </c>
      <c r="F2421" s="56">
        <v>0</v>
      </c>
      <c r="G2421" s="48"/>
      <c r="H2421" s="48"/>
      <c r="I2421" s="48"/>
      <c r="J2421" s="48"/>
      <c r="L2421" s="65"/>
    </row>
    <row r="2422" spans="5:12">
      <c r="E2422" s="49">
        <v>45057.09722221375</v>
      </c>
      <c r="F2422" s="56">
        <v>0</v>
      </c>
      <c r="G2422" s="48"/>
      <c r="H2422" s="48"/>
      <c r="I2422" s="48"/>
      <c r="J2422" s="48"/>
      <c r="L2422" s="65"/>
    </row>
    <row r="2423" spans="5:12">
      <c r="E2423" s="49">
        <v>45057.100694435969</v>
      </c>
      <c r="F2423" s="56">
        <v>0</v>
      </c>
      <c r="G2423" s="48"/>
      <c r="H2423" s="48"/>
      <c r="I2423" s="48"/>
      <c r="J2423" s="48"/>
      <c r="L2423" s="65"/>
    </row>
    <row r="2424" spans="5:12">
      <c r="E2424" s="49">
        <v>45057.104166658188</v>
      </c>
      <c r="F2424" s="56">
        <v>0</v>
      </c>
      <c r="G2424" s="48"/>
      <c r="H2424" s="48"/>
      <c r="I2424" s="48"/>
      <c r="J2424" s="48"/>
      <c r="L2424" s="65"/>
    </row>
    <row r="2425" spans="5:12">
      <c r="E2425" s="49">
        <v>45057.107638880407</v>
      </c>
      <c r="F2425" s="56">
        <v>0</v>
      </c>
      <c r="G2425" s="48"/>
      <c r="H2425" s="48"/>
      <c r="I2425" s="48"/>
      <c r="J2425" s="48"/>
      <c r="L2425" s="65"/>
    </row>
    <row r="2426" spans="5:12">
      <c r="E2426" s="49">
        <v>45057.111111102626</v>
      </c>
      <c r="F2426" s="56">
        <v>0</v>
      </c>
      <c r="G2426" s="48"/>
      <c r="H2426" s="48"/>
      <c r="I2426" s="48"/>
      <c r="J2426" s="48"/>
      <c r="L2426" s="65"/>
    </row>
    <row r="2427" spans="5:12">
      <c r="E2427" s="49">
        <v>45057.114583324845</v>
      </c>
      <c r="F2427" s="56">
        <v>0</v>
      </c>
      <c r="G2427" s="48"/>
      <c r="H2427" s="48"/>
      <c r="I2427" s="48"/>
      <c r="J2427" s="48"/>
      <c r="L2427" s="65"/>
    </row>
    <row r="2428" spans="5:12">
      <c r="E2428" s="49">
        <v>45057.118055547064</v>
      </c>
      <c r="F2428" s="56">
        <v>0</v>
      </c>
      <c r="G2428" s="48"/>
      <c r="H2428" s="48"/>
      <c r="I2428" s="48"/>
      <c r="J2428" s="48"/>
      <c r="L2428" s="65"/>
    </row>
    <row r="2429" spans="5:12">
      <c r="E2429" s="49">
        <v>45057.121527769283</v>
      </c>
      <c r="F2429" s="56">
        <v>0</v>
      </c>
      <c r="G2429" s="48"/>
      <c r="H2429" s="48"/>
      <c r="I2429" s="48"/>
      <c r="J2429" s="48"/>
      <c r="L2429" s="65"/>
    </row>
    <row r="2430" spans="5:12">
      <c r="E2430" s="49">
        <v>45057.124999991502</v>
      </c>
      <c r="F2430" s="56">
        <v>0</v>
      </c>
      <c r="G2430" s="48"/>
      <c r="H2430" s="48"/>
      <c r="I2430" s="48"/>
      <c r="J2430" s="48"/>
      <c r="L2430" s="65"/>
    </row>
    <row r="2431" spans="5:12">
      <c r="E2431" s="49">
        <v>45057.128472213721</v>
      </c>
      <c r="F2431" s="56">
        <v>0</v>
      </c>
      <c r="G2431" s="48"/>
      <c r="H2431" s="48"/>
      <c r="I2431" s="48"/>
      <c r="J2431" s="48"/>
      <c r="L2431" s="65"/>
    </row>
    <row r="2432" spans="5:12">
      <c r="E2432" s="49">
        <v>45057.13194443594</v>
      </c>
      <c r="F2432" s="56">
        <v>0</v>
      </c>
      <c r="G2432" s="48"/>
      <c r="H2432" s="48"/>
      <c r="I2432" s="48"/>
      <c r="J2432" s="48"/>
      <c r="L2432" s="65"/>
    </row>
    <row r="2433" spans="5:12">
      <c r="E2433" s="49">
        <v>45057.135416658159</v>
      </c>
      <c r="F2433" s="56">
        <v>0</v>
      </c>
      <c r="G2433" s="48"/>
      <c r="H2433" s="48"/>
      <c r="I2433" s="48"/>
      <c r="J2433" s="48"/>
      <c r="L2433" s="65"/>
    </row>
    <row r="2434" spans="5:12">
      <c r="E2434" s="49">
        <v>45057.138888880378</v>
      </c>
      <c r="F2434" s="56">
        <v>0</v>
      </c>
      <c r="G2434" s="48"/>
      <c r="H2434" s="48"/>
      <c r="I2434" s="48"/>
      <c r="J2434" s="48"/>
      <c r="L2434" s="65"/>
    </row>
    <row r="2435" spans="5:12">
      <c r="E2435" s="49">
        <v>45057.142361102597</v>
      </c>
      <c r="F2435" s="56">
        <v>0</v>
      </c>
      <c r="G2435" s="48"/>
      <c r="H2435" s="48"/>
      <c r="I2435" s="48"/>
      <c r="J2435" s="48"/>
      <c r="L2435" s="65"/>
    </row>
    <row r="2436" spans="5:12">
      <c r="E2436" s="49">
        <v>45057.145833324816</v>
      </c>
      <c r="F2436" s="56">
        <v>0</v>
      </c>
      <c r="G2436" s="48"/>
      <c r="H2436" s="48"/>
      <c r="I2436" s="48"/>
      <c r="J2436" s="48"/>
      <c r="L2436" s="65"/>
    </row>
    <row r="2437" spans="5:12">
      <c r="E2437" s="49">
        <v>45057.149305547035</v>
      </c>
      <c r="F2437" s="56">
        <v>0</v>
      </c>
      <c r="G2437" s="48"/>
      <c r="H2437" s="48"/>
      <c r="I2437" s="48"/>
      <c r="J2437" s="48"/>
      <c r="L2437" s="65"/>
    </row>
    <row r="2438" spans="5:12">
      <c r="E2438" s="49">
        <v>45057.152777769254</v>
      </c>
      <c r="F2438" s="56">
        <v>0</v>
      </c>
      <c r="G2438" s="48"/>
      <c r="H2438" s="48"/>
      <c r="I2438" s="48"/>
      <c r="J2438" s="48"/>
      <c r="L2438" s="65"/>
    </row>
    <row r="2439" spans="5:12">
      <c r="E2439" s="49">
        <v>45057.156249991473</v>
      </c>
      <c r="F2439" s="56">
        <v>0</v>
      </c>
      <c r="G2439" s="48"/>
      <c r="H2439" s="48"/>
      <c r="I2439" s="48"/>
      <c r="J2439" s="48"/>
      <c r="L2439" s="65"/>
    </row>
    <row r="2440" spans="5:12">
      <c r="E2440" s="49">
        <v>45057.159722213692</v>
      </c>
      <c r="F2440" s="56">
        <v>0</v>
      </c>
      <c r="G2440" s="48"/>
      <c r="H2440" s="48"/>
      <c r="I2440" s="48"/>
      <c r="J2440" s="48"/>
      <c r="L2440" s="65"/>
    </row>
    <row r="2441" spans="5:12">
      <c r="E2441" s="49">
        <v>45057.163194435911</v>
      </c>
      <c r="F2441" s="56">
        <v>0</v>
      </c>
      <c r="G2441" s="48"/>
      <c r="H2441" s="48"/>
      <c r="I2441" s="48"/>
      <c r="J2441" s="48"/>
      <c r="L2441" s="65"/>
    </row>
    <row r="2442" spans="5:12">
      <c r="E2442" s="49">
        <v>45057.16666665813</v>
      </c>
      <c r="F2442" s="56">
        <v>0</v>
      </c>
      <c r="G2442" s="48"/>
      <c r="H2442" s="48"/>
      <c r="I2442" s="48"/>
      <c r="J2442" s="48"/>
      <c r="L2442" s="65"/>
    </row>
    <row r="2443" spans="5:12">
      <c r="E2443" s="49">
        <v>45057.170138880349</v>
      </c>
      <c r="F2443" s="56">
        <v>0</v>
      </c>
      <c r="G2443" s="48"/>
      <c r="H2443" s="48"/>
      <c r="I2443" s="48"/>
      <c r="J2443" s="48"/>
      <c r="L2443" s="65"/>
    </row>
    <row r="2444" spans="5:12">
      <c r="E2444" s="49">
        <v>45057.173611102568</v>
      </c>
      <c r="F2444" s="56">
        <v>0</v>
      </c>
      <c r="G2444" s="48"/>
      <c r="H2444" s="48"/>
      <c r="I2444" s="48"/>
      <c r="J2444" s="48"/>
      <c r="L2444" s="65"/>
    </row>
    <row r="2445" spans="5:12">
      <c r="E2445" s="49">
        <v>45057.177083324787</v>
      </c>
      <c r="F2445" s="56">
        <v>0</v>
      </c>
      <c r="G2445" s="48"/>
      <c r="H2445" s="48"/>
      <c r="I2445" s="48"/>
      <c r="J2445" s="48"/>
      <c r="L2445" s="65"/>
    </row>
    <row r="2446" spans="5:12">
      <c r="E2446" s="49">
        <v>45057.180555547005</v>
      </c>
      <c r="F2446" s="56">
        <v>0</v>
      </c>
      <c r="G2446" s="48"/>
      <c r="H2446" s="48"/>
      <c r="I2446" s="48"/>
      <c r="J2446" s="48"/>
      <c r="L2446" s="65"/>
    </row>
    <row r="2447" spans="5:12">
      <c r="E2447" s="49">
        <v>45057.184027769224</v>
      </c>
      <c r="F2447" s="56">
        <v>0</v>
      </c>
      <c r="G2447" s="48"/>
      <c r="H2447" s="48"/>
      <c r="I2447" s="48"/>
      <c r="J2447" s="48"/>
      <c r="L2447" s="65"/>
    </row>
    <row r="2448" spans="5:12">
      <c r="E2448" s="49">
        <v>45057.187499991443</v>
      </c>
      <c r="F2448" s="56">
        <v>0</v>
      </c>
      <c r="G2448" s="48"/>
      <c r="H2448" s="48"/>
      <c r="I2448" s="48"/>
      <c r="J2448" s="48"/>
      <c r="L2448" s="65"/>
    </row>
    <row r="2449" spans="5:12">
      <c r="E2449" s="49">
        <v>45057.190972213662</v>
      </c>
      <c r="F2449" s="56">
        <v>0</v>
      </c>
      <c r="G2449" s="48"/>
      <c r="H2449" s="48"/>
      <c r="I2449" s="48"/>
      <c r="J2449" s="48"/>
      <c r="L2449" s="65"/>
    </row>
    <row r="2450" spans="5:12">
      <c r="E2450" s="49">
        <v>45057.194444435881</v>
      </c>
      <c r="F2450" s="56">
        <v>0</v>
      </c>
      <c r="G2450" s="48"/>
      <c r="H2450" s="48"/>
      <c r="I2450" s="48"/>
      <c r="J2450" s="48"/>
      <c r="L2450" s="65"/>
    </row>
    <row r="2451" spans="5:12">
      <c r="E2451" s="49">
        <v>45057.1979166581</v>
      </c>
      <c r="F2451" s="56">
        <v>0</v>
      </c>
      <c r="G2451" s="48"/>
      <c r="H2451" s="48"/>
      <c r="I2451" s="48"/>
      <c r="J2451" s="48"/>
      <c r="L2451" s="65"/>
    </row>
    <row r="2452" spans="5:12">
      <c r="E2452" s="49">
        <v>45057.201388880319</v>
      </c>
      <c r="F2452" s="56">
        <v>0</v>
      </c>
      <c r="G2452" s="48"/>
      <c r="H2452" s="48"/>
      <c r="I2452" s="48"/>
      <c r="J2452" s="48"/>
      <c r="L2452" s="65"/>
    </row>
    <row r="2453" spans="5:12">
      <c r="E2453" s="49">
        <v>45057.204861102538</v>
      </c>
      <c r="F2453" s="56">
        <v>0</v>
      </c>
      <c r="G2453" s="48"/>
      <c r="H2453" s="48"/>
      <c r="I2453" s="48"/>
      <c r="J2453" s="48"/>
      <c r="L2453" s="65"/>
    </row>
    <row r="2454" spans="5:12">
      <c r="E2454" s="49">
        <v>45057.208333324757</v>
      </c>
      <c r="F2454" s="56">
        <v>0</v>
      </c>
      <c r="G2454" s="48"/>
      <c r="H2454" s="48"/>
      <c r="I2454" s="48"/>
      <c r="J2454" s="48"/>
      <c r="L2454" s="65"/>
    </row>
    <row r="2455" spans="5:12">
      <c r="E2455" s="49">
        <v>45057.211805546976</v>
      </c>
      <c r="F2455" s="56">
        <v>0</v>
      </c>
      <c r="G2455" s="48"/>
      <c r="H2455" s="48"/>
      <c r="I2455" s="48"/>
      <c r="J2455" s="48"/>
      <c r="L2455" s="65"/>
    </row>
    <row r="2456" spans="5:12">
      <c r="E2456" s="49">
        <v>45057.215277769195</v>
      </c>
      <c r="F2456" s="56">
        <v>0</v>
      </c>
      <c r="G2456" s="48"/>
      <c r="H2456" s="48"/>
      <c r="I2456" s="48"/>
      <c r="J2456" s="48"/>
      <c r="L2456" s="65"/>
    </row>
    <row r="2457" spans="5:12">
      <c r="E2457" s="49">
        <v>45057.218749991414</v>
      </c>
      <c r="F2457" s="56">
        <v>0</v>
      </c>
      <c r="G2457" s="48"/>
      <c r="H2457" s="48"/>
      <c r="I2457" s="48"/>
      <c r="J2457" s="48"/>
      <c r="L2457" s="65"/>
    </row>
    <row r="2458" spans="5:12">
      <c r="E2458" s="49">
        <v>45057.222222213633</v>
      </c>
      <c r="F2458" s="56">
        <v>0</v>
      </c>
      <c r="G2458" s="48"/>
      <c r="H2458" s="48"/>
      <c r="I2458" s="48"/>
      <c r="J2458" s="48"/>
      <c r="L2458" s="65"/>
    </row>
    <row r="2459" spans="5:12">
      <c r="E2459" s="49">
        <v>45057.225694435852</v>
      </c>
      <c r="F2459" s="56">
        <v>0</v>
      </c>
      <c r="G2459" s="48"/>
      <c r="H2459" s="48"/>
      <c r="I2459" s="48"/>
      <c r="J2459" s="48"/>
      <c r="L2459" s="65"/>
    </row>
    <row r="2460" spans="5:12">
      <c r="E2460" s="49">
        <v>45057.229166658071</v>
      </c>
      <c r="F2460" s="56">
        <v>0</v>
      </c>
      <c r="G2460" s="48"/>
      <c r="H2460" s="48"/>
      <c r="I2460" s="48"/>
      <c r="J2460" s="48"/>
      <c r="L2460" s="65"/>
    </row>
    <row r="2461" spans="5:12">
      <c r="E2461" s="49">
        <v>45057.23263888029</v>
      </c>
      <c r="F2461" s="56">
        <v>0</v>
      </c>
      <c r="G2461" s="48"/>
      <c r="H2461" s="48"/>
      <c r="I2461" s="48"/>
      <c r="J2461" s="48"/>
      <c r="L2461" s="65"/>
    </row>
    <row r="2462" spans="5:12">
      <c r="E2462" s="49">
        <v>45057.236111102509</v>
      </c>
      <c r="F2462" s="56">
        <v>0</v>
      </c>
      <c r="G2462" s="48"/>
      <c r="H2462" s="48"/>
      <c r="I2462" s="48"/>
      <c r="J2462" s="48"/>
      <c r="L2462" s="65"/>
    </row>
    <row r="2463" spans="5:12">
      <c r="E2463" s="49">
        <v>45057.239583324728</v>
      </c>
      <c r="F2463" s="56">
        <v>0</v>
      </c>
      <c r="G2463" s="48"/>
      <c r="H2463" s="48"/>
      <c r="I2463" s="48"/>
      <c r="J2463" s="48"/>
      <c r="L2463" s="65"/>
    </row>
    <row r="2464" spans="5:12">
      <c r="E2464" s="49">
        <v>45057.243055546947</v>
      </c>
      <c r="F2464" s="56">
        <v>0</v>
      </c>
      <c r="G2464" s="48"/>
      <c r="H2464" s="48"/>
      <c r="I2464" s="48"/>
      <c r="J2464" s="48"/>
      <c r="L2464" s="65"/>
    </row>
    <row r="2465" spans="5:12">
      <c r="E2465" s="49">
        <v>45057.246527769166</v>
      </c>
      <c r="F2465" s="56">
        <v>0</v>
      </c>
      <c r="G2465" s="48"/>
      <c r="H2465" s="48"/>
      <c r="I2465" s="48"/>
      <c r="J2465" s="48"/>
      <c r="L2465" s="65"/>
    </row>
    <row r="2466" spans="5:12">
      <c r="E2466" s="49">
        <v>45057.249999991385</v>
      </c>
      <c r="F2466" s="56">
        <v>0</v>
      </c>
      <c r="G2466" s="48"/>
      <c r="H2466" s="48"/>
      <c r="I2466" s="48"/>
      <c r="J2466" s="48"/>
      <c r="L2466" s="65"/>
    </row>
    <row r="2467" spans="5:12">
      <c r="E2467" s="49">
        <v>45057.253472213604</v>
      </c>
      <c r="F2467" s="56">
        <v>0</v>
      </c>
      <c r="G2467" s="48"/>
      <c r="H2467" s="48"/>
      <c r="I2467" s="48"/>
      <c r="J2467" s="48"/>
      <c r="L2467" s="65"/>
    </row>
    <row r="2468" spans="5:12">
      <c r="E2468" s="49">
        <v>45057.256944435823</v>
      </c>
      <c r="F2468" s="56">
        <v>0</v>
      </c>
      <c r="G2468" s="48"/>
      <c r="H2468" s="48"/>
      <c r="I2468" s="48"/>
      <c r="J2468" s="48"/>
      <c r="L2468" s="65"/>
    </row>
    <row r="2469" spans="5:12">
      <c r="E2469" s="49">
        <v>45057.260416658042</v>
      </c>
      <c r="F2469" s="56">
        <v>0</v>
      </c>
      <c r="G2469" s="48"/>
      <c r="H2469" s="48"/>
      <c r="I2469" s="48"/>
      <c r="J2469" s="48"/>
      <c r="L2469" s="65"/>
    </row>
    <row r="2470" spans="5:12">
      <c r="E2470" s="49">
        <v>45057.263888880261</v>
      </c>
      <c r="F2470" s="56">
        <v>0</v>
      </c>
      <c r="G2470" s="48"/>
      <c r="H2470" s="48"/>
      <c r="I2470" s="48"/>
      <c r="J2470" s="48"/>
      <c r="L2470" s="65"/>
    </row>
    <row r="2471" spans="5:12">
      <c r="E2471" s="49">
        <v>45057.26736110248</v>
      </c>
      <c r="F2471" s="56">
        <v>0</v>
      </c>
      <c r="G2471" s="48"/>
      <c r="H2471" s="48"/>
      <c r="I2471" s="48"/>
      <c r="J2471" s="48"/>
      <c r="L2471" s="65"/>
    </row>
    <row r="2472" spans="5:12">
      <c r="E2472" s="49">
        <v>45057.270833324699</v>
      </c>
      <c r="F2472" s="56">
        <v>0</v>
      </c>
      <c r="G2472" s="48"/>
      <c r="H2472" s="48"/>
      <c r="I2472" s="48"/>
      <c r="J2472" s="48"/>
      <c r="L2472" s="65"/>
    </row>
    <row r="2473" spans="5:12">
      <c r="E2473" s="49">
        <v>45057.274305546918</v>
      </c>
      <c r="F2473" s="56">
        <v>0</v>
      </c>
      <c r="G2473" s="48"/>
      <c r="H2473" s="48"/>
      <c r="I2473" s="48"/>
      <c r="J2473" s="48"/>
      <c r="L2473" s="65"/>
    </row>
    <row r="2474" spans="5:12">
      <c r="E2474" s="49">
        <v>45057.277777769137</v>
      </c>
      <c r="F2474" s="56">
        <v>0</v>
      </c>
      <c r="G2474" s="48"/>
      <c r="H2474" s="48"/>
      <c r="I2474" s="48"/>
      <c r="J2474" s="48"/>
      <c r="L2474" s="65"/>
    </row>
    <row r="2475" spans="5:12">
      <c r="E2475" s="49">
        <v>45057.281249991356</v>
      </c>
      <c r="F2475" s="56">
        <v>0</v>
      </c>
      <c r="G2475" s="48"/>
      <c r="H2475" s="48"/>
      <c r="I2475" s="48"/>
      <c r="J2475" s="48"/>
      <c r="L2475" s="65"/>
    </row>
    <row r="2476" spans="5:12">
      <c r="E2476" s="49">
        <v>45057.284722213575</v>
      </c>
      <c r="F2476" s="56">
        <v>0</v>
      </c>
      <c r="G2476" s="48"/>
      <c r="H2476" s="48"/>
      <c r="I2476" s="48"/>
      <c r="J2476" s="48"/>
      <c r="L2476" s="65"/>
    </row>
    <row r="2477" spans="5:12">
      <c r="E2477" s="49">
        <v>45057.288194435794</v>
      </c>
      <c r="F2477" s="56">
        <v>0</v>
      </c>
      <c r="G2477" s="48"/>
      <c r="H2477" s="48"/>
      <c r="I2477" s="48"/>
      <c r="J2477" s="48"/>
      <c r="L2477" s="65"/>
    </row>
    <row r="2478" spans="5:12">
      <c r="E2478" s="49">
        <v>45057.291666658013</v>
      </c>
      <c r="F2478" s="56">
        <v>0</v>
      </c>
      <c r="G2478" s="48"/>
      <c r="H2478" s="48"/>
      <c r="I2478" s="48"/>
      <c r="J2478" s="48"/>
      <c r="L2478" s="65"/>
    </row>
    <row r="2479" spans="5:12">
      <c r="E2479" s="49">
        <v>45057.295138880232</v>
      </c>
      <c r="F2479" s="56">
        <v>0</v>
      </c>
      <c r="G2479" s="48"/>
      <c r="H2479" s="48"/>
      <c r="I2479" s="48"/>
      <c r="J2479" s="48"/>
      <c r="L2479" s="65"/>
    </row>
    <row r="2480" spans="5:12">
      <c r="E2480" s="49">
        <v>45057.298611102451</v>
      </c>
      <c r="F2480" s="56">
        <v>0</v>
      </c>
      <c r="G2480" s="48"/>
      <c r="H2480" s="48"/>
      <c r="I2480" s="48"/>
      <c r="J2480" s="48"/>
      <c r="L2480" s="65"/>
    </row>
    <row r="2481" spans="5:12">
      <c r="E2481" s="49">
        <v>45057.30208332467</v>
      </c>
      <c r="F2481" s="56">
        <v>0</v>
      </c>
      <c r="G2481" s="48"/>
      <c r="H2481" s="48"/>
      <c r="I2481" s="48"/>
      <c r="J2481" s="48"/>
      <c r="L2481" s="65"/>
    </row>
    <row r="2482" spans="5:12">
      <c r="E2482" s="49">
        <v>45057.305555546889</v>
      </c>
      <c r="F2482" s="56">
        <v>0</v>
      </c>
      <c r="G2482" s="48"/>
      <c r="H2482" s="48"/>
      <c r="I2482" s="48"/>
      <c r="J2482" s="48"/>
      <c r="L2482" s="65"/>
    </row>
    <row r="2483" spans="5:12">
      <c r="E2483" s="49">
        <v>45057.309027769108</v>
      </c>
      <c r="F2483" s="56">
        <v>0</v>
      </c>
      <c r="G2483" s="48"/>
      <c r="H2483" s="48"/>
      <c r="I2483" s="48"/>
      <c r="J2483" s="48"/>
      <c r="L2483" s="65"/>
    </row>
    <row r="2484" spans="5:12">
      <c r="E2484" s="49">
        <v>45057.312499991327</v>
      </c>
      <c r="F2484" s="56">
        <v>0</v>
      </c>
      <c r="G2484" s="48"/>
      <c r="H2484" s="48"/>
      <c r="I2484" s="48"/>
      <c r="J2484" s="48"/>
      <c r="L2484" s="65"/>
    </row>
    <row r="2485" spans="5:12">
      <c r="E2485" s="49">
        <v>45057.315972213546</v>
      </c>
      <c r="F2485" s="56">
        <v>0</v>
      </c>
      <c r="G2485" s="48"/>
      <c r="H2485" s="48"/>
      <c r="I2485" s="48"/>
      <c r="J2485" s="48"/>
      <c r="L2485" s="65"/>
    </row>
    <row r="2486" spans="5:12">
      <c r="E2486" s="49">
        <v>45057.319444435765</v>
      </c>
      <c r="F2486" s="56">
        <v>0</v>
      </c>
      <c r="G2486" s="48"/>
      <c r="H2486" s="48"/>
      <c r="I2486" s="48"/>
      <c r="J2486" s="48"/>
      <c r="L2486" s="65"/>
    </row>
    <row r="2487" spans="5:12">
      <c r="E2487" s="49">
        <v>45057.322916657984</v>
      </c>
      <c r="F2487" s="56">
        <v>0</v>
      </c>
      <c r="G2487" s="48"/>
      <c r="H2487" s="48"/>
      <c r="I2487" s="48"/>
      <c r="J2487" s="48"/>
      <c r="L2487" s="65"/>
    </row>
    <row r="2488" spans="5:12">
      <c r="E2488" s="49">
        <v>45057.326388880203</v>
      </c>
      <c r="F2488" s="56">
        <v>0</v>
      </c>
      <c r="G2488" s="48"/>
      <c r="H2488" s="48"/>
      <c r="I2488" s="48"/>
      <c r="J2488" s="48"/>
      <c r="L2488" s="65"/>
    </row>
    <row r="2489" spans="5:12">
      <c r="E2489" s="49">
        <v>45057.329861102422</v>
      </c>
      <c r="F2489" s="56">
        <v>0</v>
      </c>
      <c r="G2489" s="48"/>
      <c r="H2489" s="48"/>
      <c r="I2489" s="48"/>
      <c r="J2489" s="48"/>
      <c r="L2489" s="65"/>
    </row>
    <row r="2490" spans="5:12">
      <c r="E2490" s="49">
        <v>45057.333333324641</v>
      </c>
      <c r="F2490" s="56">
        <v>0</v>
      </c>
      <c r="G2490" s="48"/>
      <c r="H2490" s="48"/>
      <c r="I2490" s="48"/>
      <c r="J2490" s="48"/>
      <c r="L2490" s="65"/>
    </row>
    <row r="2491" spans="5:12">
      <c r="E2491" s="49">
        <v>45057.33680554686</v>
      </c>
      <c r="F2491" s="56">
        <v>0</v>
      </c>
      <c r="G2491" s="48"/>
      <c r="H2491" s="48"/>
      <c r="I2491" s="48"/>
      <c r="J2491" s="48"/>
      <c r="L2491" s="65"/>
    </row>
    <row r="2492" spans="5:12">
      <c r="E2492" s="49">
        <v>45057.340277769079</v>
      </c>
      <c r="F2492" s="56">
        <v>0</v>
      </c>
      <c r="G2492" s="48"/>
      <c r="H2492" s="48"/>
      <c r="I2492" s="48"/>
      <c r="J2492" s="48"/>
      <c r="L2492" s="65"/>
    </row>
    <row r="2493" spans="5:12">
      <c r="E2493" s="49">
        <v>45057.343749991298</v>
      </c>
      <c r="F2493" s="56">
        <v>0</v>
      </c>
      <c r="G2493" s="48"/>
      <c r="H2493" s="48"/>
      <c r="I2493" s="48"/>
      <c r="J2493" s="48"/>
      <c r="L2493" s="65"/>
    </row>
    <row r="2494" spans="5:12">
      <c r="E2494" s="49">
        <v>45057.347222213517</v>
      </c>
      <c r="F2494" s="56">
        <v>0</v>
      </c>
      <c r="G2494" s="48"/>
      <c r="H2494" s="48"/>
      <c r="I2494" s="48"/>
      <c r="J2494" s="48"/>
      <c r="L2494" s="65"/>
    </row>
    <row r="2495" spans="5:12">
      <c r="E2495" s="49">
        <v>45057.350694435736</v>
      </c>
      <c r="F2495" s="56">
        <v>0</v>
      </c>
      <c r="G2495" s="48"/>
      <c r="H2495" s="48"/>
      <c r="I2495" s="48"/>
      <c r="J2495" s="48"/>
      <c r="L2495" s="65"/>
    </row>
    <row r="2496" spans="5:12">
      <c r="E2496" s="49">
        <v>45057.354166657955</v>
      </c>
      <c r="F2496" s="56">
        <v>0</v>
      </c>
      <c r="G2496" s="48"/>
      <c r="H2496" s="48"/>
      <c r="I2496" s="48"/>
      <c r="J2496" s="48"/>
      <c r="L2496" s="65"/>
    </row>
    <row r="2497" spans="5:12">
      <c r="E2497" s="49">
        <v>45057.357638880174</v>
      </c>
      <c r="F2497" s="56">
        <v>0</v>
      </c>
      <c r="G2497" s="48"/>
      <c r="H2497" s="48"/>
      <c r="I2497" s="48"/>
      <c r="J2497" s="48"/>
      <c r="L2497" s="65"/>
    </row>
    <row r="2498" spans="5:12">
      <c r="E2498" s="49">
        <v>45057.361111102393</v>
      </c>
      <c r="F2498" s="56">
        <v>0</v>
      </c>
      <c r="G2498" s="48"/>
      <c r="H2498" s="48"/>
      <c r="I2498" s="48"/>
      <c r="J2498" s="48"/>
      <c r="L2498" s="65"/>
    </row>
    <row r="2499" spans="5:12">
      <c r="E2499" s="49">
        <v>45057.364583324612</v>
      </c>
      <c r="F2499" s="56">
        <v>0</v>
      </c>
      <c r="G2499" s="48"/>
      <c r="H2499" s="48"/>
      <c r="I2499" s="48"/>
      <c r="J2499" s="48"/>
      <c r="L2499" s="65"/>
    </row>
    <row r="2500" spans="5:12">
      <c r="E2500" s="49">
        <v>45057.368055546831</v>
      </c>
      <c r="F2500" s="56">
        <v>0</v>
      </c>
      <c r="G2500" s="48"/>
      <c r="H2500" s="48"/>
      <c r="I2500" s="48"/>
      <c r="J2500" s="48"/>
      <c r="L2500" s="65"/>
    </row>
    <row r="2501" spans="5:12">
      <c r="E2501" s="49">
        <v>45057.37152776905</v>
      </c>
      <c r="F2501" s="56">
        <v>0</v>
      </c>
      <c r="G2501" s="48"/>
      <c r="H2501" s="48"/>
      <c r="I2501" s="48"/>
      <c r="J2501" s="48"/>
      <c r="L2501" s="65"/>
    </row>
    <row r="2502" spans="5:12">
      <c r="E2502" s="49">
        <v>45057.374999991269</v>
      </c>
      <c r="F2502" s="56">
        <v>0</v>
      </c>
      <c r="G2502" s="48"/>
      <c r="H2502" s="48"/>
      <c r="I2502" s="48"/>
      <c r="J2502" s="48"/>
      <c r="L2502" s="65"/>
    </row>
    <row r="2503" spans="5:12">
      <c r="E2503" s="49">
        <v>45057.378472213488</v>
      </c>
      <c r="F2503" s="56">
        <v>0</v>
      </c>
      <c r="G2503" s="48"/>
      <c r="H2503" s="48"/>
      <c r="I2503" s="48"/>
      <c r="J2503" s="48"/>
      <c r="L2503" s="65"/>
    </row>
    <row r="2504" spans="5:12">
      <c r="E2504" s="49">
        <v>45057.381944435707</v>
      </c>
      <c r="F2504" s="56">
        <v>0</v>
      </c>
      <c r="G2504" s="48"/>
      <c r="H2504" s="48"/>
      <c r="I2504" s="48"/>
      <c r="J2504" s="48"/>
      <c r="L2504" s="65"/>
    </row>
    <row r="2505" spans="5:12">
      <c r="E2505" s="49">
        <v>45057.385416657926</v>
      </c>
      <c r="F2505" s="56">
        <v>0</v>
      </c>
      <c r="G2505" s="48"/>
      <c r="H2505" s="48"/>
      <c r="I2505" s="48"/>
      <c r="J2505" s="48"/>
      <c r="L2505" s="65"/>
    </row>
    <row r="2506" spans="5:12">
      <c r="E2506" s="49">
        <v>45057.388888880145</v>
      </c>
      <c r="F2506" s="56">
        <v>0</v>
      </c>
      <c r="G2506" s="48"/>
      <c r="H2506" s="48"/>
      <c r="I2506" s="48"/>
      <c r="J2506" s="48"/>
      <c r="L2506" s="65"/>
    </row>
    <row r="2507" spans="5:12">
      <c r="E2507" s="49">
        <v>45057.392361102364</v>
      </c>
      <c r="F2507" s="56">
        <v>0</v>
      </c>
      <c r="G2507" s="48"/>
      <c r="H2507" s="48"/>
      <c r="I2507" s="48"/>
      <c r="J2507" s="48"/>
      <c r="L2507" s="65"/>
    </row>
    <row r="2508" spans="5:12">
      <c r="E2508" s="49">
        <v>45057.395833324583</v>
      </c>
      <c r="F2508" s="56">
        <v>0</v>
      </c>
      <c r="G2508" s="48"/>
      <c r="H2508" s="48"/>
      <c r="I2508" s="48"/>
      <c r="J2508" s="48"/>
      <c r="L2508" s="65"/>
    </row>
    <row r="2509" spans="5:12">
      <c r="E2509" s="49">
        <v>45057.399305546802</v>
      </c>
      <c r="F2509" s="56">
        <v>0</v>
      </c>
      <c r="G2509" s="48"/>
      <c r="H2509" s="48"/>
      <c r="I2509" s="48"/>
      <c r="J2509" s="48"/>
      <c r="L2509" s="65"/>
    </row>
    <row r="2510" spans="5:12">
      <c r="E2510" s="49">
        <v>45057.402777769021</v>
      </c>
      <c r="F2510" s="56">
        <v>0</v>
      </c>
      <c r="G2510" s="48"/>
      <c r="H2510" s="48"/>
      <c r="I2510" s="48"/>
      <c r="J2510" s="48"/>
      <c r="L2510" s="65"/>
    </row>
    <row r="2511" spans="5:12">
      <c r="E2511" s="49">
        <v>45057.40624999124</v>
      </c>
      <c r="F2511" s="56">
        <v>0</v>
      </c>
      <c r="G2511" s="48"/>
      <c r="H2511" s="48"/>
      <c r="I2511" s="48"/>
      <c r="J2511" s="48"/>
      <c r="L2511" s="65"/>
    </row>
    <row r="2512" spans="5:12">
      <c r="E2512" s="49">
        <v>45057.409722213459</v>
      </c>
      <c r="F2512" s="56">
        <v>0</v>
      </c>
      <c r="G2512" s="48"/>
      <c r="H2512" s="48"/>
      <c r="I2512" s="48"/>
      <c r="J2512" s="48"/>
      <c r="L2512" s="65"/>
    </row>
    <row r="2513" spans="5:12">
      <c r="E2513" s="49">
        <v>45057.413194435678</v>
      </c>
      <c r="F2513" s="56">
        <v>0</v>
      </c>
      <c r="G2513" s="48"/>
      <c r="H2513" s="48"/>
      <c r="I2513" s="48"/>
      <c r="J2513" s="48"/>
      <c r="L2513" s="65"/>
    </row>
    <row r="2514" spans="5:12">
      <c r="E2514" s="49">
        <v>45057.416666657897</v>
      </c>
      <c r="F2514" s="56">
        <v>0</v>
      </c>
      <c r="G2514" s="48"/>
      <c r="H2514" s="48"/>
      <c r="I2514" s="48"/>
      <c r="J2514" s="48"/>
      <c r="L2514" s="65"/>
    </row>
    <row r="2515" spans="5:12">
      <c r="E2515" s="49">
        <v>45057.420138880116</v>
      </c>
      <c r="F2515" s="56">
        <v>0</v>
      </c>
      <c r="G2515" s="48"/>
      <c r="H2515" s="48"/>
      <c r="I2515" s="48"/>
      <c r="J2515" s="48"/>
      <c r="L2515" s="65"/>
    </row>
    <row r="2516" spans="5:12">
      <c r="E2516" s="49">
        <v>45057.423611102335</v>
      </c>
      <c r="F2516" s="56">
        <v>0</v>
      </c>
      <c r="G2516" s="48"/>
      <c r="H2516" s="48"/>
      <c r="I2516" s="48"/>
      <c r="J2516" s="48"/>
      <c r="L2516" s="65"/>
    </row>
    <row r="2517" spans="5:12">
      <c r="E2517" s="49">
        <v>45057.427083324554</v>
      </c>
      <c r="F2517" s="56">
        <v>0</v>
      </c>
      <c r="G2517" s="48"/>
      <c r="H2517" s="48"/>
      <c r="I2517" s="48"/>
      <c r="J2517" s="48"/>
      <c r="L2517" s="65"/>
    </row>
    <row r="2518" spans="5:12">
      <c r="E2518" s="49">
        <v>45057.430555546773</v>
      </c>
      <c r="F2518" s="56">
        <v>0</v>
      </c>
      <c r="G2518" s="48"/>
      <c r="H2518" s="48"/>
      <c r="I2518" s="48"/>
      <c r="J2518" s="48"/>
      <c r="L2518" s="65"/>
    </row>
    <row r="2519" spans="5:12">
      <c r="E2519" s="49">
        <v>45057.434027768992</v>
      </c>
      <c r="F2519" s="56">
        <v>0</v>
      </c>
      <c r="G2519" s="48"/>
      <c r="H2519" s="48"/>
      <c r="I2519" s="48"/>
      <c r="J2519" s="48"/>
      <c r="L2519" s="65"/>
    </row>
    <row r="2520" spans="5:12">
      <c r="E2520" s="49">
        <v>45057.437499991211</v>
      </c>
      <c r="F2520" s="56">
        <v>0</v>
      </c>
      <c r="G2520" s="48"/>
      <c r="H2520" s="48"/>
      <c r="I2520" s="48"/>
      <c r="J2520" s="48"/>
      <c r="L2520" s="65"/>
    </row>
    <row r="2521" spans="5:12">
      <c r="E2521" s="49">
        <v>45057.44097221343</v>
      </c>
      <c r="F2521" s="56">
        <v>0</v>
      </c>
      <c r="G2521" s="48"/>
      <c r="H2521" s="48"/>
      <c r="I2521" s="48"/>
      <c r="J2521" s="48"/>
      <c r="L2521" s="65"/>
    </row>
    <row r="2522" spans="5:12">
      <c r="E2522" s="49">
        <v>45057.444444435649</v>
      </c>
      <c r="F2522" s="56">
        <v>0</v>
      </c>
      <c r="G2522" s="48"/>
      <c r="H2522" s="48"/>
      <c r="I2522" s="48"/>
      <c r="J2522" s="48"/>
      <c r="L2522" s="65"/>
    </row>
    <row r="2523" spans="5:12">
      <c r="E2523" s="49">
        <v>45057.447916657868</v>
      </c>
      <c r="F2523" s="56">
        <v>0</v>
      </c>
      <c r="G2523" s="48"/>
      <c r="H2523" s="48"/>
      <c r="I2523" s="48"/>
      <c r="J2523" s="48"/>
      <c r="L2523" s="65"/>
    </row>
    <row r="2524" spans="5:12">
      <c r="E2524" s="49">
        <v>45057.451388880087</v>
      </c>
      <c r="F2524" s="56">
        <v>0</v>
      </c>
      <c r="G2524" s="48"/>
      <c r="H2524" s="48"/>
      <c r="I2524" s="48"/>
      <c r="J2524" s="48"/>
      <c r="L2524" s="65"/>
    </row>
    <row r="2525" spans="5:12">
      <c r="E2525" s="49">
        <v>45057.454861102306</v>
      </c>
      <c r="F2525" s="56">
        <v>0</v>
      </c>
      <c r="G2525" s="48"/>
      <c r="H2525" s="48"/>
      <c r="I2525" s="48"/>
      <c r="J2525" s="48"/>
      <c r="L2525" s="65"/>
    </row>
    <row r="2526" spans="5:12">
      <c r="E2526" s="49">
        <v>45057.458333324525</v>
      </c>
      <c r="F2526" s="56">
        <v>0</v>
      </c>
      <c r="G2526" s="48"/>
      <c r="H2526" s="48"/>
      <c r="I2526" s="48"/>
      <c r="J2526" s="48"/>
      <c r="L2526" s="65"/>
    </row>
    <row r="2527" spans="5:12">
      <c r="E2527" s="49">
        <v>45057.461805546744</v>
      </c>
      <c r="F2527" s="56">
        <v>0</v>
      </c>
      <c r="G2527" s="48"/>
      <c r="H2527" s="48"/>
      <c r="I2527" s="48"/>
      <c r="J2527" s="48"/>
      <c r="L2527" s="65"/>
    </row>
    <row r="2528" spans="5:12">
      <c r="E2528" s="49">
        <v>45057.465277768963</v>
      </c>
      <c r="F2528" s="56">
        <v>0</v>
      </c>
      <c r="G2528" s="48"/>
      <c r="H2528" s="48"/>
      <c r="I2528" s="48"/>
      <c r="J2528" s="48"/>
      <c r="L2528" s="65"/>
    </row>
    <row r="2529" spans="5:12">
      <c r="E2529" s="49">
        <v>45057.468749991182</v>
      </c>
      <c r="F2529" s="56">
        <v>0</v>
      </c>
      <c r="G2529" s="48"/>
      <c r="H2529" s="48"/>
      <c r="I2529" s="48"/>
      <c r="J2529" s="48"/>
      <c r="L2529" s="65"/>
    </row>
    <row r="2530" spans="5:12">
      <c r="E2530" s="49">
        <v>45057.472222213401</v>
      </c>
      <c r="F2530" s="56">
        <v>0</v>
      </c>
      <c r="G2530" s="48"/>
      <c r="H2530" s="48"/>
      <c r="I2530" s="48"/>
      <c r="J2530" s="48"/>
      <c r="L2530" s="65"/>
    </row>
    <row r="2531" spans="5:12">
      <c r="E2531" s="49">
        <v>45057.47569443562</v>
      </c>
      <c r="F2531" s="56">
        <v>0</v>
      </c>
      <c r="G2531" s="48"/>
      <c r="H2531" s="48"/>
      <c r="I2531" s="48"/>
      <c r="J2531" s="48"/>
      <c r="L2531" s="65"/>
    </row>
    <row r="2532" spans="5:12">
      <c r="E2532" s="49">
        <v>45057.479166657839</v>
      </c>
      <c r="F2532" s="56">
        <v>0</v>
      </c>
      <c r="G2532" s="48"/>
      <c r="H2532" s="48"/>
      <c r="I2532" s="48"/>
      <c r="J2532" s="48"/>
      <c r="L2532" s="65"/>
    </row>
    <row r="2533" spans="5:12">
      <c r="E2533" s="49">
        <v>45057.482638880057</v>
      </c>
      <c r="F2533" s="56">
        <v>0</v>
      </c>
      <c r="G2533" s="48"/>
      <c r="H2533" s="48"/>
      <c r="I2533" s="48"/>
      <c r="J2533" s="48"/>
      <c r="L2533" s="65"/>
    </row>
    <row r="2534" spans="5:12">
      <c r="E2534" s="49">
        <v>45057.486111102276</v>
      </c>
      <c r="F2534" s="56">
        <v>0</v>
      </c>
      <c r="G2534" s="48"/>
      <c r="H2534" s="48"/>
      <c r="I2534" s="48"/>
      <c r="J2534" s="48"/>
      <c r="L2534" s="65"/>
    </row>
    <row r="2535" spans="5:12">
      <c r="E2535" s="49">
        <v>45057.489583324495</v>
      </c>
      <c r="F2535" s="56">
        <v>0</v>
      </c>
      <c r="G2535" s="48"/>
      <c r="H2535" s="48"/>
      <c r="I2535" s="48"/>
      <c r="J2535" s="48"/>
      <c r="L2535" s="65"/>
    </row>
    <row r="2536" spans="5:12">
      <c r="E2536" s="49">
        <v>45057.493055546714</v>
      </c>
      <c r="F2536" s="56">
        <v>0</v>
      </c>
      <c r="G2536" s="48"/>
      <c r="H2536" s="48"/>
      <c r="I2536" s="48"/>
      <c r="J2536" s="48"/>
      <c r="L2536" s="65"/>
    </row>
    <row r="2537" spans="5:12">
      <c r="E2537" s="49">
        <v>45057.496527768933</v>
      </c>
      <c r="F2537" s="56">
        <v>0</v>
      </c>
      <c r="G2537" s="48"/>
      <c r="H2537" s="48"/>
      <c r="I2537" s="48"/>
      <c r="J2537" s="48"/>
      <c r="L2537" s="65"/>
    </row>
    <row r="2538" spans="5:12">
      <c r="E2538" s="49">
        <v>45057.499999991152</v>
      </c>
      <c r="F2538" s="56">
        <v>0</v>
      </c>
      <c r="G2538" s="48"/>
      <c r="H2538" s="48"/>
      <c r="I2538" s="48"/>
      <c r="J2538" s="48"/>
      <c r="L2538" s="65"/>
    </row>
    <row r="2539" spans="5:12">
      <c r="E2539" s="49">
        <v>45057.503472213371</v>
      </c>
      <c r="F2539" s="56">
        <v>0</v>
      </c>
      <c r="G2539" s="48"/>
      <c r="H2539" s="48"/>
      <c r="I2539" s="48"/>
      <c r="J2539" s="48"/>
      <c r="L2539" s="65"/>
    </row>
    <row r="2540" spans="5:12">
      <c r="E2540" s="49">
        <v>45057.50694443559</v>
      </c>
      <c r="F2540" s="56">
        <v>0</v>
      </c>
      <c r="G2540" s="48"/>
      <c r="H2540" s="48"/>
      <c r="I2540" s="48"/>
      <c r="J2540" s="48"/>
      <c r="L2540" s="65"/>
    </row>
    <row r="2541" spans="5:12">
      <c r="E2541" s="49">
        <v>45057.510416657809</v>
      </c>
      <c r="F2541" s="56">
        <v>0</v>
      </c>
      <c r="G2541" s="48"/>
      <c r="H2541" s="48"/>
      <c r="I2541" s="48"/>
      <c r="J2541" s="48"/>
      <c r="L2541" s="65"/>
    </row>
    <row r="2542" spans="5:12">
      <c r="E2542" s="49">
        <v>45057.513888880028</v>
      </c>
      <c r="F2542" s="56">
        <v>0</v>
      </c>
      <c r="G2542" s="48"/>
      <c r="H2542" s="48"/>
      <c r="I2542" s="48"/>
      <c r="J2542" s="48"/>
      <c r="L2542" s="65"/>
    </row>
    <row r="2543" spans="5:12">
      <c r="E2543" s="49">
        <v>45057.517361102247</v>
      </c>
      <c r="F2543" s="56">
        <v>0</v>
      </c>
      <c r="G2543" s="48"/>
      <c r="H2543" s="48"/>
      <c r="I2543" s="48"/>
      <c r="J2543" s="48"/>
      <c r="L2543" s="65"/>
    </row>
    <row r="2544" spans="5:12">
      <c r="E2544" s="49">
        <v>45057.520833324466</v>
      </c>
      <c r="F2544" s="56">
        <v>0</v>
      </c>
      <c r="G2544" s="48"/>
      <c r="H2544" s="48"/>
      <c r="I2544" s="48"/>
      <c r="J2544" s="48"/>
      <c r="L2544" s="65"/>
    </row>
    <row r="2545" spans="5:12">
      <c r="E2545" s="49">
        <v>45057.524305546685</v>
      </c>
      <c r="F2545" s="56">
        <v>0</v>
      </c>
      <c r="G2545" s="48"/>
      <c r="H2545" s="48"/>
      <c r="I2545" s="48"/>
      <c r="J2545" s="48"/>
      <c r="L2545" s="65"/>
    </row>
    <row r="2546" spans="5:12">
      <c r="E2546" s="49">
        <v>45057.527777768904</v>
      </c>
      <c r="F2546" s="56">
        <v>0</v>
      </c>
      <c r="G2546" s="48"/>
      <c r="H2546" s="48"/>
      <c r="I2546" s="48"/>
      <c r="J2546" s="48"/>
      <c r="L2546" s="65"/>
    </row>
    <row r="2547" spans="5:12">
      <c r="E2547" s="49">
        <v>45057.531249991123</v>
      </c>
      <c r="F2547" s="56">
        <v>0</v>
      </c>
      <c r="G2547" s="48"/>
      <c r="H2547" s="48"/>
      <c r="I2547" s="48"/>
      <c r="J2547" s="48"/>
      <c r="L2547" s="65"/>
    </row>
    <row r="2548" spans="5:12">
      <c r="E2548" s="49">
        <v>45057.534722213342</v>
      </c>
      <c r="F2548" s="56">
        <v>0</v>
      </c>
      <c r="G2548" s="48"/>
      <c r="H2548" s="48"/>
      <c r="I2548" s="48"/>
      <c r="J2548" s="48"/>
      <c r="L2548" s="65"/>
    </row>
    <row r="2549" spans="5:12">
      <c r="E2549" s="49">
        <v>45057.538194435561</v>
      </c>
      <c r="F2549" s="56">
        <v>0</v>
      </c>
      <c r="G2549" s="48"/>
      <c r="H2549" s="48"/>
      <c r="I2549" s="48"/>
      <c r="J2549" s="48"/>
      <c r="L2549" s="65"/>
    </row>
    <row r="2550" spans="5:12">
      <c r="E2550" s="49">
        <v>45057.54166665778</v>
      </c>
      <c r="F2550" s="56">
        <v>0</v>
      </c>
      <c r="G2550" s="48"/>
      <c r="H2550" s="48"/>
      <c r="I2550" s="48"/>
      <c r="J2550" s="48"/>
      <c r="L2550" s="65"/>
    </row>
    <row r="2551" spans="5:12">
      <c r="E2551" s="49">
        <v>45057.545138879999</v>
      </c>
      <c r="F2551" s="56">
        <v>0</v>
      </c>
      <c r="G2551" s="48"/>
      <c r="H2551" s="48"/>
      <c r="I2551" s="48"/>
      <c r="J2551" s="48"/>
      <c r="L2551" s="65"/>
    </row>
    <row r="2552" spans="5:12">
      <c r="E2552" s="49">
        <v>45057.548611102218</v>
      </c>
      <c r="F2552" s="56">
        <v>0</v>
      </c>
      <c r="G2552" s="48"/>
      <c r="H2552" s="48"/>
      <c r="I2552" s="48"/>
      <c r="J2552" s="48"/>
      <c r="L2552" s="65"/>
    </row>
    <row r="2553" spans="5:12">
      <c r="E2553" s="49">
        <v>45057.552083324437</v>
      </c>
      <c r="F2553" s="56">
        <v>0</v>
      </c>
      <c r="G2553" s="48"/>
      <c r="H2553" s="48"/>
      <c r="I2553" s="48"/>
      <c r="J2553" s="48"/>
      <c r="L2553" s="65"/>
    </row>
    <row r="2554" spans="5:12">
      <c r="E2554" s="49">
        <v>45057.555555546656</v>
      </c>
      <c r="F2554" s="56">
        <v>0</v>
      </c>
      <c r="G2554" s="48"/>
      <c r="H2554" s="48"/>
      <c r="I2554" s="48"/>
      <c r="J2554" s="48"/>
      <c r="L2554" s="65"/>
    </row>
    <row r="2555" spans="5:12">
      <c r="E2555" s="49">
        <v>45057.559027768875</v>
      </c>
      <c r="F2555" s="56">
        <v>0</v>
      </c>
      <c r="G2555" s="48"/>
      <c r="H2555" s="48"/>
      <c r="I2555" s="48"/>
      <c r="J2555" s="48"/>
      <c r="L2555" s="65"/>
    </row>
    <row r="2556" spans="5:12">
      <c r="E2556" s="49">
        <v>45057.562499991094</v>
      </c>
      <c r="F2556" s="56">
        <v>0</v>
      </c>
      <c r="G2556" s="48"/>
      <c r="H2556" s="48"/>
      <c r="I2556" s="48"/>
      <c r="J2556" s="48"/>
      <c r="L2556" s="65"/>
    </row>
    <row r="2557" spans="5:12">
      <c r="E2557" s="49">
        <v>45057.565972213313</v>
      </c>
      <c r="F2557" s="56">
        <v>0</v>
      </c>
      <c r="G2557" s="48"/>
      <c r="H2557" s="48"/>
      <c r="I2557" s="48"/>
      <c r="J2557" s="48"/>
      <c r="L2557" s="65"/>
    </row>
    <row r="2558" spans="5:12">
      <c r="E2558" s="49">
        <v>45057.569444435532</v>
      </c>
      <c r="F2558" s="56">
        <v>0</v>
      </c>
      <c r="G2558" s="48"/>
      <c r="H2558" s="48"/>
      <c r="I2558" s="48"/>
      <c r="J2558" s="48"/>
      <c r="L2558" s="65"/>
    </row>
    <row r="2559" spans="5:12">
      <c r="E2559" s="49">
        <v>45057.572916657751</v>
      </c>
      <c r="F2559" s="56">
        <v>0</v>
      </c>
      <c r="G2559" s="48"/>
      <c r="H2559" s="48"/>
      <c r="I2559" s="48"/>
      <c r="J2559" s="48"/>
      <c r="L2559" s="65"/>
    </row>
    <row r="2560" spans="5:12">
      <c r="E2560" s="49">
        <v>45057.57638887997</v>
      </c>
      <c r="F2560" s="56">
        <v>0</v>
      </c>
      <c r="G2560" s="48"/>
      <c r="H2560" s="48"/>
      <c r="I2560" s="48"/>
      <c r="J2560" s="48"/>
      <c r="L2560" s="65"/>
    </row>
    <row r="2561" spans="5:12">
      <c r="E2561" s="49">
        <v>45057.579861102189</v>
      </c>
      <c r="F2561" s="56">
        <v>0</v>
      </c>
      <c r="G2561" s="48"/>
      <c r="H2561" s="48"/>
      <c r="I2561" s="48"/>
      <c r="J2561" s="48"/>
      <c r="L2561" s="65"/>
    </row>
    <row r="2562" spans="5:12">
      <c r="E2562" s="49">
        <v>45057.583333324408</v>
      </c>
      <c r="F2562" s="56">
        <v>0</v>
      </c>
      <c r="G2562" s="48"/>
      <c r="H2562" s="48"/>
      <c r="I2562" s="48"/>
      <c r="J2562" s="48"/>
      <c r="L2562" s="65"/>
    </row>
    <row r="2563" spans="5:12">
      <c r="E2563" s="49">
        <v>45057.586805546627</v>
      </c>
      <c r="F2563" s="56">
        <v>0</v>
      </c>
      <c r="G2563" s="48"/>
      <c r="H2563" s="48"/>
      <c r="I2563" s="48"/>
      <c r="J2563" s="48"/>
      <c r="L2563" s="65"/>
    </row>
    <row r="2564" spans="5:12">
      <c r="E2564" s="49">
        <v>45057.590277768846</v>
      </c>
      <c r="F2564" s="56">
        <v>0</v>
      </c>
      <c r="G2564" s="48"/>
      <c r="H2564" s="48"/>
      <c r="I2564" s="48"/>
      <c r="J2564" s="48"/>
      <c r="L2564" s="65"/>
    </row>
    <row r="2565" spans="5:12">
      <c r="E2565" s="49">
        <v>45057.593749991065</v>
      </c>
      <c r="F2565" s="56">
        <v>0</v>
      </c>
      <c r="G2565" s="48"/>
      <c r="H2565" s="48"/>
      <c r="I2565" s="48"/>
      <c r="J2565" s="48"/>
      <c r="L2565" s="65"/>
    </row>
    <row r="2566" spans="5:12">
      <c r="E2566" s="49">
        <v>45057.597222213284</v>
      </c>
      <c r="F2566" s="56">
        <v>0</v>
      </c>
      <c r="G2566" s="48"/>
      <c r="H2566" s="48"/>
      <c r="I2566" s="48"/>
      <c r="J2566" s="48"/>
      <c r="L2566" s="65"/>
    </row>
    <row r="2567" spans="5:12">
      <c r="E2567" s="49">
        <v>45057.600694435503</v>
      </c>
      <c r="F2567" s="56">
        <v>0</v>
      </c>
      <c r="G2567" s="48"/>
      <c r="H2567" s="48"/>
      <c r="I2567" s="48"/>
      <c r="J2567" s="48"/>
      <c r="L2567" s="65"/>
    </row>
    <row r="2568" spans="5:12">
      <c r="E2568" s="49">
        <v>45057.604166657722</v>
      </c>
      <c r="F2568" s="56">
        <v>0</v>
      </c>
      <c r="G2568" s="48"/>
      <c r="H2568" s="48"/>
      <c r="I2568" s="48"/>
      <c r="J2568" s="48"/>
      <c r="L2568" s="65"/>
    </row>
    <row r="2569" spans="5:12">
      <c r="E2569" s="49">
        <v>45057.607638879941</v>
      </c>
      <c r="F2569" s="56">
        <v>0</v>
      </c>
      <c r="G2569" s="48"/>
      <c r="H2569" s="48"/>
      <c r="I2569" s="48"/>
      <c r="J2569" s="48"/>
      <c r="L2569" s="65"/>
    </row>
    <row r="2570" spans="5:12">
      <c r="E2570" s="49">
        <v>45057.61111110216</v>
      </c>
      <c r="F2570" s="56">
        <v>0</v>
      </c>
      <c r="G2570" s="48"/>
      <c r="H2570" s="48"/>
      <c r="I2570" s="48"/>
      <c r="J2570" s="48"/>
      <c r="L2570" s="65"/>
    </row>
    <row r="2571" spans="5:12">
      <c r="E2571" s="49">
        <v>45057.614583324379</v>
      </c>
      <c r="F2571" s="56">
        <v>0</v>
      </c>
      <c r="G2571" s="48"/>
      <c r="H2571" s="48"/>
      <c r="I2571" s="48"/>
      <c r="J2571" s="48"/>
      <c r="L2571" s="65"/>
    </row>
    <row r="2572" spans="5:12">
      <c r="E2572" s="49">
        <v>45057.618055546598</v>
      </c>
      <c r="F2572" s="56">
        <v>0</v>
      </c>
      <c r="G2572" s="48"/>
      <c r="H2572" s="48"/>
      <c r="I2572" s="48"/>
      <c r="J2572" s="48"/>
      <c r="L2572" s="65"/>
    </row>
    <row r="2573" spans="5:12">
      <c r="E2573" s="49">
        <v>45057.621527768817</v>
      </c>
      <c r="F2573" s="56">
        <v>0</v>
      </c>
      <c r="G2573" s="48"/>
      <c r="H2573" s="48"/>
      <c r="I2573" s="48"/>
      <c r="J2573" s="48"/>
      <c r="L2573" s="65"/>
    </row>
    <row r="2574" spans="5:12">
      <c r="E2574" s="49">
        <v>45057.624999991036</v>
      </c>
      <c r="F2574" s="56">
        <v>0</v>
      </c>
      <c r="G2574" s="48"/>
      <c r="H2574" s="48"/>
      <c r="I2574" s="48"/>
      <c r="J2574" s="48"/>
      <c r="L2574" s="65"/>
    </row>
    <row r="2575" spans="5:12">
      <c r="E2575" s="49">
        <v>45057.628472213255</v>
      </c>
      <c r="F2575" s="56">
        <v>0</v>
      </c>
      <c r="G2575" s="48"/>
      <c r="H2575" s="48"/>
      <c r="I2575" s="48"/>
      <c r="J2575" s="48"/>
      <c r="L2575" s="65"/>
    </row>
    <row r="2576" spans="5:12">
      <c r="E2576" s="49">
        <v>45057.631944435474</v>
      </c>
      <c r="F2576" s="56">
        <v>0</v>
      </c>
      <c r="G2576" s="48"/>
      <c r="H2576" s="48"/>
      <c r="I2576" s="48"/>
      <c r="J2576" s="48"/>
      <c r="L2576" s="65"/>
    </row>
    <row r="2577" spans="5:12">
      <c r="E2577" s="49">
        <v>45057.635416657693</v>
      </c>
      <c r="F2577" s="56">
        <v>0</v>
      </c>
      <c r="G2577" s="48"/>
      <c r="H2577" s="48"/>
      <c r="I2577" s="48"/>
      <c r="J2577" s="48"/>
      <c r="L2577" s="65"/>
    </row>
    <row r="2578" spans="5:12">
      <c r="E2578" s="49">
        <v>45057.638888879912</v>
      </c>
      <c r="F2578" s="56">
        <v>0</v>
      </c>
      <c r="G2578" s="48"/>
      <c r="H2578" s="48"/>
      <c r="I2578" s="48"/>
      <c r="J2578" s="48"/>
      <c r="L2578" s="65"/>
    </row>
    <row r="2579" spans="5:12">
      <c r="E2579" s="49">
        <v>45057.642361102131</v>
      </c>
      <c r="F2579" s="56">
        <v>0</v>
      </c>
      <c r="G2579" s="48"/>
      <c r="H2579" s="48"/>
      <c r="I2579" s="48"/>
      <c r="J2579" s="48"/>
      <c r="L2579" s="65"/>
    </row>
    <row r="2580" spans="5:12">
      <c r="E2580" s="49">
        <v>45057.64583332435</v>
      </c>
      <c r="F2580" s="56">
        <v>0</v>
      </c>
      <c r="G2580" s="48"/>
      <c r="H2580" s="48"/>
      <c r="I2580" s="48"/>
      <c r="J2580" s="48"/>
      <c r="L2580" s="65"/>
    </row>
    <row r="2581" spans="5:12">
      <c r="E2581" s="49">
        <v>45057.649305546569</v>
      </c>
      <c r="F2581" s="56">
        <v>0</v>
      </c>
      <c r="G2581" s="48"/>
      <c r="H2581" s="48"/>
      <c r="I2581" s="48"/>
      <c r="J2581" s="48"/>
      <c r="L2581" s="65"/>
    </row>
    <row r="2582" spans="5:12">
      <c r="E2582" s="49">
        <v>45057.652777768788</v>
      </c>
      <c r="F2582" s="56">
        <v>0</v>
      </c>
      <c r="G2582" s="48"/>
      <c r="H2582" s="48"/>
      <c r="I2582" s="48"/>
      <c r="J2582" s="48"/>
      <c r="L2582" s="65"/>
    </row>
    <row r="2583" spans="5:12">
      <c r="E2583" s="49">
        <v>45057.656249991007</v>
      </c>
      <c r="F2583" s="56">
        <v>0</v>
      </c>
      <c r="G2583" s="48"/>
      <c r="H2583" s="48"/>
      <c r="I2583" s="48"/>
      <c r="J2583" s="48"/>
      <c r="L2583" s="65"/>
    </row>
    <row r="2584" spans="5:12">
      <c r="E2584" s="49">
        <v>45057.659722213226</v>
      </c>
      <c r="F2584" s="56">
        <v>0</v>
      </c>
      <c r="G2584" s="48"/>
      <c r="H2584" s="48"/>
      <c r="I2584" s="48"/>
      <c r="J2584" s="48"/>
      <c r="L2584" s="65"/>
    </row>
    <row r="2585" spans="5:12">
      <c r="E2585" s="49">
        <v>45057.663194435445</v>
      </c>
      <c r="F2585" s="56">
        <v>0</v>
      </c>
      <c r="G2585" s="48"/>
      <c r="H2585" s="48"/>
      <c r="I2585" s="48"/>
      <c r="J2585" s="48"/>
      <c r="L2585" s="65"/>
    </row>
    <row r="2586" spans="5:12">
      <c r="E2586" s="49">
        <v>45057.666666657664</v>
      </c>
      <c r="F2586" s="56">
        <v>0</v>
      </c>
      <c r="G2586" s="48"/>
      <c r="H2586" s="48"/>
      <c r="I2586" s="48"/>
      <c r="J2586" s="48"/>
      <c r="L2586" s="65"/>
    </row>
    <row r="2587" spans="5:12">
      <c r="E2587" s="49">
        <v>45057.670138879883</v>
      </c>
      <c r="F2587" s="56">
        <v>0</v>
      </c>
      <c r="G2587" s="48"/>
      <c r="H2587" s="48"/>
      <c r="I2587" s="48"/>
      <c r="J2587" s="48"/>
      <c r="L2587" s="65"/>
    </row>
    <row r="2588" spans="5:12">
      <c r="E2588" s="49">
        <v>45057.673611102102</v>
      </c>
      <c r="F2588" s="56">
        <v>0</v>
      </c>
      <c r="G2588" s="48"/>
      <c r="H2588" s="48"/>
      <c r="I2588" s="48"/>
      <c r="J2588" s="48"/>
      <c r="L2588" s="65"/>
    </row>
    <row r="2589" spans="5:12">
      <c r="E2589" s="49">
        <v>45057.677083324321</v>
      </c>
      <c r="F2589" s="56">
        <v>0</v>
      </c>
      <c r="G2589" s="48"/>
      <c r="H2589" s="48"/>
      <c r="I2589" s="48"/>
      <c r="J2589" s="48"/>
      <c r="L2589" s="65"/>
    </row>
    <row r="2590" spans="5:12">
      <c r="E2590" s="49">
        <v>45057.68055554654</v>
      </c>
      <c r="F2590" s="56">
        <v>0</v>
      </c>
      <c r="G2590" s="48"/>
      <c r="H2590" s="48"/>
      <c r="I2590" s="48"/>
      <c r="J2590" s="48"/>
      <c r="L2590" s="65"/>
    </row>
    <row r="2591" spans="5:12">
      <c r="E2591" s="49">
        <v>45057.684027768759</v>
      </c>
      <c r="F2591" s="56">
        <v>0</v>
      </c>
      <c r="G2591" s="48"/>
      <c r="H2591" s="48"/>
      <c r="I2591" s="48"/>
      <c r="J2591" s="48"/>
      <c r="L2591" s="65"/>
    </row>
    <row r="2592" spans="5:12">
      <c r="E2592" s="49">
        <v>45057.687499990978</v>
      </c>
      <c r="F2592" s="56">
        <v>0</v>
      </c>
      <c r="G2592" s="48"/>
      <c r="H2592" s="48"/>
      <c r="I2592" s="48"/>
      <c r="J2592" s="48"/>
      <c r="L2592" s="65"/>
    </row>
    <row r="2593" spans="5:12">
      <c r="E2593" s="49">
        <v>45057.690972213197</v>
      </c>
      <c r="F2593" s="56">
        <v>0</v>
      </c>
      <c r="G2593" s="48"/>
      <c r="H2593" s="48"/>
      <c r="I2593" s="48"/>
      <c r="J2593" s="48"/>
      <c r="L2593" s="65"/>
    </row>
    <row r="2594" spans="5:12">
      <c r="E2594" s="49">
        <v>45057.694444435416</v>
      </c>
      <c r="F2594" s="56">
        <v>0</v>
      </c>
      <c r="G2594" s="48"/>
      <c r="H2594" s="48"/>
      <c r="I2594" s="48"/>
      <c r="J2594" s="48"/>
      <c r="L2594" s="65"/>
    </row>
    <row r="2595" spans="5:12">
      <c r="E2595" s="49">
        <v>45057.697916657635</v>
      </c>
      <c r="F2595" s="56">
        <v>0</v>
      </c>
      <c r="G2595" s="48"/>
      <c r="H2595" s="48"/>
      <c r="I2595" s="48"/>
      <c r="J2595" s="48"/>
      <c r="L2595" s="65"/>
    </row>
    <row r="2596" spans="5:12">
      <c r="E2596" s="49">
        <v>45057.701388879854</v>
      </c>
      <c r="F2596" s="56">
        <v>0</v>
      </c>
      <c r="G2596" s="48"/>
      <c r="H2596" s="48"/>
      <c r="I2596" s="48"/>
      <c r="J2596" s="48"/>
      <c r="L2596" s="65"/>
    </row>
    <row r="2597" spans="5:12">
      <c r="E2597" s="49">
        <v>45057.704861102073</v>
      </c>
      <c r="F2597" s="56">
        <v>0</v>
      </c>
      <c r="G2597" s="48"/>
      <c r="H2597" s="48"/>
      <c r="I2597" s="48"/>
      <c r="J2597" s="48"/>
      <c r="L2597" s="65"/>
    </row>
    <row r="2598" spans="5:12">
      <c r="E2598" s="49">
        <v>45057.708333324292</v>
      </c>
      <c r="F2598" s="56">
        <v>0</v>
      </c>
      <c r="G2598" s="48"/>
      <c r="H2598" s="48"/>
      <c r="I2598" s="48"/>
      <c r="J2598" s="48"/>
      <c r="L2598" s="65"/>
    </row>
    <row r="2599" spans="5:12">
      <c r="E2599" s="49">
        <v>45057.711805546511</v>
      </c>
      <c r="F2599" s="56">
        <v>0</v>
      </c>
      <c r="G2599" s="48"/>
      <c r="H2599" s="48"/>
      <c r="I2599" s="48"/>
      <c r="J2599" s="48"/>
      <c r="L2599" s="65"/>
    </row>
    <row r="2600" spans="5:12">
      <c r="E2600" s="49">
        <v>45057.71527776873</v>
      </c>
      <c r="F2600" s="56">
        <v>0</v>
      </c>
      <c r="G2600" s="48"/>
      <c r="H2600" s="48"/>
      <c r="I2600" s="48"/>
      <c r="J2600" s="48"/>
      <c r="L2600" s="65"/>
    </row>
    <row r="2601" spans="5:12">
      <c r="E2601" s="49">
        <v>45057.718749990949</v>
      </c>
      <c r="F2601" s="56">
        <v>0</v>
      </c>
      <c r="G2601" s="48"/>
      <c r="H2601" s="48"/>
      <c r="I2601" s="48"/>
      <c r="J2601" s="48"/>
      <c r="L2601" s="65"/>
    </row>
    <row r="2602" spans="5:12">
      <c r="E2602" s="49">
        <v>45057.722222213168</v>
      </c>
      <c r="F2602" s="56">
        <v>0</v>
      </c>
      <c r="G2602" s="48"/>
      <c r="H2602" s="48"/>
      <c r="I2602" s="48"/>
      <c r="J2602" s="48"/>
      <c r="L2602" s="65"/>
    </row>
    <row r="2603" spans="5:12">
      <c r="E2603" s="49">
        <v>45057.725694435387</v>
      </c>
      <c r="F2603" s="56">
        <v>0</v>
      </c>
      <c r="G2603" s="48"/>
      <c r="H2603" s="48"/>
      <c r="I2603" s="48"/>
      <c r="J2603" s="48"/>
      <c r="L2603" s="65"/>
    </row>
    <row r="2604" spans="5:12">
      <c r="E2604" s="49">
        <v>45057.729166657606</v>
      </c>
      <c r="F2604" s="56">
        <v>0</v>
      </c>
      <c r="G2604" s="48"/>
      <c r="H2604" s="48"/>
      <c r="I2604" s="48"/>
      <c r="J2604" s="48"/>
      <c r="L2604" s="65"/>
    </row>
    <row r="2605" spans="5:12">
      <c r="E2605" s="49">
        <v>45057.732638879825</v>
      </c>
      <c r="F2605" s="56">
        <v>0</v>
      </c>
      <c r="G2605" s="48"/>
      <c r="H2605" s="48"/>
      <c r="I2605" s="48"/>
      <c r="J2605" s="48"/>
      <c r="L2605" s="65"/>
    </row>
    <row r="2606" spans="5:12">
      <c r="E2606" s="49">
        <v>45057.736111102044</v>
      </c>
      <c r="F2606" s="56">
        <v>0</v>
      </c>
      <c r="G2606" s="48"/>
      <c r="H2606" s="48"/>
      <c r="I2606" s="48"/>
      <c r="J2606" s="48"/>
      <c r="L2606" s="65"/>
    </row>
    <row r="2607" spans="5:12">
      <c r="E2607" s="49">
        <v>45057.739583324263</v>
      </c>
      <c r="F2607" s="56">
        <v>0</v>
      </c>
      <c r="G2607" s="48"/>
      <c r="H2607" s="48"/>
      <c r="I2607" s="48"/>
      <c r="J2607" s="48"/>
      <c r="L2607" s="65"/>
    </row>
    <row r="2608" spans="5:12">
      <c r="E2608" s="49">
        <v>45057.743055546482</v>
      </c>
      <c r="F2608" s="56">
        <v>0</v>
      </c>
      <c r="G2608" s="48"/>
      <c r="H2608" s="48"/>
      <c r="I2608" s="48"/>
      <c r="J2608" s="48"/>
      <c r="L2608" s="65"/>
    </row>
    <row r="2609" spans="5:12">
      <c r="E2609" s="49">
        <v>45057.746527768701</v>
      </c>
      <c r="F2609" s="56">
        <v>0</v>
      </c>
      <c r="G2609" s="48"/>
      <c r="H2609" s="48"/>
      <c r="I2609" s="48"/>
      <c r="J2609" s="48"/>
      <c r="L2609" s="65"/>
    </row>
    <row r="2610" spans="5:12">
      <c r="E2610" s="49">
        <v>45057.74999999092</v>
      </c>
      <c r="F2610" s="56">
        <v>0</v>
      </c>
      <c r="G2610" s="48"/>
      <c r="H2610" s="48"/>
      <c r="I2610" s="48"/>
      <c r="J2610" s="48"/>
      <c r="L2610" s="65"/>
    </row>
    <row r="2611" spans="5:12">
      <c r="E2611" s="49">
        <v>45057.753472213139</v>
      </c>
      <c r="F2611" s="56">
        <v>0</v>
      </c>
      <c r="G2611" s="48"/>
      <c r="H2611" s="48"/>
      <c r="I2611" s="48"/>
      <c r="J2611" s="48"/>
      <c r="L2611" s="65"/>
    </row>
    <row r="2612" spans="5:12">
      <c r="E2612" s="49">
        <v>45057.756944435358</v>
      </c>
      <c r="F2612" s="56">
        <v>0</v>
      </c>
      <c r="G2612" s="48"/>
      <c r="H2612" s="48"/>
      <c r="I2612" s="48"/>
      <c r="J2612" s="48"/>
      <c r="L2612" s="65"/>
    </row>
    <row r="2613" spans="5:12">
      <c r="E2613" s="49">
        <v>45057.760416657577</v>
      </c>
      <c r="F2613" s="56">
        <v>0</v>
      </c>
      <c r="G2613" s="48"/>
      <c r="H2613" s="48"/>
      <c r="I2613" s="48"/>
      <c r="J2613" s="48"/>
      <c r="L2613" s="65"/>
    </row>
    <row r="2614" spans="5:12">
      <c r="E2614" s="49">
        <v>45057.763888879796</v>
      </c>
      <c r="F2614" s="56">
        <v>0</v>
      </c>
      <c r="G2614" s="48"/>
      <c r="H2614" s="48"/>
      <c r="I2614" s="48"/>
      <c r="J2614" s="48"/>
      <c r="L2614" s="65"/>
    </row>
    <row r="2615" spans="5:12">
      <c r="E2615" s="49">
        <v>45057.767361102015</v>
      </c>
      <c r="F2615" s="56">
        <v>0</v>
      </c>
      <c r="G2615" s="48"/>
      <c r="H2615" s="48"/>
      <c r="I2615" s="48"/>
      <c r="J2615" s="48"/>
      <c r="L2615" s="65"/>
    </row>
    <row r="2616" spans="5:12">
      <c r="E2616" s="49">
        <v>45057.770833324234</v>
      </c>
      <c r="F2616" s="56">
        <v>0</v>
      </c>
      <c r="G2616" s="48"/>
      <c r="H2616" s="48"/>
      <c r="I2616" s="48"/>
      <c r="J2616" s="48"/>
      <c r="L2616" s="65"/>
    </row>
    <row r="2617" spans="5:12">
      <c r="E2617" s="49">
        <v>45057.774305546453</v>
      </c>
      <c r="F2617" s="56">
        <v>0</v>
      </c>
      <c r="G2617" s="48"/>
      <c r="H2617" s="48"/>
      <c r="I2617" s="48"/>
      <c r="J2617" s="48"/>
      <c r="L2617" s="65"/>
    </row>
    <row r="2618" spans="5:12">
      <c r="E2618" s="49">
        <v>45057.777777768672</v>
      </c>
      <c r="F2618" s="56">
        <v>0</v>
      </c>
      <c r="G2618" s="48"/>
      <c r="H2618" s="48"/>
      <c r="I2618" s="48"/>
      <c r="J2618" s="48"/>
      <c r="L2618" s="65"/>
    </row>
    <row r="2619" spans="5:12">
      <c r="E2619" s="49">
        <v>45057.781249990891</v>
      </c>
      <c r="F2619" s="56">
        <v>0</v>
      </c>
      <c r="G2619" s="48"/>
      <c r="H2619" s="48"/>
      <c r="I2619" s="48"/>
      <c r="J2619" s="48"/>
      <c r="L2619" s="65"/>
    </row>
    <row r="2620" spans="5:12">
      <c r="E2620" s="49">
        <v>45057.784722213109</v>
      </c>
      <c r="F2620" s="56">
        <v>0</v>
      </c>
      <c r="G2620" s="48"/>
      <c r="H2620" s="48"/>
      <c r="I2620" s="48"/>
      <c r="J2620" s="48"/>
      <c r="L2620" s="65"/>
    </row>
    <row r="2621" spans="5:12">
      <c r="E2621" s="49">
        <v>45057.788194435328</v>
      </c>
      <c r="F2621" s="56">
        <v>0</v>
      </c>
      <c r="G2621" s="48"/>
      <c r="H2621" s="48"/>
      <c r="I2621" s="48"/>
      <c r="J2621" s="48"/>
      <c r="L2621" s="65"/>
    </row>
    <row r="2622" spans="5:12">
      <c r="E2622" s="49">
        <v>45057.791666657547</v>
      </c>
      <c r="F2622" s="56">
        <v>0</v>
      </c>
      <c r="G2622" s="48"/>
      <c r="H2622" s="48"/>
      <c r="I2622" s="48"/>
      <c r="J2622" s="48"/>
      <c r="L2622" s="65"/>
    </row>
    <row r="2623" spans="5:12">
      <c r="E2623" s="49">
        <v>45057.795138879766</v>
      </c>
      <c r="F2623" s="56">
        <v>0</v>
      </c>
      <c r="G2623" s="48"/>
      <c r="H2623" s="48"/>
      <c r="I2623" s="48"/>
      <c r="J2623" s="48"/>
      <c r="L2623" s="65"/>
    </row>
    <row r="2624" spans="5:12">
      <c r="E2624" s="49">
        <v>45057.798611101985</v>
      </c>
      <c r="F2624" s="56">
        <v>0</v>
      </c>
      <c r="G2624" s="48"/>
      <c r="H2624" s="48"/>
      <c r="I2624" s="48"/>
      <c r="J2624" s="48"/>
      <c r="L2624" s="65"/>
    </row>
    <row r="2625" spans="5:12">
      <c r="E2625" s="49">
        <v>45057.802083324204</v>
      </c>
      <c r="F2625" s="56">
        <v>0</v>
      </c>
      <c r="G2625" s="48"/>
      <c r="H2625" s="48"/>
      <c r="I2625" s="48"/>
      <c r="J2625" s="48"/>
      <c r="L2625" s="65"/>
    </row>
    <row r="2626" spans="5:12">
      <c r="E2626" s="49">
        <v>45057.805555546423</v>
      </c>
      <c r="F2626" s="56">
        <v>0</v>
      </c>
      <c r="G2626" s="48"/>
      <c r="H2626" s="48"/>
      <c r="I2626" s="48"/>
      <c r="J2626" s="48"/>
      <c r="L2626" s="65"/>
    </row>
    <row r="2627" spans="5:12">
      <c r="E2627" s="49">
        <v>45057.809027768642</v>
      </c>
      <c r="F2627" s="56">
        <v>0</v>
      </c>
      <c r="G2627" s="48"/>
      <c r="H2627" s="48"/>
      <c r="I2627" s="48"/>
      <c r="J2627" s="48"/>
      <c r="L2627" s="65"/>
    </row>
    <row r="2628" spans="5:12">
      <c r="E2628" s="49">
        <v>45057.812499990861</v>
      </c>
      <c r="F2628" s="56">
        <v>0</v>
      </c>
      <c r="G2628" s="48"/>
      <c r="H2628" s="48"/>
      <c r="I2628" s="48"/>
      <c r="J2628" s="48"/>
      <c r="L2628" s="65"/>
    </row>
    <row r="2629" spans="5:12">
      <c r="E2629" s="49">
        <v>45057.81597221308</v>
      </c>
      <c r="F2629" s="56">
        <v>0</v>
      </c>
      <c r="G2629" s="48"/>
      <c r="H2629" s="48"/>
      <c r="I2629" s="48"/>
      <c r="J2629" s="48"/>
      <c r="L2629" s="65"/>
    </row>
    <row r="2630" spans="5:12">
      <c r="E2630" s="49">
        <v>45057.819444435299</v>
      </c>
      <c r="F2630" s="56">
        <v>0</v>
      </c>
      <c r="G2630" s="48"/>
      <c r="H2630" s="48"/>
      <c r="I2630" s="48"/>
      <c r="J2630" s="48"/>
      <c r="L2630" s="65"/>
    </row>
    <row r="2631" spans="5:12">
      <c r="E2631" s="49">
        <v>45057.822916657518</v>
      </c>
      <c r="F2631" s="56">
        <v>0</v>
      </c>
      <c r="G2631" s="48"/>
      <c r="H2631" s="48"/>
      <c r="I2631" s="48"/>
      <c r="J2631" s="48"/>
      <c r="L2631" s="65"/>
    </row>
    <row r="2632" spans="5:12">
      <c r="E2632" s="49">
        <v>45057.826388879737</v>
      </c>
      <c r="F2632" s="56">
        <v>0</v>
      </c>
      <c r="G2632" s="48"/>
      <c r="H2632" s="48"/>
      <c r="I2632" s="48"/>
      <c r="J2632" s="48"/>
      <c r="L2632" s="65"/>
    </row>
    <row r="2633" spans="5:12">
      <c r="E2633" s="49">
        <v>45057.829861101956</v>
      </c>
      <c r="F2633" s="56">
        <v>0</v>
      </c>
      <c r="G2633" s="48"/>
      <c r="H2633" s="48"/>
      <c r="I2633" s="48"/>
      <c r="J2633" s="48"/>
      <c r="L2633" s="65"/>
    </row>
    <row r="2634" spans="5:12">
      <c r="E2634" s="49">
        <v>45057.833333324175</v>
      </c>
      <c r="F2634" s="56">
        <v>0</v>
      </c>
      <c r="G2634" s="48"/>
      <c r="H2634" s="48"/>
      <c r="I2634" s="48"/>
      <c r="J2634" s="48"/>
      <c r="L2634" s="65"/>
    </row>
    <row r="2635" spans="5:12">
      <c r="E2635" s="49">
        <v>45057.836805546394</v>
      </c>
      <c r="F2635" s="56">
        <v>0</v>
      </c>
      <c r="G2635" s="48"/>
      <c r="H2635" s="48"/>
      <c r="I2635" s="48"/>
      <c r="J2635" s="48"/>
      <c r="L2635" s="65"/>
    </row>
    <row r="2636" spans="5:12">
      <c r="E2636" s="49">
        <v>45057.840277768613</v>
      </c>
      <c r="F2636" s="56">
        <v>0</v>
      </c>
      <c r="G2636" s="48"/>
      <c r="H2636" s="48"/>
      <c r="I2636" s="48"/>
      <c r="J2636" s="48"/>
      <c r="L2636" s="65"/>
    </row>
    <row r="2637" spans="5:12">
      <c r="E2637" s="49">
        <v>45057.843749990832</v>
      </c>
      <c r="F2637" s="56">
        <v>0</v>
      </c>
      <c r="G2637" s="48"/>
      <c r="H2637" s="48"/>
      <c r="I2637" s="48"/>
      <c r="J2637" s="48"/>
      <c r="L2637" s="65"/>
    </row>
    <row r="2638" spans="5:12">
      <c r="E2638" s="49">
        <v>45057.847222213051</v>
      </c>
      <c r="F2638" s="56">
        <v>0</v>
      </c>
      <c r="G2638" s="48"/>
      <c r="H2638" s="48"/>
      <c r="I2638" s="48"/>
      <c r="J2638" s="48"/>
      <c r="L2638" s="65"/>
    </row>
    <row r="2639" spans="5:12">
      <c r="E2639" s="49">
        <v>45057.85069443527</v>
      </c>
      <c r="F2639" s="56">
        <v>0</v>
      </c>
      <c r="G2639" s="48"/>
      <c r="H2639" s="48"/>
      <c r="I2639" s="48"/>
      <c r="J2639" s="48"/>
      <c r="L2639" s="65"/>
    </row>
    <row r="2640" spans="5:12">
      <c r="E2640" s="49">
        <v>45057.854166657489</v>
      </c>
      <c r="F2640" s="56">
        <v>0</v>
      </c>
      <c r="G2640" s="48"/>
      <c r="H2640" s="48"/>
      <c r="I2640" s="48"/>
      <c r="J2640" s="48"/>
      <c r="L2640" s="65"/>
    </row>
    <row r="2641" spans="5:12">
      <c r="E2641" s="49">
        <v>45057.857638879708</v>
      </c>
      <c r="F2641" s="56">
        <v>0</v>
      </c>
      <c r="G2641" s="48"/>
      <c r="H2641" s="48"/>
      <c r="I2641" s="48"/>
      <c r="J2641" s="48"/>
      <c r="L2641" s="65"/>
    </row>
    <row r="2642" spans="5:12">
      <c r="E2642" s="49">
        <v>45057.861111101927</v>
      </c>
      <c r="F2642" s="56">
        <v>0</v>
      </c>
      <c r="G2642" s="48"/>
      <c r="H2642" s="48"/>
      <c r="I2642" s="48"/>
      <c r="J2642" s="48"/>
      <c r="L2642" s="65"/>
    </row>
    <row r="2643" spans="5:12">
      <c r="E2643" s="49">
        <v>45057.864583324146</v>
      </c>
      <c r="F2643" s="56">
        <v>0</v>
      </c>
      <c r="G2643" s="48"/>
      <c r="H2643" s="48"/>
      <c r="I2643" s="48"/>
      <c r="J2643" s="48"/>
      <c r="L2643" s="65"/>
    </row>
    <row r="2644" spans="5:12">
      <c r="E2644" s="49">
        <v>45057.868055546365</v>
      </c>
      <c r="F2644" s="56">
        <v>0</v>
      </c>
      <c r="G2644" s="48"/>
      <c r="H2644" s="48"/>
      <c r="I2644" s="48"/>
      <c r="J2644" s="48"/>
      <c r="L2644" s="65"/>
    </row>
    <row r="2645" spans="5:12">
      <c r="E2645" s="49">
        <v>45057.871527768584</v>
      </c>
      <c r="F2645" s="56">
        <v>0</v>
      </c>
      <c r="G2645" s="48"/>
      <c r="H2645" s="48"/>
      <c r="I2645" s="48"/>
      <c r="J2645" s="48"/>
      <c r="L2645" s="65"/>
    </row>
    <row r="2646" spans="5:12">
      <c r="E2646" s="49">
        <v>45057.874999990803</v>
      </c>
      <c r="F2646" s="56">
        <v>0</v>
      </c>
      <c r="G2646" s="48"/>
      <c r="H2646" s="48"/>
      <c r="I2646" s="48"/>
      <c r="J2646" s="48"/>
      <c r="L2646" s="65"/>
    </row>
    <row r="2647" spans="5:12">
      <c r="E2647" s="49">
        <v>45057.878472213022</v>
      </c>
      <c r="F2647" s="56">
        <v>0</v>
      </c>
      <c r="G2647" s="48"/>
      <c r="H2647" s="48"/>
      <c r="I2647" s="48"/>
      <c r="J2647" s="48"/>
      <c r="L2647" s="65"/>
    </row>
    <row r="2648" spans="5:12">
      <c r="E2648" s="49">
        <v>45057.881944435241</v>
      </c>
      <c r="F2648" s="56">
        <v>0</v>
      </c>
      <c r="G2648" s="48"/>
      <c r="H2648" s="48"/>
      <c r="I2648" s="48"/>
      <c r="J2648" s="48"/>
      <c r="L2648" s="65"/>
    </row>
    <row r="2649" spans="5:12">
      <c r="E2649" s="49">
        <v>45057.88541665746</v>
      </c>
      <c r="F2649" s="56">
        <v>0</v>
      </c>
      <c r="G2649" s="48"/>
      <c r="H2649" s="48"/>
      <c r="I2649" s="48"/>
      <c r="J2649" s="48"/>
      <c r="L2649" s="65"/>
    </row>
    <row r="2650" spans="5:12">
      <c r="E2650" s="49">
        <v>45057.888888879679</v>
      </c>
      <c r="F2650" s="56">
        <v>0</v>
      </c>
      <c r="G2650" s="48"/>
      <c r="H2650" s="48"/>
      <c r="I2650" s="48"/>
      <c r="J2650" s="48"/>
      <c r="L2650" s="65"/>
    </row>
    <row r="2651" spans="5:12">
      <c r="E2651" s="49">
        <v>45057.892361101898</v>
      </c>
      <c r="F2651" s="56">
        <v>0</v>
      </c>
      <c r="G2651" s="48"/>
      <c r="H2651" s="48"/>
      <c r="I2651" s="48"/>
      <c r="J2651" s="48"/>
      <c r="L2651" s="65"/>
    </row>
    <row r="2652" spans="5:12">
      <c r="E2652" s="49">
        <v>45057.895833324117</v>
      </c>
      <c r="F2652" s="56">
        <v>0</v>
      </c>
      <c r="G2652" s="48"/>
      <c r="H2652" s="48"/>
      <c r="I2652" s="48"/>
      <c r="J2652" s="48"/>
      <c r="L2652" s="65"/>
    </row>
    <row r="2653" spans="5:12">
      <c r="E2653" s="49">
        <v>45057.899305546336</v>
      </c>
      <c r="F2653" s="56">
        <v>0</v>
      </c>
      <c r="G2653" s="48"/>
      <c r="H2653" s="48"/>
      <c r="I2653" s="48"/>
      <c r="J2653" s="48"/>
      <c r="L2653" s="65"/>
    </row>
    <row r="2654" spans="5:12">
      <c r="E2654" s="49">
        <v>45057.902777768555</v>
      </c>
      <c r="F2654" s="56">
        <v>0</v>
      </c>
      <c r="G2654" s="48"/>
      <c r="H2654" s="48"/>
      <c r="I2654" s="48"/>
      <c r="J2654" s="48"/>
      <c r="L2654" s="65"/>
    </row>
    <row r="2655" spans="5:12">
      <c r="E2655" s="49">
        <v>45057.906249990774</v>
      </c>
      <c r="F2655" s="56">
        <v>0</v>
      </c>
      <c r="G2655" s="48"/>
      <c r="H2655" s="48"/>
      <c r="I2655" s="48"/>
      <c r="J2655" s="48"/>
      <c r="L2655" s="65"/>
    </row>
    <row r="2656" spans="5:12">
      <c r="E2656" s="49">
        <v>45057.909722212993</v>
      </c>
      <c r="F2656" s="56">
        <v>0</v>
      </c>
      <c r="G2656" s="48"/>
      <c r="H2656" s="48"/>
      <c r="I2656" s="48"/>
      <c r="J2656" s="48"/>
      <c r="L2656" s="65"/>
    </row>
    <row r="2657" spans="5:12">
      <c r="E2657" s="49">
        <v>45057.913194435212</v>
      </c>
      <c r="F2657" s="56">
        <v>0</v>
      </c>
      <c r="G2657" s="48"/>
      <c r="H2657" s="48"/>
      <c r="I2657" s="48"/>
      <c r="J2657" s="48"/>
      <c r="L2657" s="65"/>
    </row>
    <row r="2658" spans="5:12">
      <c r="E2658" s="49">
        <v>45057.916666657431</v>
      </c>
      <c r="F2658" s="56">
        <v>0</v>
      </c>
      <c r="G2658" s="48"/>
      <c r="H2658" s="48"/>
      <c r="I2658" s="48"/>
      <c r="J2658" s="48"/>
      <c r="L2658" s="65"/>
    </row>
    <row r="2659" spans="5:12">
      <c r="E2659" s="49">
        <v>45057.92013887965</v>
      </c>
      <c r="F2659" s="56">
        <v>0</v>
      </c>
      <c r="G2659" s="48"/>
      <c r="H2659" s="48"/>
      <c r="I2659" s="48"/>
      <c r="J2659" s="48"/>
      <c r="L2659" s="65"/>
    </row>
    <row r="2660" spans="5:12">
      <c r="E2660" s="49">
        <v>45057.923611101869</v>
      </c>
      <c r="F2660" s="56">
        <v>0</v>
      </c>
      <c r="G2660" s="48"/>
      <c r="H2660" s="48"/>
      <c r="I2660" s="48"/>
      <c r="J2660" s="48"/>
      <c r="L2660" s="65"/>
    </row>
    <row r="2661" spans="5:12">
      <c r="E2661" s="49">
        <v>45057.927083324088</v>
      </c>
      <c r="F2661" s="56">
        <v>0</v>
      </c>
      <c r="G2661" s="48"/>
      <c r="H2661" s="48"/>
      <c r="I2661" s="48"/>
      <c r="J2661" s="48"/>
      <c r="L2661" s="65"/>
    </row>
    <row r="2662" spans="5:12">
      <c r="E2662" s="49">
        <v>45057.930555546307</v>
      </c>
      <c r="F2662" s="56">
        <v>0</v>
      </c>
      <c r="G2662" s="48"/>
      <c r="H2662" s="48"/>
      <c r="I2662" s="48"/>
      <c r="J2662" s="48"/>
      <c r="L2662" s="65"/>
    </row>
    <row r="2663" spans="5:12">
      <c r="E2663" s="49">
        <v>45057.934027768526</v>
      </c>
      <c r="F2663" s="56">
        <v>0</v>
      </c>
      <c r="G2663" s="48"/>
      <c r="H2663" s="48"/>
      <c r="I2663" s="48"/>
      <c r="J2663" s="48"/>
      <c r="L2663" s="65"/>
    </row>
    <row r="2664" spans="5:12">
      <c r="E2664" s="49">
        <v>45057.937499990745</v>
      </c>
      <c r="F2664" s="56">
        <v>0</v>
      </c>
      <c r="G2664" s="48"/>
      <c r="H2664" s="48"/>
      <c r="I2664" s="48"/>
      <c r="J2664" s="48"/>
      <c r="L2664" s="65"/>
    </row>
    <row r="2665" spans="5:12">
      <c r="E2665" s="49">
        <v>45057.940972212964</v>
      </c>
      <c r="F2665" s="56">
        <v>0</v>
      </c>
      <c r="G2665" s="48"/>
      <c r="H2665" s="48"/>
      <c r="I2665" s="48"/>
      <c r="J2665" s="48"/>
      <c r="L2665" s="65"/>
    </row>
    <row r="2666" spans="5:12">
      <c r="E2666" s="49">
        <v>45057.944444435183</v>
      </c>
      <c r="F2666" s="56">
        <v>0</v>
      </c>
      <c r="G2666" s="48"/>
      <c r="H2666" s="48"/>
      <c r="I2666" s="48"/>
      <c r="J2666" s="48"/>
      <c r="L2666" s="65"/>
    </row>
    <row r="2667" spans="5:12">
      <c r="E2667" s="49">
        <v>45057.947916657402</v>
      </c>
      <c r="F2667" s="56">
        <v>0</v>
      </c>
      <c r="G2667" s="48"/>
      <c r="H2667" s="48"/>
      <c r="I2667" s="48"/>
      <c r="J2667" s="48"/>
      <c r="L2667" s="65"/>
    </row>
    <row r="2668" spans="5:12">
      <c r="E2668" s="49">
        <v>45057.951388879621</v>
      </c>
      <c r="F2668" s="56">
        <v>0</v>
      </c>
      <c r="G2668" s="48"/>
      <c r="H2668" s="48"/>
      <c r="I2668" s="48"/>
      <c r="J2668" s="48"/>
      <c r="L2668" s="65"/>
    </row>
    <row r="2669" spans="5:12">
      <c r="E2669" s="49">
        <v>45057.95486110184</v>
      </c>
      <c r="F2669" s="56">
        <v>0</v>
      </c>
      <c r="G2669" s="48"/>
      <c r="H2669" s="48"/>
      <c r="I2669" s="48"/>
      <c r="J2669" s="48"/>
      <c r="L2669" s="65"/>
    </row>
    <row r="2670" spans="5:12">
      <c r="E2670" s="49">
        <v>45057.958333324059</v>
      </c>
      <c r="F2670" s="56">
        <v>0</v>
      </c>
      <c r="G2670" s="48"/>
      <c r="H2670" s="48"/>
      <c r="I2670" s="48"/>
      <c r="J2670" s="48"/>
      <c r="L2670" s="65"/>
    </row>
    <row r="2671" spans="5:12">
      <c r="E2671" s="49">
        <v>45057.961805546278</v>
      </c>
      <c r="F2671" s="56">
        <v>0</v>
      </c>
      <c r="G2671" s="48"/>
      <c r="H2671" s="48"/>
      <c r="I2671" s="48"/>
      <c r="J2671" s="48"/>
      <c r="L2671" s="65"/>
    </row>
    <row r="2672" spans="5:12">
      <c r="E2672" s="49">
        <v>45057.965277768497</v>
      </c>
      <c r="F2672" s="56">
        <v>0</v>
      </c>
      <c r="G2672" s="48"/>
      <c r="H2672" s="48"/>
      <c r="I2672" s="48"/>
      <c r="J2672" s="48"/>
      <c r="L2672" s="65"/>
    </row>
    <row r="2673" spans="5:12">
      <c r="E2673" s="49">
        <v>45057.968749990716</v>
      </c>
      <c r="F2673" s="56">
        <v>0</v>
      </c>
      <c r="G2673" s="48"/>
      <c r="H2673" s="48"/>
      <c r="I2673" s="48"/>
      <c r="J2673" s="48"/>
      <c r="L2673" s="65"/>
    </row>
    <row r="2674" spans="5:12">
      <c r="E2674" s="49">
        <v>45057.972222212935</v>
      </c>
      <c r="F2674" s="56">
        <v>0</v>
      </c>
      <c r="G2674" s="48"/>
      <c r="H2674" s="48"/>
      <c r="I2674" s="48"/>
      <c r="J2674" s="48"/>
      <c r="L2674" s="65"/>
    </row>
    <row r="2675" spans="5:12">
      <c r="E2675" s="49">
        <v>45057.975694435154</v>
      </c>
      <c r="F2675" s="56">
        <v>0</v>
      </c>
      <c r="G2675" s="48"/>
      <c r="H2675" s="48"/>
      <c r="I2675" s="48"/>
      <c r="J2675" s="48"/>
      <c r="L2675" s="65"/>
    </row>
    <row r="2676" spans="5:12">
      <c r="E2676" s="49">
        <v>45057.979166657373</v>
      </c>
      <c r="F2676" s="56">
        <v>0</v>
      </c>
      <c r="G2676" s="48"/>
      <c r="H2676" s="48"/>
      <c r="I2676" s="48"/>
      <c r="J2676" s="48"/>
      <c r="L2676" s="65"/>
    </row>
    <row r="2677" spans="5:12">
      <c r="E2677" s="49">
        <v>45057.982638879592</v>
      </c>
      <c r="F2677" s="56">
        <v>0</v>
      </c>
      <c r="G2677" s="48"/>
      <c r="H2677" s="48"/>
      <c r="I2677" s="48"/>
      <c r="J2677" s="48"/>
      <c r="L2677" s="65"/>
    </row>
    <row r="2678" spans="5:12">
      <c r="E2678" s="49">
        <v>45057.986111101811</v>
      </c>
      <c r="F2678" s="56">
        <v>0</v>
      </c>
      <c r="G2678" s="48"/>
      <c r="H2678" s="48"/>
      <c r="I2678" s="48"/>
      <c r="J2678" s="48"/>
      <c r="L2678" s="65"/>
    </row>
    <row r="2679" spans="5:12">
      <c r="E2679" s="49">
        <v>45057.98958332403</v>
      </c>
      <c r="F2679" s="56">
        <v>0</v>
      </c>
      <c r="G2679" s="48"/>
      <c r="H2679" s="48"/>
      <c r="I2679" s="48"/>
      <c r="J2679" s="48"/>
      <c r="L2679" s="65"/>
    </row>
    <row r="2680" spans="5:12">
      <c r="E2680" s="49">
        <v>45057.993055546249</v>
      </c>
      <c r="F2680" s="56">
        <v>0</v>
      </c>
      <c r="G2680" s="48"/>
      <c r="H2680" s="48"/>
      <c r="I2680" s="48"/>
      <c r="J2680" s="48"/>
      <c r="L2680" s="65"/>
    </row>
    <row r="2681" spans="5:12">
      <c r="E2681" s="49">
        <v>45057.996527768468</v>
      </c>
      <c r="F2681" s="56">
        <v>0</v>
      </c>
      <c r="G2681" s="48"/>
      <c r="H2681" s="48"/>
      <c r="I2681" s="48"/>
      <c r="J2681" s="48"/>
      <c r="L2681" s="65"/>
    </row>
    <row r="2682" spans="5:12">
      <c r="E2682" s="49">
        <v>45057.999999990687</v>
      </c>
      <c r="F2682" s="56">
        <v>0</v>
      </c>
      <c r="G2682" s="48"/>
      <c r="H2682" s="48"/>
      <c r="I2682" s="48"/>
      <c r="J2682" s="48"/>
      <c r="L2682" s="65"/>
    </row>
    <row r="2683" spans="5:12">
      <c r="E2683" s="49">
        <v>45058.003472212906</v>
      </c>
      <c r="F2683" s="56">
        <v>0</v>
      </c>
      <c r="G2683" s="48"/>
      <c r="H2683" s="48"/>
      <c r="I2683" s="48"/>
      <c r="J2683" s="48"/>
      <c r="L2683" s="65"/>
    </row>
    <row r="2684" spans="5:12">
      <c r="E2684" s="49">
        <v>45058.006944435125</v>
      </c>
      <c r="F2684" s="56">
        <v>0</v>
      </c>
      <c r="G2684" s="48"/>
      <c r="H2684" s="48"/>
      <c r="I2684" s="48"/>
      <c r="J2684" s="48"/>
      <c r="L2684" s="65"/>
    </row>
    <row r="2685" spans="5:12">
      <c r="E2685" s="49">
        <v>45058.010416657344</v>
      </c>
      <c r="F2685" s="56">
        <v>0</v>
      </c>
      <c r="G2685" s="48"/>
      <c r="H2685" s="48"/>
      <c r="I2685" s="48"/>
      <c r="J2685" s="48"/>
      <c r="L2685" s="65"/>
    </row>
    <row r="2686" spans="5:12">
      <c r="E2686" s="49">
        <v>45058.013888879563</v>
      </c>
      <c r="F2686" s="56">
        <v>0</v>
      </c>
      <c r="G2686" s="48"/>
      <c r="H2686" s="48"/>
      <c r="I2686" s="48"/>
      <c r="J2686" s="48"/>
      <c r="L2686" s="65"/>
    </row>
    <row r="2687" spans="5:12">
      <c r="E2687" s="49">
        <v>45058.017361101782</v>
      </c>
      <c r="F2687" s="56">
        <v>0</v>
      </c>
      <c r="G2687" s="48"/>
      <c r="H2687" s="48"/>
      <c r="I2687" s="48"/>
      <c r="J2687" s="48"/>
      <c r="L2687" s="65"/>
    </row>
    <row r="2688" spans="5:12">
      <c r="E2688" s="49">
        <v>45058.020833324001</v>
      </c>
      <c r="F2688" s="56">
        <v>0</v>
      </c>
      <c r="G2688" s="48"/>
      <c r="H2688" s="48"/>
      <c r="I2688" s="48"/>
      <c r="J2688" s="48"/>
      <c r="L2688" s="65"/>
    </row>
    <row r="2689" spans="5:12">
      <c r="E2689" s="49">
        <v>45058.02430554622</v>
      </c>
      <c r="F2689" s="56">
        <v>0</v>
      </c>
      <c r="G2689" s="48"/>
      <c r="H2689" s="48"/>
      <c r="I2689" s="48"/>
      <c r="J2689" s="48"/>
      <c r="L2689" s="65"/>
    </row>
    <row r="2690" spans="5:12">
      <c r="E2690" s="49">
        <v>45058.027777768439</v>
      </c>
      <c r="F2690" s="56">
        <v>0</v>
      </c>
      <c r="G2690" s="48"/>
      <c r="H2690" s="48"/>
      <c r="I2690" s="48"/>
      <c r="J2690" s="48"/>
      <c r="L2690" s="65"/>
    </row>
    <row r="2691" spans="5:12">
      <c r="E2691" s="49">
        <v>45058.031249990658</v>
      </c>
      <c r="F2691" s="56">
        <v>0</v>
      </c>
      <c r="G2691" s="48"/>
      <c r="H2691" s="48"/>
      <c r="I2691" s="48"/>
      <c r="J2691" s="48"/>
      <c r="L2691" s="65"/>
    </row>
    <row r="2692" spans="5:12">
      <c r="E2692" s="49">
        <v>45058.034722212877</v>
      </c>
      <c r="F2692" s="56">
        <v>0</v>
      </c>
      <c r="G2692" s="48"/>
      <c r="H2692" s="48"/>
      <c r="I2692" s="48"/>
      <c r="J2692" s="48"/>
      <c r="L2692" s="65"/>
    </row>
    <row r="2693" spans="5:12">
      <c r="E2693" s="49">
        <v>45058.038194435096</v>
      </c>
      <c r="F2693" s="56">
        <v>0</v>
      </c>
      <c r="G2693" s="48"/>
      <c r="H2693" s="48"/>
      <c r="I2693" s="48"/>
      <c r="J2693" s="48"/>
      <c r="L2693" s="65"/>
    </row>
    <row r="2694" spans="5:12">
      <c r="E2694" s="49">
        <v>45058.041666657315</v>
      </c>
      <c r="F2694" s="56">
        <v>0</v>
      </c>
      <c r="G2694" s="48"/>
      <c r="H2694" s="48"/>
      <c r="I2694" s="48"/>
      <c r="J2694" s="48"/>
      <c r="L2694" s="65"/>
    </row>
    <row r="2695" spans="5:12">
      <c r="E2695" s="49">
        <v>45058.045138879534</v>
      </c>
      <c r="F2695" s="56">
        <v>0</v>
      </c>
      <c r="G2695" s="48"/>
      <c r="H2695" s="48"/>
      <c r="I2695" s="48"/>
      <c r="J2695" s="48"/>
      <c r="L2695" s="65"/>
    </row>
    <row r="2696" spans="5:12">
      <c r="E2696" s="49">
        <v>45058.048611101753</v>
      </c>
      <c r="F2696" s="56">
        <v>0</v>
      </c>
      <c r="G2696" s="48"/>
      <c r="H2696" s="48"/>
      <c r="I2696" s="48"/>
      <c r="J2696" s="48"/>
      <c r="L2696" s="65"/>
    </row>
    <row r="2697" spans="5:12">
      <c r="E2697" s="49">
        <v>45058.052083323972</v>
      </c>
      <c r="F2697" s="56">
        <v>0</v>
      </c>
      <c r="G2697" s="48"/>
      <c r="H2697" s="48"/>
      <c r="I2697" s="48"/>
      <c r="J2697" s="48"/>
      <c r="L2697" s="65"/>
    </row>
    <row r="2698" spans="5:12">
      <c r="E2698" s="49">
        <v>45058.055555546191</v>
      </c>
      <c r="F2698" s="56">
        <v>0</v>
      </c>
      <c r="G2698" s="48"/>
      <c r="H2698" s="48"/>
      <c r="I2698" s="48"/>
      <c r="J2698" s="48"/>
      <c r="L2698" s="65"/>
    </row>
    <row r="2699" spans="5:12">
      <c r="E2699" s="49">
        <v>45058.05902776841</v>
      </c>
      <c r="F2699" s="56">
        <v>0</v>
      </c>
      <c r="G2699" s="48"/>
      <c r="H2699" s="48"/>
      <c r="I2699" s="48"/>
      <c r="J2699" s="48"/>
      <c r="L2699" s="65"/>
    </row>
    <row r="2700" spans="5:12">
      <c r="E2700" s="49">
        <v>45058.062499990629</v>
      </c>
      <c r="F2700" s="56">
        <v>0</v>
      </c>
      <c r="G2700" s="48"/>
      <c r="H2700" s="48"/>
      <c r="I2700" s="48"/>
      <c r="J2700" s="48"/>
      <c r="L2700" s="65"/>
    </row>
    <row r="2701" spans="5:12">
      <c r="E2701" s="49">
        <v>45058.065972212848</v>
      </c>
      <c r="F2701" s="56">
        <v>0</v>
      </c>
      <c r="G2701" s="48"/>
      <c r="H2701" s="48"/>
      <c r="I2701" s="48"/>
      <c r="J2701" s="48"/>
      <c r="L2701" s="65"/>
    </row>
    <row r="2702" spans="5:12">
      <c r="E2702" s="49">
        <v>45058.069444435067</v>
      </c>
      <c r="F2702" s="56">
        <v>0</v>
      </c>
      <c r="G2702" s="48"/>
      <c r="H2702" s="48"/>
      <c r="I2702" s="48"/>
      <c r="J2702" s="48"/>
      <c r="L2702" s="65"/>
    </row>
    <row r="2703" spans="5:12">
      <c r="E2703" s="49">
        <v>45058.072916657286</v>
      </c>
      <c r="F2703" s="56">
        <v>0</v>
      </c>
      <c r="G2703" s="48"/>
      <c r="H2703" s="48"/>
      <c r="I2703" s="48"/>
      <c r="J2703" s="48"/>
      <c r="L2703" s="65"/>
    </row>
    <row r="2704" spans="5:12">
      <c r="E2704" s="49">
        <v>45058.076388879505</v>
      </c>
      <c r="F2704" s="56">
        <v>0</v>
      </c>
      <c r="G2704" s="48"/>
      <c r="H2704" s="48"/>
      <c r="I2704" s="48"/>
      <c r="J2704" s="48"/>
      <c r="L2704" s="65"/>
    </row>
    <row r="2705" spans="5:12">
      <c r="E2705" s="49">
        <v>45058.079861101724</v>
      </c>
      <c r="F2705" s="56">
        <v>0</v>
      </c>
      <c r="G2705" s="48"/>
      <c r="H2705" s="48"/>
      <c r="I2705" s="48"/>
      <c r="J2705" s="48"/>
      <c r="L2705" s="65"/>
    </row>
    <row r="2706" spans="5:12">
      <c r="E2706" s="49">
        <v>45058.083333323942</v>
      </c>
      <c r="F2706" s="56">
        <v>0</v>
      </c>
      <c r="G2706" s="48"/>
      <c r="H2706" s="48"/>
      <c r="I2706" s="48"/>
      <c r="J2706" s="48"/>
      <c r="L2706" s="65"/>
    </row>
    <row r="2707" spans="5:12">
      <c r="E2707" s="49">
        <v>45058.086805546161</v>
      </c>
      <c r="F2707" s="56">
        <v>0</v>
      </c>
      <c r="G2707" s="48"/>
      <c r="H2707" s="48"/>
      <c r="I2707" s="48"/>
      <c r="J2707" s="48"/>
      <c r="L2707" s="65"/>
    </row>
    <row r="2708" spans="5:12">
      <c r="E2708" s="49">
        <v>45058.09027776838</v>
      </c>
      <c r="F2708" s="56">
        <v>0</v>
      </c>
      <c r="G2708" s="48"/>
      <c r="H2708" s="48"/>
      <c r="I2708" s="48"/>
      <c r="J2708" s="48"/>
      <c r="L2708" s="65"/>
    </row>
    <row r="2709" spans="5:12">
      <c r="E2709" s="49">
        <v>45058.093749990599</v>
      </c>
      <c r="F2709" s="56">
        <v>0</v>
      </c>
      <c r="G2709" s="48"/>
      <c r="H2709" s="48"/>
      <c r="I2709" s="48"/>
      <c r="J2709" s="48"/>
      <c r="L2709" s="65"/>
    </row>
    <row r="2710" spans="5:12">
      <c r="E2710" s="49">
        <v>45058.097222212818</v>
      </c>
      <c r="F2710" s="56">
        <v>0</v>
      </c>
      <c r="G2710" s="48"/>
      <c r="H2710" s="48"/>
      <c r="I2710" s="48"/>
      <c r="J2710" s="48"/>
      <c r="L2710" s="65"/>
    </row>
    <row r="2711" spans="5:12">
      <c r="E2711" s="49">
        <v>45058.100694435037</v>
      </c>
      <c r="F2711" s="56">
        <v>0</v>
      </c>
      <c r="G2711" s="48"/>
      <c r="H2711" s="48"/>
      <c r="I2711" s="48"/>
      <c r="J2711" s="48"/>
      <c r="L2711" s="65"/>
    </row>
    <row r="2712" spans="5:12">
      <c r="E2712" s="49">
        <v>45058.104166657256</v>
      </c>
      <c r="F2712" s="56">
        <v>0</v>
      </c>
      <c r="G2712" s="48"/>
      <c r="H2712" s="48"/>
      <c r="I2712" s="48"/>
      <c r="J2712" s="48"/>
      <c r="L2712" s="65"/>
    </row>
    <row r="2713" spans="5:12">
      <c r="E2713" s="49">
        <v>45058.107638879475</v>
      </c>
      <c r="F2713" s="56">
        <v>0</v>
      </c>
      <c r="G2713" s="48"/>
      <c r="H2713" s="48"/>
      <c r="I2713" s="48"/>
      <c r="J2713" s="48"/>
      <c r="L2713" s="65"/>
    </row>
    <row r="2714" spans="5:12">
      <c r="E2714" s="49">
        <v>45058.111111101694</v>
      </c>
      <c r="F2714" s="56">
        <v>0</v>
      </c>
      <c r="G2714" s="48"/>
      <c r="H2714" s="48"/>
      <c r="I2714" s="48"/>
      <c r="J2714" s="48"/>
      <c r="L2714" s="65"/>
    </row>
    <row r="2715" spans="5:12">
      <c r="E2715" s="49">
        <v>45058.114583323913</v>
      </c>
      <c r="F2715" s="56">
        <v>0</v>
      </c>
      <c r="G2715" s="48"/>
      <c r="H2715" s="48"/>
      <c r="I2715" s="48"/>
      <c r="J2715" s="48"/>
      <c r="L2715" s="65"/>
    </row>
    <row r="2716" spans="5:12">
      <c r="E2716" s="49">
        <v>45058.118055546132</v>
      </c>
      <c r="F2716" s="56">
        <v>0</v>
      </c>
      <c r="G2716" s="48"/>
      <c r="H2716" s="48"/>
      <c r="I2716" s="48"/>
      <c r="J2716" s="48"/>
      <c r="L2716" s="65"/>
    </row>
    <row r="2717" spans="5:12">
      <c r="E2717" s="49">
        <v>45058.121527768351</v>
      </c>
      <c r="F2717" s="56">
        <v>0</v>
      </c>
      <c r="G2717" s="48"/>
      <c r="H2717" s="48"/>
      <c r="I2717" s="48"/>
      <c r="J2717" s="48"/>
      <c r="L2717" s="65"/>
    </row>
    <row r="2718" spans="5:12">
      <c r="E2718" s="49">
        <v>45058.12499999057</v>
      </c>
      <c r="F2718" s="56">
        <v>0</v>
      </c>
      <c r="G2718" s="48"/>
      <c r="H2718" s="48"/>
      <c r="I2718" s="48"/>
      <c r="J2718" s="48"/>
      <c r="L2718" s="65"/>
    </row>
    <row r="2719" spans="5:12">
      <c r="E2719" s="49">
        <v>45058.128472212789</v>
      </c>
      <c r="F2719" s="56">
        <v>0</v>
      </c>
      <c r="G2719" s="48"/>
      <c r="H2719" s="48"/>
      <c r="I2719" s="48"/>
      <c r="J2719" s="48"/>
      <c r="L2719" s="65"/>
    </row>
    <row r="2720" spans="5:12">
      <c r="E2720" s="49">
        <v>45058.131944435008</v>
      </c>
      <c r="F2720" s="56">
        <v>0</v>
      </c>
      <c r="G2720" s="48"/>
      <c r="H2720" s="48"/>
      <c r="I2720" s="48"/>
      <c r="J2720" s="48"/>
      <c r="L2720" s="65"/>
    </row>
    <row r="2721" spans="5:12">
      <c r="E2721" s="49">
        <v>45058.135416657227</v>
      </c>
      <c r="F2721" s="56">
        <v>0</v>
      </c>
      <c r="G2721" s="48"/>
      <c r="H2721" s="48"/>
      <c r="I2721" s="48"/>
      <c r="J2721" s="48"/>
      <c r="L2721" s="65"/>
    </row>
    <row r="2722" spans="5:12">
      <c r="E2722" s="49">
        <v>45058.138888879446</v>
      </c>
      <c r="F2722" s="56">
        <v>0</v>
      </c>
      <c r="G2722" s="48"/>
      <c r="H2722" s="48"/>
      <c r="I2722" s="48"/>
      <c r="J2722" s="48"/>
      <c r="L2722" s="65"/>
    </row>
    <row r="2723" spans="5:12">
      <c r="E2723" s="49">
        <v>45058.142361101665</v>
      </c>
      <c r="F2723" s="56">
        <v>0</v>
      </c>
      <c r="G2723" s="48"/>
      <c r="H2723" s="48"/>
      <c r="I2723" s="48"/>
      <c r="J2723" s="48"/>
      <c r="L2723" s="65"/>
    </row>
    <row r="2724" spans="5:12">
      <c r="E2724" s="49">
        <v>45058.145833323884</v>
      </c>
      <c r="F2724" s="56">
        <v>0</v>
      </c>
      <c r="G2724" s="48"/>
      <c r="H2724" s="48"/>
      <c r="I2724" s="48"/>
      <c r="J2724" s="48"/>
      <c r="L2724" s="65"/>
    </row>
    <row r="2725" spans="5:12">
      <c r="E2725" s="49">
        <v>45058.149305546103</v>
      </c>
      <c r="F2725" s="56">
        <v>0</v>
      </c>
      <c r="G2725" s="48"/>
      <c r="H2725" s="48"/>
      <c r="I2725" s="48"/>
      <c r="J2725" s="48"/>
      <c r="L2725" s="65"/>
    </row>
    <row r="2726" spans="5:12">
      <c r="E2726" s="49">
        <v>45058.152777768322</v>
      </c>
      <c r="F2726" s="56">
        <v>0</v>
      </c>
      <c r="G2726" s="48"/>
      <c r="H2726" s="48"/>
      <c r="I2726" s="48"/>
      <c r="J2726" s="48"/>
      <c r="L2726" s="65"/>
    </row>
    <row r="2727" spans="5:12">
      <c r="E2727" s="49">
        <v>45058.156249990541</v>
      </c>
      <c r="F2727" s="56">
        <v>0</v>
      </c>
      <c r="G2727" s="48"/>
      <c r="H2727" s="48"/>
      <c r="I2727" s="48"/>
      <c r="J2727" s="48"/>
      <c r="L2727" s="65"/>
    </row>
    <row r="2728" spans="5:12">
      <c r="E2728" s="49">
        <v>45058.15972221276</v>
      </c>
      <c r="F2728" s="56">
        <v>0</v>
      </c>
      <c r="G2728" s="48"/>
      <c r="H2728" s="48"/>
      <c r="I2728" s="48"/>
      <c r="J2728" s="48"/>
      <c r="L2728" s="65"/>
    </row>
    <row r="2729" spans="5:12">
      <c r="E2729" s="49">
        <v>45058.163194434979</v>
      </c>
      <c r="F2729" s="56">
        <v>0</v>
      </c>
      <c r="G2729" s="48"/>
      <c r="H2729" s="48"/>
      <c r="I2729" s="48"/>
      <c r="J2729" s="48"/>
      <c r="L2729" s="65"/>
    </row>
    <row r="2730" spans="5:12">
      <c r="E2730" s="49">
        <v>45058.166666657198</v>
      </c>
      <c r="F2730" s="56">
        <v>0</v>
      </c>
      <c r="G2730" s="48"/>
      <c r="H2730" s="48"/>
      <c r="I2730" s="48"/>
      <c r="J2730" s="48"/>
      <c r="L2730" s="65"/>
    </row>
    <row r="2731" spans="5:12">
      <c r="E2731" s="49">
        <v>45058.170138879417</v>
      </c>
      <c r="F2731" s="56">
        <v>0</v>
      </c>
      <c r="G2731" s="48"/>
      <c r="H2731" s="48"/>
      <c r="I2731" s="48"/>
      <c r="J2731" s="48"/>
      <c r="L2731" s="65"/>
    </row>
    <row r="2732" spans="5:12">
      <c r="E2732" s="49">
        <v>45058.173611101636</v>
      </c>
      <c r="F2732" s="56">
        <v>0</v>
      </c>
      <c r="G2732" s="48"/>
      <c r="H2732" s="48"/>
      <c r="I2732" s="48"/>
      <c r="J2732" s="48"/>
      <c r="L2732" s="65"/>
    </row>
    <row r="2733" spans="5:12">
      <c r="E2733" s="49">
        <v>45058.177083323855</v>
      </c>
      <c r="F2733" s="56">
        <v>0</v>
      </c>
      <c r="G2733" s="48"/>
      <c r="H2733" s="48"/>
      <c r="I2733" s="48"/>
      <c r="J2733" s="48"/>
      <c r="L2733" s="65"/>
    </row>
    <row r="2734" spans="5:12">
      <c r="E2734" s="49">
        <v>45058.180555546074</v>
      </c>
      <c r="F2734" s="56">
        <v>0</v>
      </c>
      <c r="G2734" s="48"/>
      <c r="H2734" s="48"/>
      <c r="I2734" s="48"/>
      <c r="J2734" s="48"/>
      <c r="L2734" s="65"/>
    </row>
    <row r="2735" spans="5:12">
      <c r="E2735" s="49">
        <v>45058.184027768293</v>
      </c>
      <c r="F2735" s="56">
        <v>0</v>
      </c>
      <c r="G2735" s="48"/>
      <c r="H2735" s="48"/>
      <c r="I2735" s="48"/>
      <c r="J2735" s="48"/>
      <c r="L2735" s="65"/>
    </row>
    <row r="2736" spans="5:12">
      <c r="E2736" s="49">
        <v>45058.187499990512</v>
      </c>
      <c r="F2736" s="56">
        <v>0</v>
      </c>
      <c r="G2736" s="48"/>
      <c r="H2736" s="48"/>
      <c r="I2736" s="48"/>
      <c r="J2736" s="48"/>
      <c r="L2736" s="65"/>
    </row>
    <row r="2737" spans="5:12">
      <c r="E2737" s="49">
        <v>45058.190972212731</v>
      </c>
      <c r="F2737" s="56">
        <v>0</v>
      </c>
      <c r="G2737" s="48"/>
      <c r="H2737" s="48"/>
      <c r="I2737" s="48"/>
      <c r="J2737" s="48"/>
      <c r="L2737" s="65"/>
    </row>
    <row r="2738" spans="5:12">
      <c r="E2738" s="49">
        <v>45058.19444443495</v>
      </c>
      <c r="F2738" s="56">
        <v>0</v>
      </c>
      <c r="G2738" s="48"/>
      <c r="H2738" s="48"/>
      <c r="I2738" s="48"/>
      <c r="J2738" s="48"/>
      <c r="L2738" s="65"/>
    </row>
    <row r="2739" spans="5:12">
      <c r="E2739" s="49">
        <v>45058.197916657169</v>
      </c>
      <c r="F2739" s="56">
        <v>0</v>
      </c>
      <c r="G2739" s="48"/>
      <c r="H2739" s="48"/>
      <c r="I2739" s="48"/>
      <c r="J2739" s="48"/>
      <c r="L2739" s="65"/>
    </row>
    <row r="2740" spans="5:12">
      <c r="E2740" s="49">
        <v>45058.201388879388</v>
      </c>
      <c r="F2740" s="56">
        <v>0</v>
      </c>
      <c r="G2740" s="48"/>
      <c r="H2740" s="48"/>
      <c r="I2740" s="48"/>
      <c r="J2740" s="48"/>
      <c r="L2740" s="65"/>
    </row>
    <row r="2741" spans="5:12">
      <c r="E2741" s="49">
        <v>45058.204861101607</v>
      </c>
      <c r="F2741" s="56">
        <v>0</v>
      </c>
      <c r="G2741" s="48"/>
      <c r="H2741" s="48"/>
      <c r="I2741" s="48"/>
      <c r="J2741" s="48"/>
      <c r="L2741" s="65"/>
    </row>
    <row r="2742" spans="5:12">
      <c r="E2742" s="49">
        <v>45058.208333323826</v>
      </c>
      <c r="F2742" s="56">
        <v>0</v>
      </c>
      <c r="G2742" s="48"/>
      <c r="H2742" s="48"/>
      <c r="I2742" s="48"/>
      <c r="J2742" s="48"/>
      <c r="L2742" s="65"/>
    </row>
    <row r="2743" spans="5:12">
      <c r="E2743" s="49">
        <v>45058.211805546045</v>
      </c>
      <c r="F2743" s="56">
        <v>0</v>
      </c>
      <c r="G2743" s="48"/>
      <c r="H2743" s="48"/>
      <c r="I2743" s="48"/>
      <c r="J2743" s="48"/>
      <c r="L2743" s="65"/>
    </row>
    <row r="2744" spans="5:12">
      <c r="E2744" s="49">
        <v>45058.215277768264</v>
      </c>
      <c r="F2744" s="56">
        <v>0</v>
      </c>
      <c r="G2744" s="48"/>
      <c r="H2744" s="48"/>
      <c r="I2744" s="48"/>
      <c r="J2744" s="48"/>
      <c r="L2744" s="65"/>
    </row>
    <row r="2745" spans="5:12">
      <c r="E2745" s="49">
        <v>45058.218749990483</v>
      </c>
      <c r="F2745" s="56">
        <v>0</v>
      </c>
      <c r="G2745" s="48"/>
      <c r="H2745" s="48"/>
      <c r="I2745" s="48"/>
      <c r="J2745" s="48"/>
      <c r="L2745" s="65"/>
    </row>
    <row r="2746" spans="5:12">
      <c r="E2746" s="49">
        <v>45058.222222212702</v>
      </c>
      <c r="F2746" s="56">
        <v>0</v>
      </c>
      <c r="G2746" s="48"/>
      <c r="H2746" s="48"/>
      <c r="I2746" s="48"/>
      <c r="J2746" s="48"/>
      <c r="L2746" s="65"/>
    </row>
    <row r="2747" spans="5:12">
      <c r="E2747" s="49">
        <v>45058.225694434921</v>
      </c>
      <c r="F2747" s="56">
        <v>0</v>
      </c>
      <c r="G2747" s="48"/>
      <c r="H2747" s="48"/>
      <c r="I2747" s="48"/>
      <c r="J2747" s="48"/>
      <c r="L2747" s="65"/>
    </row>
    <row r="2748" spans="5:12">
      <c r="E2748" s="49">
        <v>45058.22916665714</v>
      </c>
      <c r="F2748" s="56">
        <v>0</v>
      </c>
      <c r="G2748" s="48"/>
      <c r="H2748" s="48"/>
      <c r="I2748" s="48"/>
      <c r="J2748" s="48"/>
      <c r="L2748" s="65"/>
    </row>
    <row r="2749" spans="5:12">
      <c r="E2749" s="49">
        <v>45058.232638879359</v>
      </c>
      <c r="F2749" s="56">
        <v>0</v>
      </c>
      <c r="G2749" s="48"/>
      <c r="H2749" s="48"/>
      <c r="I2749" s="48"/>
      <c r="J2749" s="48"/>
      <c r="L2749" s="65"/>
    </row>
    <row r="2750" spans="5:12">
      <c r="E2750" s="49">
        <v>45058.236111101578</v>
      </c>
      <c r="F2750" s="56">
        <v>0</v>
      </c>
      <c r="G2750" s="48"/>
      <c r="H2750" s="48"/>
      <c r="I2750" s="48"/>
      <c r="J2750" s="48"/>
      <c r="L2750" s="65"/>
    </row>
    <row r="2751" spans="5:12">
      <c r="E2751" s="49">
        <v>45058.239583323797</v>
      </c>
      <c r="F2751" s="56">
        <v>0</v>
      </c>
      <c r="G2751" s="48"/>
      <c r="H2751" s="48"/>
      <c r="I2751" s="48"/>
      <c r="J2751" s="48"/>
      <c r="L2751" s="65"/>
    </row>
    <row r="2752" spans="5:12">
      <c r="E2752" s="49">
        <v>45058.243055546016</v>
      </c>
      <c r="F2752" s="56">
        <v>0</v>
      </c>
      <c r="G2752" s="48"/>
      <c r="H2752" s="48"/>
      <c r="I2752" s="48"/>
      <c r="J2752" s="48"/>
      <c r="L2752" s="65"/>
    </row>
    <row r="2753" spans="5:12">
      <c r="E2753" s="49">
        <v>45058.246527768235</v>
      </c>
      <c r="F2753" s="56">
        <v>0</v>
      </c>
      <c r="G2753" s="48"/>
      <c r="H2753" s="48"/>
      <c r="I2753" s="48"/>
      <c r="J2753" s="48"/>
      <c r="L2753" s="65"/>
    </row>
    <row r="2754" spans="5:12">
      <c r="E2754" s="49">
        <v>45058.249999990454</v>
      </c>
      <c r="F2754" s="56">
        <v>0</v>
      </c>
      <c r="G2754" s="48"/>
      <c r="H2754" s="48"/>
      <c r="I2754" s="48"/>
      <c r="J2754" s="48"/>
      <c r="L2754" s="65"/>
    </row>
    <row r="2755" spans="5:12">
      <c r="E2755" s="49">
        <v>45058.253472212673</v>
      </c>
      <c r="F2755" s="56">
        <v>0</v>
      </c>
      <c r="G2755" s="48"/>
      <c r="H2755" s="48"/>
      <c r="I2755" s="48"/>
      <c r="J2755" s="48"/>
      <c r="L2755" s="65"/>
    </row>
    <row r="2756" spans="5:12">
      <c r="E2756" s="49">
        <v>45058.256944434892</v>
      </c>
      <c r="F2756" s="56">
        <v>0</v>
      </c>
      <c r="G2756" s="48"/>
      <c r="H2756" s="48"/>
      <c r="I2756" s="48"/>
      <c r="J2756" s="48"/>
      <c r="L2756" s="65"/>
    </row>
    <row r="2757" spans="5:12">
      <c r="E2757" s="49">
        <v>45058.260416657111</v>
      </c>
      <c r="F2757" s="56">
        <v>0</v>
      </c>
      <c r="G2757" s="48"/>
      <c r="H2757" s="48"/>
      <c r="I2757" s="48"/>
      <c r="J2757" s="48"/>
      <c r="L2757" s="65"/>
    </row>
    <row r="2758" spans="5:12">
      <c r="E2758" s="49">
        <v>45058.26388887933</v>
      </c>
      <c r="F2758" s="56">
        <v>0</v>
      </c>
      <c r="G2758" s="48"/>
      <c r="H2758" s="48"/>
      <c r="I2758" s="48"/>
      <c r="J2758" s="48"/>
      <c r="L2758" s="65"/>
    </row>
    <row r="2759" spans="5:12">
      <c r="E2759" s="49">
        <v>45058.267361101549</v>
      </c>
      <c r="F2759" s="56">
        <v>0</v>
      </c>
      <c r="G2759" s="48"/>
      <c r="H2759" s="48"/>
      <c r="I2759" s="48"/>
      <c r="J2759" s="48"/>
      <c r="L2759" s="65"/>
    </row>
    <row r="2760" spans="5:12">
      <c r="E2760" s="49">
        <v>45058.270833323768</v>
      </c>
      <c r="F2760" s="56">
        <v>0</v>
      </c>
      <c r="G2760" s="48"/>
      <c r="H2760" s="48"/>
      <c r="I2760" s="48"/>
      <c r="J2760" s="48"/>
      <c r="L2760" s="65"/>
    </row>
    <row r="2761" spans="5:12">
      <c r="E2761" s="49">
        <v>45058.274305545987</v>
      </c>
      <c r="F2761" s="56">
        <v>0</v>
      </c>
      <c r="G2761" s="48"/>
      <c r="H2761" s="48"/>
      <c r="I2761" s="48"/>
      <c r="J2761" s="48"/>
      <c r="L2761" s="65"/>
    </row>
    <row r="2762" spans="5:12">
      <c r="E2762" s="49">
        <v>45058.277777768206</v>
      </c>
      <c r="F2762" s="56">
        <v>0</v>
      </c>
      <c r="G2762" s="48"/>
      <c r="H2762" s="48"/>
      <c r="I2762" s="48"/>
      <c r="J2762" s="48"/>
      <c r="L2762" s="65"/>
    </row>
    <row r="2763" spans="5:12">
      <c r="E2763" s="49">
        <v>45058.281249990425</v>
      </c>
      <c r="F2763" s="56">
        <v>0</v>
      </c>
      <c r="G2763" s="48"/>
      <c r="H2763" s="48"/>
      <c r="I2763" s="48"/>
      <c r="J2763" s="48"/>
      <c r="L2763" s="65"/>
    </row>
    <row r="2764" spans="5:12">
      <c r="E2764" s="49">
        <v>45058.284722212644</v>
      </c>
      <c r="F2764" s="56">
        <v>0</v>
      </c>
      <c r="G2764" s="48"/>
      <c r="H2764" s="48"/>
      <c r="I2764" s="48"/>
      <c r="J2764" s="48"/>
      <c r="L2764" s="65"/>
    </row>
    <row r="2765" spans="5:12">
      <c r="E2765" s="49">
        <v>45058.288194434863</v>
      </c>
      <c r="F2765" s="56">
        <v>0</v>
      </c>
      <c r="G2765" s="48"/>
      <c r="H2765" s="48"/>
      <c r="I2765" s="48"/>
      <c r="J2765" s="48"/>
      <c r="L2765" s="65"/>
    </row>
    <row r="2766" spans="5:12">
      <c r="E2766" s="49">
        <v>45058.291666657082</v>
      </c>
      <c r="F2766" s="56">
        <v>0</v>
      </c>
      <c r="G2766" s="48"/>
      <c r="H2766" s="48"/>
      <c r="I2766" s="48"/>
      <c r="J2766" s="48"/>
      <c r="L2766" s="65"/>
    </row>
    <row r="2767" spans="5:12">
      <c r="E2767" s="49">
        <v>45058.295138879301</v>
      </c>
      <c r="F2767" s="56">
        <v>0</v>
      </c>
      <c r="G2767" s="48"/>
      <c r="H2767" s="48"/>
      <c r="I2767" s="48"/>
      <c r="J2767" s="48"/>
      <c r="L2767" s="65"/>
    </row>
    <row r="2768" spans="5:12">
      <c r="E2768" s="49">
        <v>45058.29861110152</v>
      </c>
      <c r="F2768" s="56">
        <v>0</v>
      </c>
      <c r="G2768" s="48"/>
      <c r="H2768" s="48"/>
      <c r="I2768" s="48"/>
      <c r="J2768" s="48"/>
      <c r="L2768" s="65"/>
    </row>
    <row r="2769" spans="5:12">
      <c r="E2769" s="49">
        <v>45058.302083323739</v>
      </c>
      <c r="F2769" s="56">
        <v>0</v>
      </c>
      <c r="G2769" s="48"/>
      <c r="H2769" s="48"/>
      <c r="I2769" s="48"/>
      <c r="J2769" s="48"/>
      <c r="L2769" s="65"/>
    </row>
    <row r="2770" spans="5:12">
      <c r="E2770" s="49">
        <v>45058.305555545958</v>
      </c>
      <c r="F2770" s="56">
        <v>0</v>
      </c>
      <c r="G2770" s="48"/>
      <c r="H2770" s="48"/>
      <c r="I2770" s="48"/>
      <c r="J2770" s="48"/>
      <c r="L2770" s="65"/>
    </row>
    <row r="2771" spans="5:12">
      <c r="E2771" s="49">
        <v>45058.309027768177</v>
      </c>
      <c r="F2771" s="56">
        <v>0</v>
      </c>
      <c r="G2771" s="48"/>
      <c r="H2771" s="48"/>
      <c r="I2771" s="48"/>
      <c r="J2771" s="48"/>
      <c r="L2771" s="65"/>
    </row>
    <row r="2772" spans="5:12">
      <c r="E2772" s="49">
        <v>45058.312499990396</v>
      </c>
      <c r="F2772" s="56">
        <v>0</v>
      </c>
      <c r="G2772" s="48"/>
      <c r="H2772" s="48"/>
      <c r="I2772" s="48"/>
      <c r="J2772" s="48"/>
      <c r="L2772" s="65"/>
    </row>
    <row r="2773" spans="5:12">
      <c r="E2773" s="49">
        <v>45058.315972212615</v>
      </c>
      <c r="F2773" s="56">
        <v>0</v>
      </c>
      <c r="G2773" s="48"/>
      <c r="H2773" s="48"/>
      <c r="I2773" s="48"/>
      <c r="J2773" s="48"/>
      <c r="L2773" s="65"/>
    </row>
    <row r="2774" spans="5:12">
      <c r="E2774" s="49">
        <v>45058.319444434834</v>
      </c>
      <c r="F2774" s="56">
        <v>0</v>
      </c>
      <c r="G2774" s="48"/>
      <c r="H2774" s="48"/>
      <c r="I2774" s="48"/>
      <c r="J2774" s="48"/>
      <c r="L2774" s="65"/>
    </row>
    <row r="2775" spans="5:12">
      <c r="E2775" s="49">
        <v>45058.322916657053</v>
      </c>
      <c r="F2775" s="56">
        <v>0</v>
      </c>
      <c r="G2775" s="48"/>
      <c r="H2775" s="48"/>
      <c r="I2775" s="48"/>
      <c r="J2775" s="48"/>
      <c r="L2775" s="65"/>
    </row>
    <row r="2776" spans="5:12">
      <c r="E2776" s="49">
        <v>45058.326388879272</v>
      </c>
      <c r="F2776" s="56">
        <v>0</v>
      </c>
      <c r="G2776" s="48"/>
      <c r="H2776" s="48"/>
      <c r="I2776" s="48"/>
      <c r="J2776" s="48"/>
      <c r="L2776" s="65"/>
    </row>
    <row r="2777" spans="5:12">
      <c r="E2777" s="49">
        <v>45058.329861101491</v>
      </c>
      <c r="F2777" s="56">
        <v>0</v>
      </c>
      <c r="G2777" s="48"/>
      <c r="H2777" s="48"/>
      <c r="I2777" s="48"/>
      <c r="J2777" s="48"/>
      <c r="L2777" s="65"/>
    </row>
    <row r="2778" spans="5:12">
      <c r="E2778" s="49">
        <v>45058.33333332371</v>
      </c>
      <c r="F2778" s="56">
        <v>0</v>
      </c>
      <c r="G2778" s="48"/>
      <c r="H2778" s="48"/>
      <c r="I2778" s="48"/>
      <c r="J2778" s="48"/>
      <c r="L2778" s="65"/>
    </row>
    <row r="2779" spans="5:12">
      <c r="E2779" s="49">
        <v>45058.336805545929</v>
      </c>
      <c r="F2779" s="56">
        <v>0</v>
      </c>
      <c r="G2779" s="48"/>
      <c r="H2779" s="48"/>
      <c r="I2779" s="48"/>
      <c r="J2779" s="48"/>
      <c r="L2779" s="65"/>
    </row>
    <row r="2780" spans="5:12">
      <c r="E2780" s="49">
        <v>45058.340277768148</v>
      </c>
      <c r="F2780" s="56">
        <v>0</v>
      </c>
      <c r="G2780" s="48"/>
      <c r="H2780" s="48"/>
      <c r="I2780" s="48"/>
      <c r="J2780" s="48"/>
      <c r="L2780" s="65"/>
    </row>
    <row r="2781" spans="5:12">
      <c r="E2781" s="49">
        <v>45058.343749990367</v>
      </c>
      <c r="F2781" s="56">
        <v>0</v>
      </c>
      <c r="G2781" s="48"/>
      <c r="H2781" s="48"/>
      <c r="I2781" s="48"/>
      <c r="J2781" s="48"/>
      <c r="L2781" s="65"/>
    </row>
    <row r="2782" spans="5:12">
      <c r="E2782" s="49">
        <v>45058.347222212586</v>
      </c>
      <c r="F2782" s="56">
        <v>0</v>
      </c>
      <c r="G2782" s="48"/>
      <c r="H2782" s="48"/>
      <c r="I2782" s="48"/>
      <c r="J2782" s="48"/>
      <c r="L2782" s="65"/>
    </row>
    <row r="2783" spans="5:12">
      <c r="E2783" s="49">
        <v>45058.350694434805</v>
      </c>
      <c r="F2783" s="56">
        <v>0</v>
      </c>
      <c r="G2783" s="48"/>
      <c r="H2783" s="48"/>
      <c r="I2783" s="48"/>
      <c r="J2783" s="48"/>
      <c r="L2783" s="65"/>
    </row>
    <row r="2784" spans="5:12">
      <c r="E2784" s="49">
        <v>45058.354166657024</v>
      </c>
      <c r="F2784" s="56">
        <v>0</v>
      </c>
      <c r="G2784" s="48"/>
      <c r="H2784" s="48"/>
      <c r="I2784" s="48"/>
      <c r="J2784" s="48"/>
      <c r="L2784" s="65"/>
    </row>
    <row r="2785" spans="5:12">
      <c r="E2785" s="49">
        <v>45058.357638879243</v>
      </c>
      <c r="F2785" s="56">
        <v>0</v>
      </c>
      <c r="G2785" s="48"/>
      <c r="H2785" s="48"/>
      <c r="I2785" s="48"/>
      <c r="J2785" s="48"/>
      <c r="L2785" s="65"/>
    </row>
    <row r="2786" spans="5:12">
      <c r="E2786" s="49">
        <v>45058.361111101462</v>
      </c>
      <c r="F2786" s="56">
        <v>0</v>
      </c>
      <c r="G2786" s="48"/>
      <c r="H2786" s="48"/>
      <c r="I2786" s="48"/>
      <c r="J2786" s="48"/>
      <c r="L2786" s="65"/>
    </row>
    <row r="2787" spans="5:12">
      <c r="E2787" s="49">
        <v>45058.364583323681</v>
      </c>
      <c r="F2787" s="56">
        <v>0</v>
      </c>
      <c r="G2787" s="48"/>
      <c r="H2787" s="48"/>
      <c r="I2787" s="48"/>
      <c r="J2787" s="48"/>
      <c r="L2787" s="65"/>
    </row>
    <row r="2788" spans="5:12">
      <c r="E2788" s="49">
        <v>45058.3680555459</v>
      </c>
      <c r="F2788" s="56">
        <v>0</v>
      </c>
      <c r="G2788" s="48"/>
      <c r="H2788" s="48"/>
      <c r="I2788" s="48"/>
      <c r="J2788" s="48"/>
      <c r="L2788" s="65"/>
    </row>
    <row r="2789" spans="5:12">
      <c r="E2789" s="49">
        <v>45058.371527768119</v>
      </c>
      <c r="F2789" s="56">
        <v>0</v>
      </c>
      <c r="G2789" s="48"/>
      <c r="H2789" s="48"/>
      <c r="I2789" s="48"/>
      <c r="J2789" s="48"/>
      <c r="L2789" s="65"/>
    </row>
    <row r="2790" spans="5:12">
      <c r="E2790" s="49">
        <v>45058.374999990338</v>
      </c>
      <c r="F2790" s="56">
        <v>0</v>
      </c>
      <c r="G2790" s="48"/>
      <c r="H2790" s="48"/>
      <c r="I2790" s="48"/>
      <c r="J2790" s="48"/>
      <c r="L2790" s="65"/>
    </row>
    <row r="2791" spans="5:12">
      <c r="E2791" s="49">
        <v>45058.378472212557</v>
      </c>
      <c r="F2791" s="56">
        <v>0</v>
      </c>
      <c r="G2791" s="48"/>
      <c r="H2791" s="48"/>
      <c r="I2791" s="48"/>
      <c r="J2791" s="48"/>
      <c r="L2791" s="65"/>
    </row>
    <row r="2792" spans="5:12">
      <c r="E2792" s="49">
        <v>45058.381944434776</v>
      </c>
      <c r="F2792" s="56">
        <v>0</v>
      </c>
      <c r="G2792" s="48"/>
      <c r="H2792" s="48"/>
      <c r="I2792" s="48"/>
      <c r="J2792" s="48"/>
      <c r="L2792" s="65"/>
    </row>
    <row r="2793" spans="5:12">
      <c r="E2793" s="49">
        <v>45058.385416656994</v>
      </c>
      <c r="F2793" s="56">
        <v>0</v>
      </c>
      <c r="G2793" s="48"/>
      <c r="H2793" s="48"/>
      <c r="I2793" s="48"/>
      <c r="J2793" s="48"/>
      <c r="L2793" s="65"/>
    </row>
    <row r="2794" spans="5:12">
      <c r="E2794" s="49">
        <v>45058.388888879213</v>
      </c>
      <c r="F2794" s="56">
        <v>0</v>
      </c>
      <c r="G2794" s="48"/>
      <c r="H2794" s="48"/>
      <c r="I2794" s="48"/>
      <c r="J2794" s="48"/>
      <c r="L2794" s="65"/>
    </row>
    <row r="2795" spans="5:12">
      <c r="E2795" s="49">
        <v>45058.392361101432</v>
      </c>
      <c r="F2795" s="56">
        <v>0</v>
      </c>
      <c r="G2795" s="48"/>
      <c r="H2795" s="48"/>
      <c r="I2795" s="48"/>
      <c r="J2795" s="48"/>
      <c r="L2795" s="65"/>
    </row>
    <row r="2796" spans="5:12">
      <c r="E2796" s="49">
        <v>45058.395833323651</v>
      </c>
      <c r="F2796" s="56">
        <v>0</v>
      </c>
      <c r="G2796" s="48"/>
      <c r="H2796" s="48"/>
      <c r="I2796" s="48"/>
      <c r="J2796" s="48"/>
      <c r="L2796" s="65"/>
    </row>
    <row r="2797" spans="5:12">
      <c r="E2797" s="49">
        <v>45058.39930554587</v>
      </c>
      <c r="F2797" s="56">
        <v>0</v>
      </c>
      <c r="G2797" s="48"/>
      <c r="H2797" s="48"/>
      <c r="I2797" s="48"/>
      <c r="J2797" s="48"/>
      <c r="L2797" s="65"/>
    </row>
    <row r="2798" spans="5:12">
      <c r="E2798" s="49">
        <v>45058.402777768089</v>
      </c>
      <c r="F2798" s="56">
        <v>0</v>
      </c>
      <c r="G2798" s="48"/>
      <c r="H2798" s="48"/>
      <c r="I2798" s="48"/>
      <c r="J2798" s="48"/>
      <c r="L2798" s="65"/>
    </row>
    <row r="2799" spans="5:12">
      <c r="E2799" s="49">
        <v>45058.406249990308</v>
      </c>
      <c r="F2799" s="56">
        <v>0</v>
      </c>
      <c r="G2799" s="48"/>
      <c r="H2799" s="48"/>
      <c r="I2799" s="48"/>
      <c r="J2799" s="48"/>
      <c r="L2799" s="65"/>
    </row>
    <row r="2800" spans="5:12">
      <c r="E2800" s="49">
        <v>45058.409722212527</v>
      </c>
      <c r="F2800" s="56">
        <v>0</v>
      </c>
      <c r="G2800" s="48"/>
      <c r="H2800" s="48"/>
      <c r="I2800" s="48"/>
      <c r="J2800" s="48"/>
      <c r="L2800" s="65"/>
    </row>
    <row r="2801" spans="5:12">
      <c r="E2801" s="49">
        <v>45058.413194434746</v>
      </c>
      <c r="F2801" s="56">
        <v>0</v>
      </c>
      <c r="G2801" s="48"/>
      <c r="H2801" s="48"/>
      <c r="I2801" s="48"/>
      <c r="J2801" s="48"/>
      <c r="L2801" s="65"/>
    </row>
    <row r="2802" spans="5:12">
      <c r="E2802" s="49">
        <v>45058.416666656965</v>
      </c>
      <c r="F2802" s="56">
        <v>0</v>
      </c>
      <c r="G2802" s="48"/>
      <c r="H2802" s="48"/>
      <c r="I2802" s="48"/>
      <c r="J2802" s="48"/>
      <c r="L2802" s="65"/>
    </row>
    <row r="2803" spans="5:12">
      <c r="E2803" s="49">
        <v>45058.420138879184</v>
      </c>
      <c r="F2803" s="56">
        <v>0</v>
      </c>
      <c r="G2803" s="48"/>
      <c r="H2803" s="48"/>
      <c r="I2803" s="48"/>
      <c r="J2803" s="48"/>
      <c r="L2803" s="65"/>
    </row>
    <row r="2804" spans="5:12">
      <c r="E2804" s="49">
        <v>45058.423611101403</v>
      </c>
      <c r="F2804" s="56">
        <v>0</v>
      </c>
      <c r="G2804" s="48"/>
      <c r="H2804" s="48"/>
      <c r="I2804" s="48"/>
      <c r="J2804" s="48"/>
      <c r="L2804" s="65"/>
    </row>
    <row r="2805" spans="5:12">
      <c r="E2805" s="49">
        <v>45058.427083323622</v>
      </c>
      <c r="F2805" s="56">
        <v>0</v>
      </c>
      <c r="G2805" s="48"/>
      <c r="H2805" s="48"/>
      <c r="I2805" s="48"/>
      <c r="J2805" s="48"/>
      <c r="L2805" s="65"/>
    </row>
    <row r="2806" spans="5:12">
      <c r="E2806" s="49">
        <v>45058.430555545841</v>
      </c>
      <c r="F2806" s="56">
        <v>0</v>
      </c>
      <c r="G2806" s="48"/>
      <c r="H2806" s="48"/>
      <c r="I2806" s="48"/>
      <c r="J2806" s="48"/>
      <c r="L2806" s="65"/>
    </row>
    <row r="2807" spans="5:12">
      <c r="E2807" s="49">
        <v>45058.43402776806</v>
      </c>
      <c r="F2807" s="56">
        <v>0</v>
      </c>
      <c r="G2807" s="48"/>
      <c r="H2807" s="48"/>
      <c r="I2807" s="48"/>
      <c r="J2807" s="48"/>
      <c r="L2807" s="65"/>
    </row>
    <row r="2808" spans="5:12">
      <c r="E2808" s="49">
        <v>45058.437499990279</v>
      </c>
      <c r="F2808" s="56">
        <v>0</v>
      </c>
      <c r="G2808" s="48"/>
      <c r="H2808" s="48"/>
      <c r="I2808" s="48"/>
      <c r="J2808" s="48"/>
      <c r="L2808" s="65"/>
    </row>
    <row r="2809" spans="5:12">
      <c r="E2809" s="49">
        <v>45058.440972212498</v>
      </c>
      <c r="F2809" s="56">
        <v>0</v>
      </c>
      <c r="G2809" s="48"/>
      <c r="H2809" s="48"/>
      <c r="I2809" s="48"/>
      <c r="J2809" s="48"/>
      <c r="L2809" s="65"/>
    </row>
    <row r="2810" spans="5:12">
      <c r="E2810" s="49">
        <v>45058.444444434717</v>
      </c>
      <c r="F2810" s="56">
        <v>0</v>
      </c>
      <c r="G2810" s="48"/>
      <c r="H2810" s="48"/>
      <c r="I2810" s="48"/>
      <c r="J2810" s="48"/>
      <c r="L2810" s="65"/>
    </row>
    <row r="2811" spans="5:12">
      <c r="E2811" s="49">
        <v>45058.447916656936</v>
      </c>
      <c r="F2811" s="56">
        <v>0</v>
      </c>
      <c r="G2811" s="48"/>
      <c r="H2811" s="48"/>
      <c r="I2811" s="48"/>
      <c r="J2811" s="48"/>
      <c r="L2811" s="65"/>
    </row>
    <row r="2812" spans="5:12">
      <c r="E2812" s="49">
        <v>45058.451388879155</v>
      </c>
      <c r="F2812" s="56">
        <v>0</v>
      </c>
      <c r="G2812" s="48"/>
      <c r="H2812" s="48"/>
      <c r="I2812" s="48"/>
      <c r="J2812" s="48"/>
      <c r="L2812" s="65"/>
    </row>
    <row r="2813" spans="5:12">
      <c r="E2813" s="49">
        <v>45058.454861101374</v>
      </c>
      <c r="F2813" s="56">
        <v>0</v>
      </c>
      <c r="G2813" s="48"/>
      <c r="H2813" s="48"/>
      <c r="I2813" s="48"/>
      <c r="J2813" s="48"/>
      <c r="L2813" s="65"/>
    </row>
    <row r="2814" spans="5:12">
      <c r="E2814" s="49">
        <v>45058.458333323593</v>
      </c>
      <c r="F2814" s="56">
        <v>0</v>
      </c>
      <c r="G2814" s="48"/>
      <c r="H2814" s="48"/>
      <c r="I2814" s="48"/>
      <c r="J2814" s="48"/>
      <c r="L2814" s="65"/>
    </row>
    <row r="2815" spans="5:12">
      <c r="E2815" s="49">
        <v>45058.461805545812</v>
      </c>
      <c r="F2815" s="56">
        <v>0</v>
      </c>
      <c r="G2815" s="48"/>
      <c r="H2815" s="48"/>
      <c r="I2815" s="48"/>
      <c r="J2815" s="48"/>
      <c r="L2815" s="65"/>
    </row>
    <row r="2816" spans="5:12">
      <c r="E2816" s="49">
        <v>45058.465277768031</v>
      </c>
      <c r="F2816" s="56">
        <v>0</v>
      </c>
      <c r="G2816" s="48"/>
      <c r="H2816" s="48"/>
      <c r="I2816" s="48"/>
      <c r="J2816" s="48"/>
      <c r="L2816" s="65"/>
    </row>
    <row r="2817" spans="5:12">
      <c r="E2817" s="49">
        <v>45058.46874999025</v>
      </c>
      <c r="F2817" s="56">
        <v>0</v>
      </c>
      <c r="G2817" s="48"/>
      <c r="H2817" s="48"/>
      <c r="I2817" s="48"/>
      <c r="J2817" s="48"/>
      <c r="L2817" s="65"/>
    </row>
    <row r="2818" spans="5:12">
      <c r="E2818" s="49">
        <v>45058.472222212469</v>
      </c>
      <c r="F2818" s="56">
        <v>0</v>
      </c>
      <c r="G2818" s="48"/>
      <c r="H2818" s="48"/>
      <c r="I2818" s="48"/>
      <c r="J2818" s="48"/>
      <c r="L2818" s="65"/>
    </row>
    <row r="2819" spans="5:12">
      <c r="E2819" s="49">
        <v>45058.475694434688</v>
      </c>
      <c r="F2819" s="56">
        <v>0</v>
      </c>
      <c r="G2819" s="48"/>
      <c r="H2819" s="48"/>
      <c r="I2819" s="48"/>
      <c r="J2819" s="48"/>
      <c r="L2819" s="65"/>
    </row>
    <row r="2820" spans="5:12">
      <c r="E2820" s="49">
        <v>45058.479166656907</v>
      </c>
      <c r="F2820" s="56">
        <v>0</v>
      </c>
      <c r="G2820" s="48"/>
      <c r="H2820" s="48"/>
      <c r="I2820" s="48"/>
      <c r="J2820" s="48"/>
      <c r="L2820" s="65"/>
    </row>
    <row r="2821" spans="5:12">
      <c r="E2821" s="49">
        <v>45058.482638879126</v>
      </c>
      <c r="F2821" s="56">
        <v>0</v>
      </c>
      <c r="G2821" s="48"/>
      <c r="H2821" s="48"/>
      <c r="I2821" s="48"/>
      <c r="J2821" s="48"/>
      <c r="L2821" s="65"/>
    </row>
    <row r="2822" spans="5:12">
      <c r="E2822" s="49">
        <v>45058.486111101345</v>
      </c>
      <c r="F2822" s="56">
        <v>0</v>
      </c>
      <c r="G2822" s="48"/>
      <c r="H2822" s="48"/>
      <c r="I2822" s="48"/>
      <c r="J2822" s="48"/>
      <c r="L2822" s="65"/>
    </row>
    <row r="2823" spans="5:12">
      <c r="E2823" s="49">
        <v>45058.489583323564</v>
      </c>
      <c r="F2823" s="56">
        <v>0</v>
      </c>
      <c r="G2823" s="48"/>
      <c r="H2823" s="48"/>
      <c r="I2823" s="48"/>
      <c r="J2823" s="48"/>
      <c r="L2823" s="65"/>
    </row>
    <row r="2824" spans="5:12">
      <c r="E2824" s="49">
        <v>45058.493055545783</v>
      </c>
      <c r="F2824" s="56">
        <v>0</v>
      </c>
      <c r="G2824" s="48"/>
      <c r="H2824" s="48"/>
      <c r="I2824" s="48"/>
      <c r="J2824" s="48"/>
      <c r="L2824" s="65"/>
    </row>
    <row r="2825" spans="5:12">
      <c r="E2825" s="49">
        <v>45058.496527768002</v>
      </c>
      <c r="F2825" s="56">
        <v>0</v>
      </c>
      <c r="G2825" s="48"/>
      <c r="H2825" s="48"/>
      <c r="I2825" s="48"/>
      <c r="J2825" s="48"/>
      <c r="L2825" s="65"/>
    </row>
    <row r="2826" spans="5:12">
      <c r="E2826" s="49">
        <v>45058.499999990221</v>
      </c>
      <c r="F2826" s="56">
        <v>0</v>
      </c>
      <c r="G2826" s="48"/>
      <c r="H2826" s="48"/>
      <c r="I2826" s="48"/>
      <c r="J2826" s="48"/>
      <c r="L2826" s="65"/>
    </row>
    <row r="2827" spans="5:12">
      <c r="E2827" s="49">
        <v>45058.50347221244</v>
      </c>
      <c r="F2827" s="56">
        <v>0</v>
      </c>
      <c r="G2827" s="48"/>
      <c r="H2827" s="48"/>
      <c r="I2827" s="48"/>
      <c r="J2827" s="48"/>
      <c r="L2827" s="65"/>
    </row>
    <row r="2828" spans="5:12">
      <c r="E2828" s="49">
        <v>45058.506944434659</v>
      </c>
      <c r="F2828" s="56">
        <v>0</v>
      </c>
      <c r="G2828" s="48"/>
      <c r="H2828" s="48"/>
      <c r="I2828" s="48"/>
      <c r="J2828" s="48"/>
      <c r="L2828" s="65"/>
    </row>
    <row r="2829" spans="5:12">
      <c r="E2829" s="49">
        <v>45058.510416656878</v>
      </c>
      <c r="F2829" s="56">
        <v>0</v>
      </c>
      <c r="G2829" s="48"/>
      <c r="H2829" s="48"/>
      <c r="I2829" s="48"/>
      <c r="J2829" s="48"/>
      <c r="L2829" s="65"/>
    </row>
    <row r="2830" spans="5:12">
      <c r="E2830" s="49">
        <v>45058.513888879097</v>
      </c>
      <c r="F2830" s="56">
        <v>0</v>
      </c>
      <c r="G2830" s="48"/>
      <c r="H2830" s="48"/>
      <c r="I2830" s="48"/>
      <c r="J2830" s="48"/>
      <c r="L2830" s="65"/>
    </row>
    <row r="2831" spans="5:12">
      <c r="E2831" s="49">
        <v>45058.517361101316</v>
      </c>
      <c r="F2831" s="56">
        <v>0</v>
      </c>
      <c r="G2831" s="48"/>
      <c r="H2831" s="48"/>
      <c r="I2831" s="48"/>
      <c r="J2831" s="48"/>
      <c r="L2831" s="65"/>
    </row>
    <row r="2832" spans="5:12">
      <c r="E2832" s="49">
        <v>45058.520833323535</v>
      </c>
      <c r="F2832" s="56">
        <v>0</v>
      </c>
      <c r="G2832" s="48"/>
      <c r="H2832" s="48"/>
      <c r="I2832" s="48"/>
      <c r="J2832" s="48"/>
      <c r="L2832" s="65"/>
    </row>
    <row r="2833" spans="5:12">
      <c r="E2833" s="49">
        <v>45058.524305545754</v>
      </c>
      <c r="F2833" s="56">
        <v>0</v>
      </c>
      <c r="G2833" s="48"/>
      <c r="H2833" s="48"/>
      <c r="I2833" s="48"/>
      <c r="J2833" s="48"/>
      <c r="L2833" s="65"/>
    </row>
    <row r="2834" spans="5:12">
      <c r="E2834" s="49">
        <v>45058.527777767973</v>
      </c>
      <c r="F2834" s="56">
        <v>0</v>
      </c>
      <c r="G2834" s="48"/>
      <c r="H2834" s="48"/>
      <c r="I2834" s="48"/>
      <c r="J2834" s="48"/>
      <c r="L2834" s="65"/>
    </row>
    <row r="2835" spans="5:12">
      <c r="E2835" s="49">
        <v>45058.531249990192</v>
      </c>
      <c r="F2835" s="56">
        <v>0</v>
      </c>
      <c r="G2835" s="48"/>
      <c r="H2835" s="48"/>
      <c r="I2835" s="48"/>
      <c r="J2835" s="48"/>
      <c r="L2835" s="65"/>
    </row>
    <row r="2836" spans="5:12">
      <c r="E2836" s="49">
        <v>45058.534722212411</v>
      </c>
      <c r="F2836" s="56">
        <v>0</v>
      </c>
      <c r="G2836" s="48"/>
      <c r="H2836" s="48"/>
      <c r="I2836" s="48"/>
      <c r="J2836" s="48"/>
      <c r="L2836" s="65"/>
    </row>
    <row r="2837" spans="5:12">
      <c r="E2837" s="49">
        <v>45058.53819443463</v>
      </c>
      <c r="F2837" s="56">
        <v>0</v>
      </c>
      <c r="G2837" s="48"/>
      <c r="H2837" s="48"/>
      <c r="I2837" s="48"/>
      <c r="J2837" s="48"/>
      <c r="L2837" s="65"/>
    </row>
    <row r="2838" spans="5:12">
      <c r="E2838" s="49">
        <v>45058.541666656849</v>
      </c>
      <c r="F2838" s="56">
        <v>0</v>
      </c>
      <c r="G2838" s="48"/>
      <c r="H2838" s="48"/>
      <c r="I2838" s="48"/>
      <c r="J2838" s="48"/>
      <c r="L2838" s="65"/>
    </row>
    <row r="2839" spans="5:12">
      <c r="E2839" s="49">
        <v>45058.545138879068</v>
      </c>
      <c r="F2839" s="56">
        <v>0</v>
      </c>
      <c r="G2839" s="48"/>
      <c r="H2839" s="48"/>
      <c r="I2839" s="48"/>
      <c r="J2839" s="48"/>
      <c r="L2839" s="65"/>
    </row>
    <row r="2840" spans="5:12">
      <c r="E2840" s="49">
        <v>45058.548611101287</v>
      </c>
      <c r="F2840" s="56">
        <v>0</v>
      </c>
      <c r="G2840" s="48"/>
      <c r="H2840" s="48"/>
      <c r="I2840" s="48"/>
      <c r="J2840" s="48"/>
      <c r="L2840" s="65"/>
    </row>
    <row r="2841" spans="5:12">
      <c r="E2841" s="49">
        <v>45058.552083323506</v>
      </c>
      <c r="F2841" s="56">
        <v>0</v>
      </c>
      <c r="G2841" s="48"/>
      <c r="H2841" s="48"/>
      <c r="I2841" s="48"/>
      <c r="J2841" s="48"/>
      <c r="L2841" s="65"/>
    </row>
    <row r="2842" spans="5:12">
      <c r="E2842" s="49">
        <v>45058.555555545725</v>
      </c>
      <c r="F2842" s="56">
        <v>0</v>
      </c>
      <c r="G2842" s="48"/>
      <c r="H2842" s="48"/>
      <c r="I2842" s="48"/>
      <c r="J2842" s="48"/>
      <c r="L2842" s="65"/>
    </row>
    <row r="2843" spans="5:12">
      <c r="E2843" s="49">
        <v>45058.559027767944</v>
      </c>
      <c r="F2843" s="56">
        <v>0</v>
      </c>
      <c r="G2843" s="48"/>
      <c r="H2843" s="48"/>
      <c r="I2843" s="48"/>
      <c r="J2843" s="48"/>
      <c r="L2843" s="65"/>
    </row>
    <row r="2844" spans="5:12">
      <c r="E2844" s="49">
        <v>45058.562499990163</v>
      </c>
      <c r="F2844" s="56">
        <v>0</v>
      </c>
      <c r="G2844" s="48"/>
      <c r="H2844" s="48"/>
      <c r="I2844" s="48"/>
      <c r="J2844" s="48"/>
      <c r="L2844" s="65"/>
    </row>
    <row r="2845" spans="5:12">
      <c r="E2845" s="49">
        <v>45058.565972212382</v>
      </c>
      <c r="F2845" s="56">
        <v>0</v>
      </c>
      <c r="G2845" s="48"/>
      <c r="H2845" s="48"/>
      <c r="I2845" s="48"/>
      <c r="J2845" s="48"/>
      <c r="L2845" s="65"/>
    </row>
    <row r="2846" spans="5:12">
      <c r="E2846" s="49">
        <v>45058.569444434601</v>
      </c>
      <c r="F2846" s="56">
        <v>0</v>
      </c>
      <c r="G2846" s="48"/>
      <c r="H2846" s="48"/>
      <c r="I2846" s="48"/>
      <c r="J2846" s="48"/>
      <c r="L2846" s="65"/>
    </row>
    <row r="2847" spans="5:12">
      <c r="E2847" s="49">
        <v>45058.57291665682</v>
      </c>
      <c r="F2847" s="56">
        <v>0</v>
      </c>
      <c r="G2847" s="48"/>
      <c r="H2847" s="48"/>
      <c r="I2847" s="48"/>
      <c r="J2847" s="48"/>
      <c r="L2847" s="65"/>
    </row>
    <row r="2848" spans="5:12">
      <c r="E2848" s="49">
        <v>45058.576388879039</v>
      </c>
      <c r="F2848" s="56">
        <v>0</v>
      </c>
      <c r="G2848" s="48"/>
      <c r="H2848" s="48"/>
      <c r="I2848" s="48"/>
      <c r="J2848" s="48"/>
      <c r="L2848" s="65"/>
    </row>
    <row r="2849" spans="5:12">
      <c r="E2849" s="49">
        <v>45058.579861101258</v>
      </c>
      <c r="F2849" s="56">
        <v>0</v>
      </c>
      <c r="G2849" s="48"/>
      <c r="H2849" s="48"/>
      <c r="I2849" s="48"/>
      <c r="J2849" s="48"/>
      <c r="L2849" s="65"/>
    </row>
    <row r="2850" spans="5:12">
      <c r="E2850" s="49">
        <v>45058.583333323477</v>
      </c>
      <c r="F2850" s="56">
        <v>0</v>
      </c>
      <c r="G2850" s="48"/>
      <c r="H2850" s="48"/>
      <c r="I2850" s="48"/>
      <c r="J2850" s="48"/>
      <c r="L2850" s="65"/>
    </row>
    <row r="2851" spans="5:12">
      <c r="E2851" s="49">
        <v>45058.586805545696</v>
      </c>
      <c r="F2851" s="56">
        <v>0</v>
      </c>
      <c r="G2851" s="48"/>
      <c r="H2851" s="48"/>
      <c r="I2851" s="48"/>
      <c r="J2851" s="48"/>
      <c r="L2851" s="65"/>
    </row>
    <row r="2852" spans="5:12">
      <c r="E2852" s="49">
        <v>45058.590277767915</v>
      </c>
      <c r="F2852" s="56">
        <v>0</v>
      </c>
      <c r="G2852" s="48"/>
      <c r="H2852" s="48"/>
      <c r="I2852" s="48"/>
      <c r="J2852" s="48"/>
      <c r="L2852" s="65"/>
    </row>
    <row r="2853" spans="5:12">
      <c r="E2853" s="49">
        <v>45058.593749990134</v>
      </c>
      <c r="F2853" s="56">
        <v>0</v>
      </c>
      <c r="G2853" s="48"/>
      <c r="H2853" s="48"/>
      <c r="I2853" s="48"/>
      <c r="J2853" s="48"/>
      <c r="L2853" s="65"/>
    </row>
    <row r="2854" spans="5:12">
      <c r="E2854" s="49">
        <v>45058.597222212353</v>
      </c>
      <c r="F2854" s="56">
        <v>0</v>
      </c>
      <c r="G2854" s="48"/>
      <c r="H2854" s="48"/>
      <c r="I2854" s="48"/>
      <c r="J2854" s="48"/>
      <c r="L2854" s="65"/>
    </row>
    <row r="2855" spans="5:12">
      <c r="E2855" s="49">
        <v>45058.600694434572</v>
      </c>
      <c r="F2855" s="56">
        <v>0</v>
      </c>
      <c r="G2855" s="48"/>
      <c r="H2855" s="48"/>
      <c r="I2855" s="48"/>
      <c r="J2855" s="48"/>
      <c r="L2855" s="65"/>
    </row>
    <row r="2856" spans="5:12">
      <c r="E2856" s="49">
        <v>45058.604166656791</v>
      </c>
      <c r="F2856" s="56">
        <v>0</v>
      </c>
      <c r="G2856" s="48"/>
      <c r="H2856" s="48"/>
      <c r="I2856" s="48"/>
      <c r="J2856" s="48"/>
      <c r="L2856" s="65"/>
    </row>
    <row r="2857" spans="5:12">
      <c r="E2857" s="49">
        <v>45058.60763887901</v>
      </c>
      <c r="F2857" s="56">
        <v>0</v>
      </c>
      <c r="G2857" s="48"/>
      <c r="H2857" s="48"/>
      <c r="I2857" s="48"/>
      <c r="J2857" s="48"/>
      <c r="L2857" s="65"/>
    </row>
    <row r="2858" spans="5:12">
      <c r="E2858" s="49">
        <v>45058.611111101229</v>
      </c>
      <c r="F2858" s="56">
        <v>0</v>
      </c>
      <c r="G2858" s="48"/>
      <c r="H2858" s="48"/>
      <c r="I2858" s="48"/>
      <c r="J2858" s="48"/>
      <c r="L2858" s="65"/>
    </row>
    <row r="2859" spans="5:12">
      <c r="E2859" s="49">
        <v>45058.614583323448</v>
      </c>
      <c r="F2859" s="56">
        <v>0</v>
      </c>
      <c r="G2859" s="48"/>
      <c r="H2859" s="48"/>
      <c r="I2859" s="48"/>
      <c r="J2859" s="48"/>
      <c r="L2859" s="65"/>
    </row>
    <row r="2860" spans="5:12">
      <c r="E2860" s="49">
        <v>45058.618055545667</v>
      </c>
      <c r="F2860" s="56">
        <v>0</v>
      </c>
      <c r="G2860" s="48"/>
      <c r="H2860" s="48"/>
      <c r="I2860" s="48"/>
      <c r="J2860" s="48"/>
      <c r="L2860" s="65"/>
    </row>
    <row r="2861" spans="5:12">
      <c r="E2861" s="49">
        <v>45058.621527767886</v>
      </c>
      <c r="F2861" s="56">
        <v>0</v>
      </c>
      <c r="G2861" s="48"/>
      <c r="H2861" s="48"/>
      <c r="I2861" s="48"/>
      <c r="J2861" s="48"/>
      <c r="L2861" s="65"/>
    </row>
    <row r="2862" spans="5:12">
      <c r="E2862" s="49">
        <v>45058.624999990105</v>
      </c>
      <c r="F2862" s="56">
        <v>0</v>
      </c>
      <c r="G2862" s="48"/>
      <c r="H2862" s="48"/>
      <c r="I2862" s="48"/>
      <c r="J2862" s="48"/>
      <c r="L2862" s="65"/>
    </row>
    <row r="2863" spans="5:12">
      <c r="E2863" s="49">
        <v>45058.628472212324</v>
      </c>
      <c r="F2863" s="56">
        <v>0</v>
      </c>
      <c r="G2863" s="48"/>
      <c r="H2863" s="48"/>
      <c r="I2863" s="48"/>
      <c r="J2863" s="48"/>
      <c r="L2863" s="65"/>
    </row>
    <row r="2864" spans="5:12">
      <c r="E2864" s="49">
        <v>45058.631944434543</v>
      </c>
      <c r="F2864" s="56">
        <v>0</v>
      </c>
      <c r="G2864" s="48"/>
      <c r="H2864" s="48"/>
      <c r="I2864" s="48"/>
      <c r="J2864" s="48"/>
      <c r="L2864" s="65"/>
    </row>
    <row r="2865" spans="5:12">
      <c r="E2865" s="49">
        <v>45058.635416656762</v>
      </c>
      <c r="F2865" s="56">
        <v>0</v>
      </c>
      <c r="G2865" s="48"/>
      <c r="H2865" s="48"/>
      <c r="I2865" s="48"/>
      <c r="J2865" s="48"/>
      <c r="L2865" s="65"/>
    </row>
    <row r="2866" spans="5:12">
      <c r="E2866" s="49">
        <v>45058.638888878981</v>
      </c>
      <c r="F2866" s="56">
        <v>0</v>
      </c>
      <c r="G2866" s="48"/>
      <c r="H2866" s="48"/>
      <c r="I2866" s="48"/>
      <c r="J2866" s="48"/>
      <c r="L2866" s="65"/>
    </row>
    <row r="2867" spans="5:12">
      <c r="E2867" s="49">
        <v>45058.6423611012</v>
      </c>
      <c r="F2867" s="56">
        <v>0</v>
      </c>
      <c r="G2867" s="48"/>
      <c r="H2867" s="48"/>
      <c r="I2867" s="48"/>
      <c r="J2867" s="48"/>
      <c r="L2867" s="65"/>
    </row>
    <row r="2868" spans="5:12">
      <c r="E2868" s="49">
        <v>45058.645833323419</v>
      </c>
      <c r="F2868" s="56">
        <v>0</v>
      </c>
      <c r="G2868" s="48"/>
      <c r="H2868" s="48"/>
      <c r="I2868" s="48"/>
      <c r="J2868" s="48"/>
      <c r="L2868" s="65"/>
    </row>
    <row r="2869" spans="5:12">
      <c r="E2869" s="49">
        <v>45058.649305545638</v>
      </c>
      <c r="F2869" s="56">
        <v>0</v>
      </c>
      <c r="G2869" s="48"/>
      <c r="H2869" s="48"/>
      <c r="I2869" s="48"/>
      <c r="J2869" s="48"/>
      <c r="L2869" s="65"/>
    </row>
    <row r="2870" spans="5:12">
      <c r="E2870" s="49">
        <v>45058.652777767857</v>
      </c>
      <c r="F2870" s="56">
        <v>0</v>
      </c>
      <c r="G2870" s="48"/>
      <c r="H2870" s="48"/>
      <c r="I2870" s="48"/>
      <c r="J2870" s="48"/>
      <c r="L2870" s="65"/>
    </row>
    <row r="2871" spans="5:12">
      <c r="E2871" s="49">
        <v>45058.656249990076</v>
      </c>
      <c r="F2871" s="56">
        <v>0</v>
      </c>
      <c r="G2871" s="48"/>
      <c r="H2871" s="48"/>
      <c r="I2871" s="48"/>
      <c r="J2871" s="48"/>
      <c r="L2871" s="65"/>
    </row>
    <row r="2872" spans="5:12">
      <c r="E2872" s="49">
        <v>45058.659722212295</v>
      </c>
      <c r="F2872" s="56">
        <v>0</v>
      </c>
      <c r="G2872" s="48"/>
      <c r="H2872" s="48"/>
      <c r="I2872" s="48"/>
      <c r="J2872" s="48"/>
      <c r="L2872" s="65"/>
    </row>
    <row r="2873" spans="5:12">
      <c r="E2873" s="49">
        <v>45058.663194434514</v>
      </c>
      <c r="F2873" s="56">
        <v>0</v>
      </c>
      <c r="G2873" s="48"/>
      <c r="H2873" s="48"/>
      <c r="I2873" s="48"/>
      <c r="J2873" s="48"/>
      <c r="L2873" s="65"/>
    </row>
    <row r="2874" spans="5:12">
      <c r="E2874" s="49">
        <v>45058.666666656733</v>
      </c>
      <c r="F2874" s="56">
        <v>0</v>
      </c>
      <c r="G2874" s="48"/>
      <c r="H2874" s="48"/>
      <c r="I2874" s="48"/>
      <c r="J2874" s="48"/>
      <c r="L2874" s="65"/>
    </row>
    <row r="2875" spans="5:12">
      <c r="E2875" s="49">
        <v>45058.670138878952</v>
      </c>
      <c r="F2875" s="56">
        <v>0</v>
      </c>
      <c r="G2875" s="48"/>
      <c r="H2875" s="48"/>
      <c r="I2875" s="48"/>
      <c r="J2875" s="48"/>
      <c r="L2875" s="65"/>
    </row>
    <row r="2876" spans="5:12">
      <c r="E2876" s="49">
        <v>45058.673611101171</v>
      </c>
      <c r="F2876" s="56">
        <v>0</v>
      </c>
      <c r="G2876" s="48"/>
      <c r="H2876" s="48"/>
      <c r="I2876" s="48"/>
      <c r="J2876" s="48"/>
      <c r="L2876" s="65"/>
    </row>
    <row r="2877" spans="5:12">
      <c r="E2877" s="49">
        <v>45058.67708332339</v>
      </c>
      <c r="F2877" s="56">
        <v>0</v>
      </c>
      <c r="G2877" s="48"/>
      <c r="H2877" s="48"/>
      <c r="I2877" s="48"/>
      <c r="J2877" s="48"/>
      <c r="L2877" s="65"/>
    </row>
    <row r="2878" spans="5:12">
      <c r="E2878" s="49">
        <v>45058.680555545609</v>
      </c>
      <c r="F2878" s="56">
        <v>0</v>
      </c>
      <c r="G2878" s="48"/>
      <c r="H2878" s="48"/>
      <c r="I2878" s="48"/>
      <c r="J2878" s="48"/>
      <c r="L2878" s="65"/>
    </row>
    <row r="2879" spans="5:12">
      <c r="E2879" s="49">
        <v>45058.684027767828</v>
      </c>
      <c r="F2879" s="56">
        <v>0</v>
      </c>
      <c r="G2879" s="48"/>
      <c r="H2879" s="48"/>
      <c r="I2879" s="48"/>
      <c r="J2879" s="48"/>
      <c r="L2879" s="65"/>
    </row>
    <row r="2880" spans="5:12">
      <c r="E2880" s="49">
        <v>45058.687499990046</v>
      </c>
      <c r="F2880" s="56">
        <v>0</v>
      </c>
      <c r="G2880" s="48"/>
      <c r="H2880" s="48"/>
      <c r="I2880" s="48"/>
      <c r="J2880" s="48"/>
      <c r="L2880" s="65"/>
    </row>
    <row r="2881" spans="5:12">
      <c r="E2881" s="49">
        <v>45058.690972212265</v>
      </c>
      <c r="F2881" s="56">
        <v>0</v>
      </c>
      <c r="G2881" s="48"/>
      <c r="H2881" s="48"/>
      <c r="I2881" s="48"/>
      <c r="J2881" s="48"/>
      <c r="L2881" s="65"/>
    </row>
    <row r="2882" spans="5:12">
      <c r="E2882" s="49">
        <v>45058.694444434484</v>
      </c>
      <c r="F2882" s="56">
        <v>0</v>
      </c>
      <c r="G2882" s="48"/>
      <c r="H2882" s="48"/>
      <c r="I2882" s="48"/>
      <c r="J2882" s="48"/>
      <c r="L2882" s="65"/>
    </row>
    <row r="2883" spans="5:12">
      <c r="E2883" s="49">
        <v>45058.697916656703</v>
      </c>
      <c r="F2883" s="56">
        <v>0</v>
      </c>
      <c r="G2883" s="48"/>
      <c r="H2883" s="48"/>
      <c r="I2883" s="48"/>
      <c r="J2883" s="48"/>
      <c r="L2883" s="65"/>
    </row>
    <row r="2884" spans="5:12">
      <c r="E2884" s="49">
        <v>45058.701388878922</v>
      </c>
      <c r="F2884" s="56">
        <v>0</v>
      </c>
      <c r="G2884" s="48"/>
      <c r="H2884" s="48"/>
      <c r="I2884" s="48"/>
      <c r="J2884" s="48"/>
      <c r="L2884" s="65"/>
    </row>
    <row r="2885" spans="5:12">
      <c r="E2885" s="49">
        <v>45058.704861101141</v>
      </c>
      <c r="F2885" s="56">
        <v>0</v>
      </c>
      <c r="G2885" s="48"/>
      <c r="H2885" s="48"/>
      <c r="I2885" s="48"/>
      <c r="J2885" s="48"/>
      <c r="L2885" s="65"/>
    </row>
    <row r="2886" spans="5:12">
      <c r="E2886" s="49">
        <v>45058.70833332336</v>
      </c>
      <c r="F2886" s="56">
        <v>4.0205627641951933</v>
      </c>
      <c r="G2886" s="48"/>
      <c r="H2886" s="48"/>
      <c r="I2886" s="48"/>
      <c r="J2886" s="48"/>
      <c r="L2886" s="65"/>
    </row>
    <row r="2887" spans="5:12">
      <c r="E2887" s="49">
        <v>45058.711805545579</v>
      </c>
      <c r="F2887" s="56">
        <v>4.0205627641951933</v>
      </c>
      <c r="G2887" s="48"/>
      <c r="H2887" s="48"/>
      <c r="I2887" s="48"/>
      <c r="J2887" s="48"/>
      <c r="L2887" s="65"/>
    </row>
    <row r="2888" spans="5:12">
      <c r="E2888" s="49">
        <v>45058.715277767798</v>
      </c>
      <c r="F2888" s="56">
        <v>4.0205627641951933</v>
      </c>
      <c r="G2888" s="48"/>
      <c r="H2888" s="48"/>
      <c r="I2888" s="48"/>
      <c r="J2888" s="48"/>
      <c r="L2888" s="65"/>
    </row>
    <row r="2889" spans="5:12">
      <c r="E2889" s="49">
        <v>45058.718749990017</v>
      </c>
      <c r="F2889" s="56">
        <v>4.0205627641951933</v>
      </c>
      <c r="G2889" s="48"/>
      <c r="H2889" s="48"/>
      <c r="I2889" s="48"/>
      <c r="J2889" s="48"/>
      <c r="L2889" s="65"/>
    </row>
    <row r="2890" spans="5:12">
      <c r="E2890" s="49">
        <v>45058.722222212236</v>
      </c>
      <c r="F2890" s="56">
        <v>4.0205627641951933</v>
      </c>
      <c r="G2890" s="48"/>
      <c r="H2890" s="48"/>
      <c r="I2890" s="48"/>
      <c r="J2890" s="48"/>
      <c r="L2890" s="65"/>
    </row>
    <row r="2891" spans="5:12">
      <c r="E2891" s="49">
        <v>45058.725694434455</v>
      </c>
      <c r="F2891" s="56">
        <v>4.0205627641951933</v>
      </c>
      <c r="G2891" s="48"/>
      <c r="H2891" s="48"/>
      <c r="I2891" s="48"/>
      <c r="J2891" s="48"/>
      <c r="L2891" s="65"/>
    </row>
    <row r="2892" spans="5:12">
      <c r="E2892" s="49">
        <v>45058.729166656674</v>
      </c>
      <c r="F2892" s="56">
        <v>4.0205627641951933</v>
      </c>
      <c r="G2892" s="48"/>
      <c r="H2892" s="48"/>
      <c r="I2892" s="48"/>
      <c r="J2892" s="48"/>
      <c r="L2892" s="65"/>
    </row>
    <row r="2893" spans="5:12">
      <c r="E2893" s="49">
        <v>45058.732638878893</v>
      </c>
      <c r="F2893" s="56">
        <v>4.0205627641951933</v>
      </c>
      <c r="G2893" s="48"/>
      <c r="H2893" s="48"/>
      <c r="I2893" s="48"/>
      <c r="J2893" s="48"/>
      <c r="L2893" s="65"/>
    </row>
    <row r="2894" spans="5:12">
      <c r="E2894" s="49">
        <v>45058.736111101112</v>
      </c>
      <c r="F2894" s="56">
        <v>4.0205627641951933</v>
      </c>
      <c r="G2894" s="48"/>
      <c r="H2894" s="48"/>
      <c r="I2894" s="48"/>
      <c r="J2894" s="48"/>
      <c r="L2894" s="65"/>
    </row>
    <row r="2895" spans="5:12">
      <c r="E2895" s="49">
        <v>45058.739583323331</v>
      </c>
      <c r="F2895" s="56">
        <v>4.0205627641951933</v>
      </c>
      <c r="G2895" s="48"/>
      <c r="H2895" s="48"/>
      <c r="I2895" s="48"/>
      <c r="J2895" s="48"/>
      <c r="L2895" s="65"/>
    </row>
    <row r="2896" spans="5:12">
      <c r="E2896" s="49">
        <v>45058.74305554555</v>
      </c>
      <c r="F2896" s="56">
        <v>4.0205627641951933</v>
      </c>
      <c r="G2896" s="48"/>
      <c r="H2896" s="48"/>
      <c r="I2896" s="48"/>
      <c r="J2896" s="48"/>
      <c r="L2896" s="65"/>
    </row>
    <row r="2897" spans="5:12">
      <c r="E2897" s="49">
        <v>45058.746527767769</v>
      </c>
      <c r="F2897" s="56">
        <v>4.0205627641951933</v>
      </c>
      <c r="G2897" s="48"/>
      <c r="H2897" s="48"/>
      <c r="I2897" s="48"/>
      <c r="J2897" s="48"/>
      <c r="L2897" s="65"/>
    </row>
    <row r="2898" spans="5:12">
      <c r="E2898" s="49">
        <v>45058.749999989988</v>
      </c>
      <c r="F2898" s="56">
        <v>4.0205627641951933</v>
      </c>
      <c r="G2898" s="48"/>
      <c r="H2898" s="48"/>
      <c r="I2898" s="48"/>
      <c r="J2898" s="48"/>
      <c r="L2898" s="65"/>
    </row>
    <row r="2899" spans="5:12">
      <c r="E2899" s="49">
        <v>45058.753472212207</v>
      </c>
      <c r="F2899" s="56">
        <v>4.0205627641951933</v>
      </c>
      <c r="G2899" s="48"/>
      <c r="H2899" s="48"/>
      <c r="I2899" s="48"/>
      <c r="J2899" s="48"/>
      <c r="L2899" s="65"/>
    </row>
    <row r="2900" spans="5:12">
      <c r="E2900" s="49">
        <v>45058.756944434426</v>
      </c>
      <c r="F2900" s="56">
        <v>4.0205627641951933</v>
      </c>
      <c r="G2900" s="48"/>
      <c r="H2900" s="48"/>
      <c r="I2900" s="48"/>
      <c r="J2900" s="48"/>
      <c r="L2900" s="65"/>
    </row>
    <row r="2901" spans="5:12">
      <c r="E2901" s="49">
        <v>45058.760416656645</v>
      </c>
      <c r="F2901" s="56">
        <v>4.0205627641951933</v>
      </c>
      <c r="G2901" s="48"/>
      <c r="H2901" s="48"/>
      <c r="I2901" s="48"/>
      <c r="J2901" s="48"/>
      <c r="L2901" s="65"/>
    </row>
    <row r="2902" spans="5:12">
      <c r="E2902" s="49">
        <v>45058.763888878864</v>
      </c>
      <c r="F2902" s="56">
        <v>4.0205627641951933</v>
      </c>
      <c r="G2902" s="48"/>
      <c r="H2902" s="48"/>
      <c r="I2902" s="48"/>
      <c r="J2902" s="48"/>
      <c r="L2902" s="65"/>
    </row>
    <row r="2903" spans="5:12">
      <c r="E2903" s="49">
        <v>45058.767361101083</v>
      </c>
      <c r="F2903" s="56">
        <v>4.0205627641951933</v>
      </c>
      <c r="G2903" s="48"/>
      <c r="H2903" s="48"/>
      <c r="I2903" s="48"/>
      <c r="J2903" s="48"/>
      <c r="L2903" s="65"/>
    </row>
    <row r="2904" spans="5:12">
      <c r="E2904" s="49">
        <v>45058.770833323302</v>
      </c>
      <c r="F2904" s="56">
        <v>4.0205627641951933</v>
      </c>
      <c r="G2904" s="48"/>
      <c r="H2904" s="48"/>
      <c r="I2904" s="48"/>
      <c r="J2904" s="48"/>
      <c r="L2904" s="65"/>
    </row>
    <row r="2905" spans="5:12">
      <c r="E2905" s="49">
        <v>45058.774305545521</v>
      </c>
      <c r="F2905" s="56">
        <v>4.0205627641951933</v>
      </c>
      <c r="G2905" s="48"/>
      <c r="H2905" s="48"/>
      <c r="I2905" s="48"/>
      <c r="J2905" s="48"/>
      <c r="L2905" s="65"/>
    </row>
    <row r="2906" spans="5:12">
      <c r="E2906" s="49">
        <v>45058.77777776774</v>
      </c>
      <c r="F2906" s="56">
        <v>4.0205627641951933</v>
      </c>
      <c r="G2906" s="48"/>
      <c r="H2906" s="48"/>
      <c r="I2906" s="48"/>
      <c r="J2906" s="48"/>
      <c r="L2906" s="65"/>
    </row>
    <row r="2907" spans="5:12">
      <c r="E2907" s="49">
        <v>45058.781249989959</v>
      </c>
      <c r="F2907" s="56">
        <v>4.0205627641951933</v>
      </c>
      <c r="G2907" s="48"/>
      <c r="H2907" s="48"/>
      <c r="I2907" s="48"/>
      <c r="J2907" s="48"/>
      <c r="L2907" s="65"/>
    </row>
    <row r="2908" spans="5:12">
      <c r="E2908" s="49">
        <v>45058.784722212178</v>
      </c>
      <c r="F2908" s="56">
        <v>4.0205627641951933</v>
      </c>
      <c r="G2908" s="48"/>
      <c r="H2908" s="48"/>
      <c r="I2908" s="48"/>
      <c r="J2908" s="48"/>
      <c r="L2908" s="65"/>
    </row>
    <row r="2909" spans="5:12">
      <c r="E2909" s="49">
        <v>45058.788194434397</v>
      </c>
      <c r="F2909" s="56">
        <v>4.0205627641951933</v>
      </c>
      <c r="G2909" s="48"/>
      <c r="H2909" s="48"/>
      <c r="I2909" s="48"/>
      <c r="J2909" s="48"/>
      <c r="L2909" s="65"/>
    </row>
    <row r="2910" spans="5:12">
      <c r="E2910" s="49">
        <v>45058.791666656616</v>
      </c>
      <c r="F2910" s="56">
        <v>4.0205627641951933</v>
      </c>
      <c r="G2910" s="48"/>
      <c r="H2910" s="48"/>
      <c r="I2910" s="48"/>
      <c r="J2910" s="48"/>
      <c r="L2910" s="65"/>
    </row>
    <row r="2911" spans="5:12">
      <c r="E2911" s="49">
        <v>45058.795138878835</v>
      </c>
      <c r="F2911" s="56">
        <v>4.0205627641951933</v>
      </c>
      <c r="G2911" s="48"/>
      <c r="H2911" s="48"/>
      <c r="I2911" s="48"/>
      <c r="J2911" s="48"/>
      <c r="L2911" s="65"/>
    </row>
    <row r="2912" spans="5:12">
      <c r="E2912" s="49">
        <v>45058.798611101054</v>
      </c>
      <c r="F2912" s="56">
        <v>4.0205627641951933</v>
      </c>
      <c r="G2912" s="48"/>
      <c r="H2912" s="48"/>
      <c r="I2912" s="48"/>
      <c r="J2912" s="48"/>
      <c r="L2912" s="65"/>
    </row>
    <row r="2913" spans="5:12">
      <c r="E2913" s="49">
        <v>45058.802083323273</v>
      </c>
      <c r="F2913" s="56">
        <v>4.0205627641951933</v>
      </c>
      <c r="G2913" s="48"/>
      <c r="H2913" s="48"/>
      <c r="I2913" s="48"/>
      <c r="J2913" s="48"/>
      <c r="L2913" s="65"/>
    </row>
    <row r="2914" spans="5:12">
      <c r="E2914" s="49">
        <v>45058.805555545492</v>
      </c>
      <c r="F2914" s="56">
        <v>4.0205627641951933</v>
      </c>
      <c r="G2914" s="48"/>
      <c r="H2914" s="48"/>
      <c r="I2914" s="48"/>
      <c r="J2914" s="48"/>
      <c r="L2914" s="65"/>
    </row>
    <row r="2915" spans="5:12">
      <c r="E2915" s="49">
        <v>45058.809027767711</v>
      </c>
      <c r="F2915" s="56">
        <v>4.0205627641951933</v>
      </c>
      <c r="G2915" s="48"/>
      <c r="H2915" s="48"/>
      <c r="I2915" s="48"/>
      <c r="J2915" s="48"/>
      <c r="L2915" s="65"/>
    </row>
    <row r="2916" spans="5:12">
      <c r="E2916" s="49">
        <v>45058.81249998993</v>
      </c>
      <c r="F2916" s="56">
        <v>4.0205627641951933</v>
      </c>
      <c r="G2916" s="48"/>
      <c r="H2916" s="48"/>
      <c r="I2916" s="48"/>
      <c r="J2916" s="48"/>
      <c r="L2916" s="65"/>
    </row>
    <row r="2917" spans="5:12">
      <c r="E2917" s="49">
        <v>45058.815972212149</v>
      </c>
      <c r="F2917" s="56">
        <v>4.0205627641951933</v>
      </c>
      <c r="G2917" s="48"/>
      <c r="H2917" s="48"/>
      <c r="I2917" s="48"/>
      <c r="J2917" s="48"/>
      <c r="L2917" s="65"/>
    </row>
    <row r="2918" spans="5:12">
      <c r="E2918" s="49">
        <v>45058.819444434368</v>
      </c>
      <c r="F2918" s="56">
        <v>4.0205627641951933</v>
      </c>
      <c r="G2918" s="48"/>
      <c r="H2918" s="48"/>
      <c r="I2918" s="48"/>
      <c r="J2918" s="48"/>
      <c r="L2918" s="65"/>
    </row>
    <row r="2919" spans="5:12">
      <c r="E2919" s="49">
        <v>45058.822916656587</v>
      </c>
      <c r="F2919" s="56">
        <v>4.0205627641951933</v>
      </c>
      <c r="G2919" s="48"/>
      <c r="H2919" s="48"/>
      <c r="I2919" s="48"/>
      <c r="J2919" s="48"/>
      <c r="L2919" s="65"/>
    </row>
    <row r="2920" spans="5:12">
      <c r="E2920" s="49">
        <v>45058.826388878806</v>
      </c>
      <c r="F2920" s="56">
        <v>4.0205627641951933</v>
      </c>
      <c r="G2920" s="48"/>
      <c r="H2920" s="48"/>
      <c r="I2920" s="48"/>
      <c r="J2920" s="48"/>
      <c r="L2920" s="65"/>
    </row>
    <row r="2921" spans="5:12">
      <c r="E2921" s="49">
        <v>45058.829861101025</v>
      </c>
      <c r="F2921" s="56">
        <v>4.0205627641951933</v>
      </c>
      <c r="G2921" s="48"/>
      <c r="H2921" s="48"/>
      <c r="I2921" s="48"/>
      <c r="J2921" s="48"/>
      <c r="L2921" s="65"/>
    </row>
    <row r="2922" spans="5:12">
      <c r="E2922" s="49">
        <v>45058.833333323244</v>
      </c>
      <c r="F2922" s="56">
        <v>4.0205627641951933</v>
      </c>
      <c r="G2922" s="48"/>
      <c r="H2922" s="48"/>
      <c r="I2922" s="48"/>
      <c r="J2922" s="48"/>
      <c r="L2922" s="65"/>
    </row>
    <row r="2923" spans="5:12">
      <c r="E2923" s="49">
        <v>45058.836805545463</v>
      </c>
      <c r="F2923" s="56">
        <v>4.0205627641951933</v>
      </c>
      <c r="G2923" s="48"/>
      <c r="H2923" s="48"/>
      <c r="I2923" s="48"/>
      <c r="J2923" s="48"/>
      <c r="L2923" s="65"/>
    </row>
    <row r="2924" spans="5:12">
      <c r="E2924" s="49">
        <v>45058.840277767682</v>
      </c>
      <c r="F2924" s="56">
        <v>4.0205627641951933</v>
      </c>
      <c r="G2924" s="48"/>
      <c r="H2924" s="48"/>
      <c r="I2924" s="48"/>
      <c r="J2924" s="48"/>
      <c r="L2924" s="65"/>
    </row>
    <row r="2925" spans="5:12">
      <c r="E2925" s="49">
        <v>45058.843749989901</v>
      </c>
      <c r="F2925" s="56">
        <v>4.0205627641951933</v>
      </c>
      <c r="G2925" s="48"/>
      <c r="H2925" s="48"/>
      <c r="I2925" s="48"/>
      <c r="J2925" s="48"/>
      <c r="L2925" s="65"/>
    </row>
    <row r="2926" spans="5:12">
      <c r="E2926" s="49">
        <v>45058.84722221212</v>
      </c>
      <c r="F2926" s="56">
        <v>4.0205627641951933</v>
      </c>
      <c r="G2926" s="48"/>
      <c r="H2926" s="48"/>
      <c r="I2926" s="48"/>
      <c r="J2926" s="48"/>
      <c r="L2926" s="65"/>
    </row>
    <row r="2927" spans="5:12">
      <c r="E2927" s="49">
        <v>45058.850694434339</v>
      </c>
      <c r="F2927" s="56">
        <v>4.0205627641951933</v>
      </c>
      <c r="G2927" s="48"/>
      <c r="H2927" s="48"/>
      <c r="I2927" s="48"/>
      <c r="J2927" s="48"/>
      <c r="L2927" s="65"/>
    </row>
    <row r="2928" spans="5:12">
      <c r="E2928" s="49">
        <v>45058.854166656558</v>
      </c>
      <c r="F2928" s="56">
        <v>4.0205627641951933</v>
      </c>
      <c r="G2928" s="48"/>
      <c r="H2928" s="48"/>
      <c r="I2928" s="48"/>
      <c r="J2928" s="48"/>
      <c r="L2928" s="65"/>
    </row>
    <row r="2929" spans="5:12">
      <c r="E2929" s="49">
        <v>45058.857638878777</v>
      </c>
      <c r="F2929" s="56">
        <v>4.0205627641951933</v>
      </c>
      <c r="G2929" s="48"/>
      <c r="H2929" s="48"/>
      <c r="I2929" s="48"/>
      <c r="J2929" s="48"/>
      <c r="L2929" s="65"/>
    </row>
    <row r="2930" spans="5:12">
      <c r="E2930" s="49">
        <v>45058.861111100996</v>
      </c>
      <c r="F2930" s="56">
        <v>4.0205627641951933</v>
      </c>
      <c r="G2930" s="48"/>
      <c r="H2930" s="48"/>
      <c r="I2930" s="48"/>
      <c r="J2930" s="48"/>
      <c r="L2930" s="65"/>
    </row>
    <row r="2931" spans="5:12">
      <c r="E2931" s="49">
        <v>45058.864583323215</v>
      </c>
      <c r="F2931" s="56">
        <v>4.0205627641951933</v>
      </c>
      <c r="G2931" s="48"/>
      <c r="H2931" s="48"/>
      <c r="I2931" s="48"/>
      <c r="J2931" s="48"/>
      <c r="L2931" s="65"/>
    </row>
    <row r="2932" spans="5:12">
      <c r="E2932" s="49">
        <v>45058.868055545434</v>
      </c>
      <c r="F2932" s="56">
        <v>4.0205627641951933</v>
      </c>
      <c r="G2932" s="48"/>
      <c r="H2932" s="48"/>
      <c r="I2932" s="48"/>
      <c r="J2932" s="48"/>
      <c r="L2932" s="65"/>
    </row>
    <row r="2933" spans="5:12">
      <c r="E2933" s="49">
        <v>45058.871527767653</v>
      </c>
      <c r="F2933" s="56">
        <v>4.0205627641951933</v>
      </c>
      <c r="G2933" s="48"/>
      <c r="H2933" s="48"/>
      <c r="I2933" s="48"/>
      <c r="J2933" s="48"/>
      <c r="L2933" s="65"/>
    </row>
    <row r="2934" spans="5:12">
      <c r="E2934" s="49">
        <v>45058.874999989872</v>
      </c>
      <c r="F2934" s="56">
        <v>4.0205627641951933</v>
      </c>
      <c r="G2934" s="48"/>
      <c r="H2934" s="48"/>
      <c r="I2934" s="48"/>
      <c r="J2934" s="48"/>
      <c r="L2934" s="65"/>
    </row>
    <row r="2935" spans="5:12">
      <c r="E2935" s="49">
        <v>45058.878472212091</v>
      </c>
      <c r="F2935" s="56">
        <v>4.0205627641951933</v>
      </c>
      <c r="G2935" s="48"/>
      <c r="H2935" s="48"/>
      <c r="I2935" s="48"/>
      <c r="J2935" s="48"/>
      <c r="L2935" s="65"/>
    </row>
    <row r="2936" spans="5:12">
      <c r="E2936" s="49">
        <v>45058.88194443431</v>
      </c>
      <c r="F2936" s="56">
        <v>4.0205627641951933</v>
      </c>
      <c r="G2936" s="48"/>
      <c r="H2936" s="48"/>
      <c r="I2936" s="48"/>
      <c r="J2936" s="48"/>
      <c r="L2936" s="65"/>
    </row>
    <row r="2937" spans="5:12">
      <c r="E2937" s="49">
        <v>45058.885416656529</v>
      </c>
      <c r="F2937" s="56">
        <v>4.0205627641951933</v>
      </c>
      <c r="G2937" s="48"/>
      <c r="H2937" s="48"/>
      <c r="I2937" s="48"/>
      <c r="J2937" s="48"/>
      <c r="L2937" s="65"/>
    </row>
    <row r="2938" spans="5:12">
      <c r="E2938" s="49">
        <v>45058.888888878748</v>
      </c>
      <c r="F2938" s="56">
        <v>4.0205627641951933</v>
      </c>
      <c r="G2938" s="48"/>
      <c r="H2938" s="48"/>
      <c r="I2938" s="48"/>
      <c r="J2938" s="48"/>
      <c r="L2938" s="65"/>
    </row>
    <row r="2939" spans="5:12">
      <c r="E2939" s="49">
        <v>45058.892361100967</v>
      </c>
      <c r="F2939" s="56">
        <v>4.0205627641951933</v>
      </c>
      <c r="G2939" s="48"/>
      <c r="H2939" s="48"/>
      <c r="I2939" s="48"/>
      <c r="J2939" s="48"/>
      <c r="L2939" s="65"/>
    </row>
    <row r="2940" spans="5:12">
      <c r="E2940" s="49">
        <v>45058.895833323186</v>
      </c>
      <c r="F2940" s="56">
        <v>4.0205627641951933</v>
      </c>
      <c r="G2940" s="48"/>
      <c r="H2940" s="48"/>
      <c r="I2940" s="48"/>
      <c r="J2940" s="48"/>
      <c r="L2940" s="65"/>
    </row>
    <row r="2941" spans="5:12">
      <c r="E2941" s="49">
        <v>45058.899305545405</v>
      </c>
      <c r="F2941" s="56">
        <v>4.0205627641951933</v>
      </c>
      <c r="G2941" s="48"/>
      <c r="H2941" s="48"/>
      <c r="I2941" s="48"/>
      <c r="J2941" s="48"/>
      <c r="L2941" s="65"/>
    </row>
    <row r="2942" spans="5:12">
      <c r="E2942" s="49">
        <v>45058.902777767624</v>
      </c>
      <c r="F2942" s="56">
        <v>4.0205627641951933</v>
      </c>
      <c r="G2942" s="48"/>
      <c r="H2942" s="48"/>
      <c r="I2942" s="48"/>
      <c r="J2942" s="48"/>
      <c r="L2942" s="65"/>
    </row>
    <row r="2943" spans="5:12">
      <c r="E2943" s="49">
        <v>45058.906249989843</v>
      </c>
      <c r="F2943" s="56">
        <v>4.0205627641951933</v>
      </c>
      <c r="G2943" s="48"/>
      <c r="H2943" s="48"/>
      <c r="I2943" s="48"/>
      <c r="J2943" s="48"/>
      <c r="L2943" s="65"/>
    </row>
    <row r="2944" spans="5:12">
      <c r="E2944" s="49">
        <v>45058.909722212062</v>
      </c>
      <c r="F2944" s="56">
        <v>4.0205627641951933</v>
      </c>
      <c r="G2944" s="48"/>
      <c r="H2944" s="48"/>
      <c r="I2944" s="48"/>
      <c r="J2944" s="48"/>
      <c r="L2944" s="65"/>
    </row>
    <row r="2945" spans="5:12">
      <c r="E2945" s="49">
        <v>45058.913194434281</v>
      </c>
      <c r="F2945" s="56">
        <v>4.0205627641951933</v>
      </c>
      <c r="G2945" s="48"/>
      <c r="H2945" s="48"/>
      <c r="I2945" s="48"/>
      <c r="J2945" s="48"/>
      <c r="L2945" s="65"/>
    </row>
    <row r="2946" spans="5:12">
      <c r="E2946" s="49">
        <v>45058.9166666565</v>
      </c>
      <c r="F2946" s="56">
        <v>10.803308369352504</v>
      </c>
      <c r="G2946" s="48"/>
      <c r="H2946" s="48"/>
      <c r="I2946" s="48"/>
      <c r="J2946" s="48"/>
      <c r="L2946" s="65"/>
    </row>
    <row r="2947" spans="5:12">
      <c r="E2947" s="49">
        <v>45058.920138878719</v>
      </c>
      <c r="F2947" s="56">
        <v>10.803308369352504</v>
      </c>
      <c r="G2947" s="48"/>
      <c r="H2947" s="48"/>
      <c r="I2947" s="48"/>
      <c r="J2947" s="48"/>
      <c r="L2947" s="65"/>
    </row>
    <row r="2948" spans="5:12">
      <c r="E2948" s="49">
        <v>45058.923611100938</v>
      </c>
      <c r="F2948" s="56">
        <v>10.803308369352504</v>
      </c>
      <c r="G2948" s="48"/>
      <c r="H2948" s="48"/>
      <c r="I2948" s="48"/>
      <c r="J2948" s="48"/>
      <c r="L2948" s="65"/>
    </row>
    <row r="2949" spans="5:12">
      <c r="E2949" s="49">
        <v>45058.927083323157</v>
      </c>
      <c r="F2949" s="56">
        <v>10.803308369352504</v>
      </c>
      <c r="G2949" s="48"/>
      <c r="H2949" s="48"/>
      <c r="I2949" s="48"/>
      <c r="J2949" s="48"/>
      <c r="L2949" s="65"/>
    </row>
    <row r="2950" spans="5:12">
      <c r="E2950" s="49">
        <v>45058.930555545376</v>
      </c>
      <c r="F2950" s="56">
        <v>10.803308369352504</v>
      </c>
      <c r="G2950" s="48"/>
      <c r="H2950" s="48"/>
      <c r="I2950" s="48"/>
      <c r="J2950" s="48"/>
      <c r="L2950" s="65"/>
    </row>
    <row r="2951" spans="5:12">
      <c r="E2951" s="49">
        <v>45058.934027767595</v>
      </c>
      <c r="F2951" s="56">
        <v>10.803308369352504</v>
      </c>
      <c r="G2951" s="48"/>
      <c r="H2951" s="48"/>
      <c r="I2951" s="48"/>
      <c r="J2951" s="48"/>
      <c r="L2951" s="65"/>
    </row>
    <row r="2952" spans="5:12">
      <c r="E2952" s="49">
        <v>45058.937499989814</v>
      </c>
      <c r="F2952" s="56">
        <v>10.803308369352504</v>
      </c>
      <c r="G2952" s="48"/>
      <c r="H2952" s="48"/>
      <c r="I2952" s="48"/>
      <c r="J2952" s="48"/>
      <c r="L2952" s="65"/>
    </row>
    <row r="2953" spans="5:12">
      <c r="E2953" s="49">
        <v>45058.940972212033</v>
      </c>
      <c r="F2953" s="56">
        <v>10.803308369352504</v>
      </c>
      <c r="G2953" s="48"/>
      <c r="H2953" s="48"/>
      <c r="I2953" s="48"/>
      <c r="J2953" s="48"/>
      <c r="L2953" s="65"/>
    </row>
    <row r="2954" spans="5:12">
      <c r="E2954" s="49">
        <v>45058.944444434252</v>
      </c>
      <c r="F2954" s="56">
        <v>10.803308369352504</v>
      </c>
      <c r="G2954" s="48"/>
      <c r="H2954" s="48"/>
      <c r="I2954" s="48"/>
      <c r="J2954" s="48"/>
      <c r="L2954" s="65"/>
    </row>
    <row r="2955" spans="5:12">
      <c r="E2955" s="49">
        <v>45058.947916656471</v>
      </c>
      <c r="F2955" s="56">
        <v>10.803308369352504</v>
      </c>
      <c r="G2955" s="48"/>
      <c r="H2955" s="48"/>
      <c r="I2955" s="48"/>
      <c r="J2955" s="48"/>
      <c r="L2955" s="65"/>
    </row>
    <row r="2956" spans="5:12">
      <c r="E2956" s="49">
        <v>45058.95138887869</v>
      </c>
      <c r="F2956" s="56">
        <v>10.803308369352504</v>
      </c>
      <c r="G2956" s="48"/>
      <c r="H2956" s="48"/>
      <c r="I2956" s="48"/>
      <c r="J2956" s="48"/>
      <c r="L2956" s="65"/>
    </row>
    <row r="2957" spans="5:12">
      <c r="E2957" s="49">
        <v>45058.954861100909</v>
      </c>
      <c r="F2957" s="56">
        <v>10.803308369352504</v>
      </c>
      <c r="G2957" s="48"/>
      <c r="H2957" s="48"/>
      <c r="I2957" s="48"/>
      <c r="J2957" s="48"/>
      <c r="L2957" s="65"/>
    </row>
    <row r="2958" spans="5:12">
      <c r="E2958" s="49">
        <v>45058.958333323128</v>
      </c>
      <c r="F2958" s="56">
        <v>10.803308369352504</v>
      </c>
      <c r="G2958" s="48"/>
      <c r="H2958" s="48"/>
      <c r="I2958" s="48"/>
      <c r="J2958" s="48"/>
      <c r="L2958" s="65"/>
    </row>
    <row r="2959" spans="5:12">
      <c r="E2959" s="49">
        <v>45058.961805545347</v>
      </c>
      <c r="F2959" s="56">
        <v>10.803308369352504</v>
      </c>
      <c r="G2959" s="48"/>
      <c r="H2959" s="48"/>
      <c r="I2959" s="48"/>
      <c r="J2959" s="48"/>
      <c r="L2959" s="65"/>
    </row>
    <row r="2960" spans="5:12">
      <c r="E2960" s="49">
        <v>45058.965277767566</v>
      </c>
      <c r="F2960" s="56">
        <v>10.803308369352504</v>
      </c>
      <c r="G2960" s="48"/>
      <c r="H2960" s="48"/>
      <c r="I2960" s="48"/>
      <c r="J2960" s="48"/>
      <c r="L2960" s="65"/>
    </row>
    <row r="2961" spans="5:12">
      <c r="E2961" s="49">
        <v>45058.968749989785</v>
      </c>
      <c r="F2961" s="56">
        <v>10.803308369352504</v>
      </c>
      <c r="G2961" s="48"/>
      <c r="H2961" s="48"/>
      <c r="I2961" s="48"/>
      <c r="J2961" s="48"/>
      <c r="L2961" s="65"/>
    </row>
    <row r="2962" spans="5:12">
      <c r="E2962" s="49">
        <v>45058.972222212004</v>
      </c>
      <c r="F2962" s="56">
        <v>10.803308369352504</v>
      </c>
      <c r="G2962" s="48"/>
      <c r="H2962" s="48"/>
      <c r="I2962" s="48"/>
      <c r="J2962" s="48"/>
      <c r="L2962" s="65"/>
    </row>
    <row r="2963" spans="5:12">
      <c r="E2963" s="49">
        <v>45058.975694434223</v>
      </c>
      <c r="F2963" s="56">
        <v>10.803308369352504</v>
      </c>
      <c r="G2963" s="48"/>
      <c r="H2963" s="48"/>
      <c r="I2963" s="48"/>
      <c r="J2963" s="48"/>
      <c r="L2963" s="65"/>
    </row>
    <row r="2964" spans="5:12">
      <c r="E2964" s="49">
        <v>45058.979166656442</v>
      </c>
      <c r="F2964" s="56">
        <v>10.803308369352504</v>
      </c>
      <c r="G2964" s="48"/>
      <c r="H2964" s="48"/>
      <c r="I2964" s="48"/>
      <c r="J2964" s="48"/>
      <c r="L2964" s="65"/>
    </row>
    <row r="2965" spans="5:12">
      <c r="E2965" s="49">
        <v>45058.982638878661</v>
      </c>
      <c r="F2965" s="56">
        <v>10.803308369352504</v>
      </c>
      <c r="G2965" s="48"/>
      <c r="H2965" s="48"/>
      <c r="I2965" s="48"/>
      <c r="J2965" s="48"/>
      <c r="L2965" s="65"/>
    </row>
    <row r="2966" spans="5:12">
      <c r="E2966" s="49">
        <v>45058.986111100879</v>
      </c>
      <c r="F2966" s="56">
        <v>10.803308369352504</v>
      </c>
      <c r="G2966" s="48"/>
      <c r="H2966" s="48"/>
      <c r="I2966" s="48"/>
      <c r="J2966" s="48"/>
      <c r="L2966" s="65"/>
    </row>
    <row r="2967" spans="5:12">
      <c r="E2967" s="49">
        <v>45058.989583323098</v>
      </c>
      <c r="F2967" s="56">
        <v>10.803308369352504</v>
      </c>
      <c r="G2967" s="48"/>
      <c r="H2967" s="48"/>
      <c r="I2967" s="48"/>
      <c r="J2967" s="48"/>
      <c r="L2967" s="65"/>
    </row>
    <row r="2968" spans="5:12">
      <c r="E2968" s="49">
        <v>45058.993055545317</v>
      </c>
      <c r="F2968" s="56">
        <v>10.803308369352504</v>
      </c>
      <c r="G2968" s="48"/>
      <c r="H2968" s="48"/>
      <c r="I2968" s="48"/>
      <c r="J2968" s="48"/>
      <c r="L2968" s="65"/>
    </row>
    <row r="2969" spans="5:12">
      <c r="E2969" s="49">
        <v>45058.996527767536</v>
      </c>
      <c r="F2969" s="56">
        <v>10.803308369352504</v>
      </c>
      <c r="G2969" s="48"/>
      <c r="H2969" s="48"/>
      <c r="I2969" s="48"/>
      <c r="J2969" s="48"/>
      <c r="L2969" s="65"/>
    </row>
    <row r="2970" spans="5:12">
      <c r="E2970" s="49">
        <v>45058.999999989755</v>
      </c>
      <c r="F2970" s="56">
        <v>10.803308369352504</v>
      </c>
      <c r="G2970" s="48"/>
      <c r="H2970" s="48"/>
      <c r="I2970" s="48"/>
      <c r="J2970" s="48"/>
      <c r="L2970" s="65"/>
    </row>
    <row r="2971" spans="5:12">
      <c r="E2971" s="49">
        <v>45059.003472211974</v>
      </c>
      <c r="F2971" s="56">
        <v>10.803308369352504</v>
      </c>
      <c r="G2971" s="48"/>
      <c r="H2971" s="48"/>
      <c r="I2971" s="48"/>
      <c r="J2971" s="48"/>
      <c r="L2971" s="65"/>
    </row>
    <row r="2972" spans="5:12">
      <c r="E2972" s="49">
        <v>45059.006944434193</v>
      </c>
      <c r="F2972" s="56">
        <v>10.803308369352504</v>
      </c>
      <c r="G2972" s="48"/>
      <c r="H2972" s="48"/>
      <c r="I2972" s="48"/>
      <c r="J2972" s="48"/>
      <c r="L2972" s="65"/>
    </row>
    <row r="2973" spans="5:12">
      <c r="E2973" s="49">
        <v>45059.010416656412</v>
      </c>
      <c r="F2973" s="56">
        <v>10.803308369352504</v>
      </c>
      <c r="G2973" s="48"/>
      <c r="H2973" s="48"/>
      <c r="I2973" s="48"/>
      <c r="J2973" s="48"/>
      <c r="L2973" s="65"/>
    </row>
    <row r="2974" spans="5:12">
      <c r="E2974" s="49">
        <v>45059.013888878631</v>
      </c>
      <c r="F2974" s="56">
        <v>10.803308369352504</v>
      </c>
      <c r="G2974" s="48"/>
      <c r="H2974" s="48"/>
      <c r="I2974" s="48"/>
      <c r="J2974" s="48"/>
      <c r="L2974" s="65"/>
    </row>
    <row r="2975" spans="5:12">
      <c r="E2975" s="49">
        <v>45059.01736110085</v>
      </c>
      <c r="F2975" s="56">
        <v>10.803308369352504</v>
      </c>
      <c r="G2975" s="48"/>
      <c r="H2975" s="48"/>
      <c r="I2975" s="48"/>
      <c r="J2975" s="48"/>
      <c r="L2975" s="65"/>
    </row>
    <row r="2976" spans="5:12">
      <c r="E2976" s="49">
        <v>45059.020833323069</v>
      </c>
      <c r="F2976" s="56">
        <v>10.803308369352504</v>
      </c>
      <c r="G2976" s="48"/>
      <c r="H2976" s="48"/>
      <c r="I2976" s="48"/>
      <c r="J2976" s="48"/>
      <c r="L2976" s="65"/>
    </row>
    <row r="2977" spans="5:12">
      <c r="E2977" s="49">
        <v>45059.024305545288</v>
      </c>
      <c r="F2977" s="56">
        <v>10.803308369352504</v>
      </c>
      <c r="G2977" s="48"/>
      <c r="H2977" s="48"/>
      <c r="I2977" s="48"/>
      <c r="J2977" s="48"/>
      <c r="L2977" s="65"/>
    </row>
    <row r="2978" spans="5:12">
      <c r="E2978" s="49">
        <v>45059.027777767507</v>
      </c>
      <c r="F2978" s="56">
        <v>10.803308369352504</v>
      </c>
      <c r="G2978" s="48"/>
      <c r="H2978" s="48"/>
      <c r="I2978" s="48"/>
      <c r="J2978" s="48"/>
      <c r="L2978" s="65"/>
    </row>
    <row r="2979" spans="5:12">
      <c r="E2979" s="49">
        <v>45059.031249989726</v>
      </c>
      <c r="F2979" s="56">
        <v>10.803308369352504</v>
      </c>
      <c r="G2979" s="48"/>
      <c r="H2979" s="48"/>
      <c r="I2979" s="48"/>
      <c r="J2979" s="48"/>
      <c r="L2979" s="65"/>
    </row>
    <row r="2980" spans="5:12">
      <c r="E2980" s="49">
        <v>45059.034722211945</v>
      </c>
      <c r="F2980" s="56">
        <v>10.803308369352504</v>
      </c>
      <c r="G2980" s="48"/>
      <c r="H2980" s="48"/>
      <c r="I2980" s="48"/>
      <c r="J2980" s="48"/>
      <c r="L2980" s="65"/>
    </row>
    <row r="2981" spans="5:12">
      <c r="E2981" s="49">
        <v>45059.038194434164</v>
      </c>
      <c r="F2981" s="56">
        <v>10.803308369352504</v>
      </c>
      <c r="G2981" s="48"/>
      <c r="H2981" s="48"/>
      <c r="I2981" s="48"/>
      <c r="J2981" s="48"/>
      <c r="L2981" s="65"/>
    </row>
    <row r="2982" spans="5:12">
      <c r="E2982" s="49">
        <v>45059.041666656383</v>
      </c>
      <c r="F2982" s="56">
        <v>10.803308369352504</v>
      </c>
      <c r="G2982" s="48"/>
      <c r="H2982" s="48"/>
      <c r="I2982" s="48"/>
      <c r="J2982" s="48"/>
      <c r="L2982" s="65"/>
    </row>
    <row r="2983" spans="5:12">
      <c r="E2983" s="49">
        <v>45059.045138878602</v>
      </c>
      <c r="F2983" s="56">
        <v>10.803308369352504</v>
      </c>
      <c r="G2983" s="48"/>
      <c r="H2983" s="48"/>
      <c r="I2983" s="48"/>
      <c r="J2983" s="48"/>
      <c r="L2983" s="65"/>
    </row>
    <row r="2984" spans="5:12">
      <c r="E2984" s="49">
        <v>45059.048611100821</v>
      </c>
      <c r="F2984" s="56">
        <v>10.803308369352504</v>
      </c>
      <c r="G2984" s="48"/>
      <c r="H2984" s="48"/>
      <c r="I2984" s="48"/>
      <c r="J2984" s="48"/>
      <c r="L2984" s="65"/>
    </row>
    <row r="2985" spans="5:12">
      <c r="E2985" s="49">
        <v>45059.05208332304</v>
      </c>
      <c r="F2985" s="56">
        <v>10.803308369352504</v>
      </c>
      <c r="G2985" s="48"/>
      <c r="H2985" s="48"/>
      <c r="I2985" s="48"/>
      <c r="J2985" s="48"/>
      <c r="L2985" s="65"/>
    </row>
    <row r="2986" spans="5:12">
      <c r="E2986" s="49">
        <v>45059.055555545259</v>
      </c>
      <c r="F2986" s="56">
        <v>10.803308369352504</v>
      </c>
      <c r="G2986" s="48"/>
      <c r="H2986" s="48"/>
      <c r="I2986" s="48"/>
      <c r="J2986" s="48"/>
      <c r="L2986" s="65"/>
    </row>
    <row r="2987" spans="5:12">
      <c r="E2987" s="49">
        <v>45059.059027767478</v>
      </c>
      <c r="F2987" s="56">
        <v>10.803308369352504</v>
      </c>
      <c r="G2987" s="48"/>
      <c r="H2987" s="48"/>
      <c r="I2987" s="48"/>
      <c r="J2987" s="48"/>
      <c r="L2987" s="65"/>
    </row>
    <row r="2988" spans="5:12">
      <c r="E2988" s="49">
        <v>45059.062499989697</v>
      </c>
      <c r="F2988" s="56">
        <v>10.803308369352504</v>
      </c>
      <c r="G2988" s="48"/>
      <c r="H2988" s="48"/>
      <c r="I2988" s="48"/>
      <c r="J2988" s="48"/>
      <c r="L2988" s="65"/>
    </row>
    <row r="2989" spans="5:12">
      <c r="E2989" s="49">
        <v>45059.065972211916</v>
      </c>
      <c r="F2989" s="56">
        <v>10.803308369352504</v>
      </c>
      <c r="G2989" s="48"/>
      <c r="H2989" s="48"/>
      <c r="I2989" s="48"/>
      <c r="J2989" s="48"/>
      <c r="L2989" s="65"/>
    </row>
    <row r="2990" spans="5:12">
      <c r="E2990" s="49">
        <v>45059.069444434135</v>
      </c>
      <c r="F2990" s="56">
        <v>10.803308369352504</v>
      </c>
      <c r="G2990" s="48"/>
      <c r="H2990" s="48"/>
      <c r="I2990" s="48"/>
      <c r="J2990" s="48"/>
      <c r="L2990" s="65"/>
    </row>
    <row r="2991" spans="5:12">
      <c r="E2991" s="49">
        <v>45059.072916656354</v>
      </c>
      <c r="F2991" s="56">
        <v>10.803308369352504</v>
      </c>
      <c r="G2991" s="48"/>
      <c r="H2991" s="48"/>
      <c r="I2991" s="48"/>
      <c r="J2991" s="48"/>
      <c r="L2991" s="65"/>
    </row>
    <row r="2992" spans="5:12">
      <c r="E2992" s="49">
        <v>45059.076388878573</v>
      </c>
      <c r="F2992" s="56">
        <v>10.803308369352504</v>
      </c>
      <c r="G2992" s="48"/>
      <c r="H2992" s="48"/>
      <c r="I2992" s="48"/>
      <c r="J2992" s="48"/>
      <c r="L2992" s="65"/>
    </row>
    <row r="2993" spans="5:12">
      <c r="E2993" s="49">
        <v>45059.079861100792</v>
      </c>
      <c r="F2993" s="56">
        <v>10.803308369352504</v>
      </c>
      <c r="G2993" s="48"/>
      <c r="H2993" s="48"/>
      <c r="I2993" s="48"/>
      <c r="J2993" s="48"/>
      <c r="L2993" s="65"/>
    </row>
    <row r="2994" spans="5:12">
      <c r="E2994" s="49">
        <v>45059.083333323011</v>
      </c>
      <c r="F2994" s="56">
        <v>10.803308369352504</v>
      </c>
      <c r="G2994" s="48"/>
      <c r="H2994" s="48"/>
      <c r="I2994" s="48"/>
      <c r="J2994" s="48"/>
      <c r="L2994" s="65"/>
    </row>
    <row r="2995" spans="5:12">
      <c r="E2995" s="49">
        <v>45059.08680554523</v>
      </c>
      <c r="F2995" s="56">
        <v>10.803308369352504</v>
      </c>
      <c r="G2995" s="48"/>
      <c r="H2995" s="48"/>
      <c r="I2995" s="48"/>
      <c r="J2995" s="48"/>
      <c r="L2995" s="65"/>
    </row>
    <row r="2996" spans="5:12">
      <c r="E2996" s="49">
        <v>45059.090277767449</v>
      </c>
      <c r="F2996" s="56">
        <v>10.803308369352504</v>
      </c>
      <c r="G2996" s="48"/>
      <c r="H2996" s="48"/>
      <c r="I2996" s="48"/>
      <c r="J2996" s="48"/>
      <c r="L2996" s="65"/>
    </row>
    <row r="2997" spans="5:12">
      <c r="E2997" s="49">
        <v>45059.093749989668</v>
      </c>
      <c r="F2997" s="56">
        <v>10.803308369352504</v>
      </c>
      <c r="G2997" s="48"/>
      <c r="H2997" s="48"/>
      <c r="I2997" s="48"/>
      <c r="J2997" s="48"/>
      <c r="L2997" s="65"/>
    </row>
    <row r="2998" spans="5:12">
      <c r="E2998" s="49">
        <v>45059.097222211887</v>
      </c>
      <c r="F2998" s="56">
        <v>10.803308369352504</v>
      </c>
      <c r="G2998" s="48"/>
      <c r="H2998" s="48"/>
      <c r="I2998" s="48"/>
      <c r="J2998" s="48"/>
      <c r="L2998" s="65"/>
    </row>
    <row r="2999" spans="5:12">
      <c r="E2999" s="49">
        <v>45059.100694434106</v>
      </c>
      <c r="F2999" s="56">
        <v>10.803308369352504</v>
      </c>
      <c r="G2999" s="48"/>
      <c r="H2999" s="48"/>
      <c r="I2999" s="48"/>
      <c r="J2999" s="48"/>
      <c r="L2999" s="65"/>
    </row>
    <row r="3000" spans="5:12">
      <c r="E3000" s="49">
        <v>45059.104166656325</v>
      </c>
      <c r="F3000" s="56">
        <v>10.803308369352504</v>
      </c>
      <c r="G3000" s="48"/>
      <c r="H3000" s="48"/>
      <c r="I3000" s="48"/>
      <c r="J3000" s="48"/>
      <c r="L3000" s="65"/>
    </row>
    <row r="3001" spans="5:12">
      <c r="E3001" s="49">
        <v>45059.107638878544</v>
      </c>
      <c r="F3001" s="56">
        <v>10.803308369352504</v>
      </c>
      <c r="G3001" s="48"/>
      <c r="H3001" s="48"/>
      <c r="I3001" s="48"/>
      <c r="J3001" s="48"/>
      <c r="L3001" s="65"/>
    </row>
    <row r="3002" spans="5:12">
      <c r="E3002" s="49">
        <v>45059.111111100763</v>
      </c>
      <c r="F3002" s="56">
        <v>10.803308369352504</v>
      </c>
      <c r="G3002" s="48"/>
      <c r="H3002" s="48"/>
      <c r="I3002" s="48"/>
      <c r="J3002" s="48"/>
      <c r="L3002" s="65"/>
    </row>
    <row r="3003" spans="5:12">
      <c r="E3003" s="49">
        <v>45059.114583322982</v>
      </c>
      <c r="F3003" s="56">
        <v>10.803308369352504</v>
      </c>
      <c r="G3003" s="48"/>
      <c r="H3003" s="48"/>
      <c r="I3003" s="48"/>
      <c r="J3003" s="48"/>
      <c r="L3003" s="65"/>
    </row>
    <row r="3004" spans="5:12">
      <c r="E3004" s="49">
        <v>45059.118055545201</v>
      </c>
      <c r="F3004" s="56">
        <v>10.803308369352504</v>
      </c>
      <c r="G3004" s="48"/>
      <c r="H3004" s="48"/>
      <c r="I3004" s="48"/>
      <c r="J3004" s="48"/>
      <c r="L3004" s="65"/>
    </row>
    <row r="3005" spans="5:12">
      <c r="E3005" s="49">
        <v>45059.12152776742</v>
      </c>
      <c r="F3005" s="56">
        <v>10.803308369352504</v>
      </c>
      <c r="G3005" s="48"/>
      <c r="H3005" s="48"/>
      <c r="I3005" s="48"/>
      <c r="J3005" s="48"/>
      <c r="L3005" s="65"/>
    </row>
    <row r="3006" spans="5:12">
      <c r="E3006" s="49">
        <v>45059.124999989639</v>
      </c>
      <c r="F3006" s="56">
        <v>10.803308369352504</v>
      </c>
      <c r="G3006" s="48"/>
      <c r="H3006" s="48"/>
      <c r="I3006" s="48"/>
      <c r="J3006" s="48"/>
      <c r="L3006" s="65"/>
    </row>
    <row r="3007" spans="5:12">
      <c r="E3007" s="49">
        <v>45059.128472211858</v>
      </c>
      <c r="F3007" s="56">
        <v>10.803308369352504</v>
      </c>
      <c r="G3007" s="48"/>
      <c r="H3007" s="48"/>
      <c r="I3007" s="48"/>
      <c r="J3007" s="48"/>
      <c r="L3007" s="65"/>
    </row>
    <row r="3008" spans="5:12">
      <c r="E3008" s="49">
        <v>45059.131944434077</v>
      </c>
      <c r="F3008" s="56">
        <v>10.803308369352504</v>
      </c>
      <c r="G3008" s="48"/>
      <c r="H3008" s="48"/>
      <c r="I3008" s="48"/>
      <c r="J3008" s="48"/>
      <c r="L3008" s="65"/>
    </row>
    <row r="3009" spans="5:12">
      <c r="E3009" s="49">
        <v>45059.135416656296</v>
      </c>
      <c r="F3009" s="56">
        <v>10.803308369352504</v>
      </c>
      <c r="G3009" s="48"/>
      <c r="H3009" s="48"/>
      <c r="I3009" s="48"/>
      <c r="J3009" s="48"/>
      <c r="L3009" s="65"/>
    </row>
    <row r="3010" spans="5:12">
      <c r="E3010" s="49">
        <v>45059.138888878515</v>
      </c>
      <c r="F3010" s="56">
        <v>10.803308369352504</v>
      </c>
      <c r="G3010" s="48"/>
      <c r="H3010" s="48"/>
      <c r="I3010" s="48"/>
      <c r="J3010" s="48"/>
      <c r="L3010" s="65"/>
    </row>
    <row r="3011" spans="5:12">
      <c r="E3011" s="49">
        <v>45059.142361100734</v>
      </c>
      <c r="F3011" s="56">
        <v>10.803308369352504</v>
      </c>
      <c r="G3011" s="48"/>
      <c r="H3011" s="48"/>
      <c r="I3011" s="48"/>
      <c r="J3011" s="48"/>
      <c r="L3011" s="65"/>
    </row>
    <row r="3012" spans="5:12">
      <c r="E3012" s="49">
        <v>45059.145833322953</v>
      </c>
      <c r="F3012" s="56">
        <v>10.803308369352504</v>
      </c>
      <c r="G3012" s="48"/>
      <c r="H3012" s="48"/>
      <c r="I3012" s="48"/>
      <c r="J3012" s="48"/>
      <c r="L3012" s="65"/>
    </row>
    <row r="3013" spans="5:12">
      <c r="E3013" s="49">
        <v>45059.149305545172</v>
      </c>
      <c r="F3013" s="56">
        <v>10.803308369352504</v>
      </c>
      <c r="G3013" s="48"/>
      <c r="H3013" s="48"/>
      <c r="I3013" s="48"/>
      <c r="J3013" s="48"/>
      <c r="L3013" s="65"/>
    </row>
    <row r="3014" spans="5:12">
      <c r="E3014" s="49">
        <v>45059.152777767391</v>
      </c>
      <c r="F3014" s="56">
        <v>10.803308369352504</v>
      </c>
      <c r="G3014" s="48"/>
      <c r="H3014" s="48"/>
      <c r="I3014" s="48"/>
      <c r="J3014" s="48"/>
      <c r="L3014" s="65"/>
    </row>
    <row r="3015" spans="5:12">
      <c r="E3015" s="49">
        <v>45059.15624998961</v>
      </c>
      <c r="F3015" s="56">
        <v>10.803308369352504</v>
      </c>
      <c r="G3015" s="48"/>
      <c r="H3015" s="48"/>
      <c r="I3015" s="48"/>
      <c r="J3015" s="48"/>
      <c r="L3015" s="65"/>
    </row>
    <row r="3016" spans="5:12">
      <c r="E3016" s="49">
        <v>45059.159722211829</v>
      </c>
      <c r="F3016" s="56">
        <v>10.803308369352504</v>
      </c>
      <c r="G3016" s="48"/>
      <c r="H3016" s="48"/>
      <c r="I3016" s="48"/>
      <c r="J3016" s="48"/>
      <c r="L3016" s="65"/>
    </row>
    <row r="3017" spans="5:12">
      <c r="E3017" s="49">
        <v>45059.163194434048</v>
      </c>
      <c r="F3017" s="56">
        <v>10.803308369352504</v>
      </c>
      <c r="G3017" s="48"/>
      <c r="H3017" s="48"/>
      <c r="I3017" s="48"/>
      <c r="J3017" s="48"/>
      <c r="L3017" s="65"/>
    </row>
    <row r="3018" spans="5:12">
      <c r="E3018" s="49">
        <v>45059.166666656267</v>
      </c>
      <c r="F3018" s="56">
        <v>10.803308369352504</v>
      </c>
      <c r="G3018" s="48"/>
      <c r="H3018" s="48"/>
      <c r="I3018" s="48"/>
      <c r="J3018" s="48"/>
      <c r="L3018" s="65"/>
    </row>
    <row r="3019" spans="5:12">
      <c r="E3019" s="49">
        <v>45059.170138878486</v>
      </c>
      <c r="F3019" s="56">
        <v>10.803308369352504</v>
      </c>
      <c r="G3019" s="48"/>
      <c r="H3019" s="48"/>
      <c r="I3019" s="48"/>
      <c r="J3019" s="48"/>
      <c r="L3019" s="65"/>
    </row>
    <row r="3020" spans="5:12">
      <c r="E3020" s="49">
        <v>45059.173611100705</v>
      </c>
      <c r="F3020" s="56">
        <v>10.803308369352504</v>
      </c>
      <c r="G3020" s="48"/>
      <c r="H3020" s="48"/>
      <c r="I3020" s="48"/>
      <c r="J3020" s="48"/>
      <c r="L3020" s="65"/>
    </row>
    <row r="3021" spans="5:12">
      <c r="E3021" s="49">
        <v>45059.177083322924</v>
      </c>
      <c r="F3021" s="56">
        <v>10.803308369352504</v>
      </c>
      <c r="G3021" s="48"/>
      <c r="H3021" s="48"/>
      <c r="I3021" s="48"/>
      <c r="J3021" s="48"/>
      <c r="L3021" s="65"/>
    </row>
    <row r="3022" spans="5:12">
      <c r="E3022" s="49">
        <v>45059.180555545143</v>
      </c>
      <c r="F3022" s="56">
        <v>10.803308369352504</v>
      </c>
      <c r="G3022" s="48"/>
      <c r="H3022" s="48"/>
      <c r="I3022" s="48"/>
      <c r="J3022" s="48"/>
      <c r="L3022" s="65"/>
    </row>
    <row r="3023" spans="5:12">
      <c r="E3023" s="49">
        <v>45059.184027767362</v>
      </c>
      <c r="F3023" s="56">
        <v>10.803308369352504</v>
      </c>
      <c r="G3023" s="48"/>
      <c r="H3023" s="48"/>
      <c r="I3023" s="48"/>
      <c r="J3023" s="48"/>
      <c r="L3023" s="65"/>
    </row>
    <row r="3024" spans="5:12">
      <c r="E3024" s="49">
        <v>45059.187499989581</v>
      </c>
      <c r="F3024" s="56">
        <v>10.803308369352504</v>
      </c>
      <c r="G3024" s="48"/>
      <c r="H3024" s="48"/>
      <c r="I3024" s="48"/>
      <c r="J3024" s="48"/>
      <c r="L3024" s="65"/>
    </row>
    <row r="3025" spans="5:12">
      <c r="E3025" s="49">
        <v>45059.1909722118</v>
      </c>
      <c r="F3025" s="56">
        <v>10.803308369352504</v>
      </c>
      <c r="G3025" s="48"/>
      <c r="H3025" s="48"/>
      <c r="I3025" s="48"/>
      <c r="J3025" s="48"/>
      <c r="L3025" s="65"/>
    </row>
    <row r="3026" spans="5:12">
      <c r="E3026" s="49">
        <v>45059.194444434019</v>
      </c>
      <c r="F3026" s="56">
        <v>10.803308369352504</v>
      </c>
      <c r="G3026" s="48"/>
      <c r="H3026" s="48"/>
      <c r="I3026" s="48"/>
      <c r="J3026" s="48"/>
      <c r="L3026" s="65"/>
    </row>
    <row r="3027" spans="5:12">
      <c r="E3027" s="49">
        <v>45059.197916656238</v>
      </c>
      <c r="F3027" s="56">
        <v>10.803308369352504</v>
      </c>
      <c r="G3027" s="48"/>
      <c r="H3027" s="48"/>
      <c r="I3027" s="48"/>
      <c r="J3027" s="48"/>
      <c r="L3027" s="65"/>
    </row>
    <row r="3028" spans="5:12">
      <c r="E3028" s="49">
        <v>45059.201388878457</v>
      </c>
      <c r="F3028" s="56">
        <v>10.803308369352504</v>
      </c>
      <c r="G3028" s="48"/>
      <c r="H3028" s="48"/>
      <c r="I3028" s="48"/>
      <c r="J3028" s="48"/>
      <c r="L3028" s="65"/>
    </row>
    <row r="3029" spans="5:12">
      <c r="E3029" s="49">
        <v>45059.204861100676</v>
      </c>
      <c r="F3029" s="56">
        <v>10.803308369352504</v>
      </c>
      <c r="G3029" s="48"/>
      <c r="H3029" s="48"/>
      <c r="I3029" s="48"/>
      <c r="J3029" s="48"/>
      <c r="L3029" s="65"/>
    </row>
    <row r="3030" spans="5:12">
      <c r="E3030" s="49">
        <v>45059.208333322895</v>
      </c>
      <c r="F3030" s="56">
        <v>10.803308369352504</v>
      </c>
      <c r="G3030" s="48"/>
      <c r="H3030" s="48"/>
      <c r="I3030" s="48"/>
      <c r="J3030" s="48"/>
      <c r="L3030" s="65"/>
    </row>
    <row r="3031" spans="5:12">
      <c r="E3031" s="49">
        <v>45059.211805545114</v>
      </c>
      <c r="F3031" s="56">
        <v>10.803308369352504</v>
      </c>
      <c r="G3031" s="48"/>
      <c r="H3031" s="48"/>
      <c r="I3031" s="48"/>
      <c r="J3031" s="48"/>
      <c r="L3031" s="65"/>
    </row>
    <row r="3032" spans="5:12">
      <c r="E3032" s="49">
        <v>45059.215277767333</v>
      </c>
      <c r="F3032" s="56">
        <v>10.803308369352504</v>
      </c>
      <c r="G3032" s="48"/>
      <c r="H3032" s="48"/>
      <c r="I3032" s="48"/>
      <c r="J3032" s="48"/>
      <c r="L3032" s="65"/>
    </row>
    <row r="3033" spans="5:12">
      <c r="E3033" s="49">
        <v>45059.218749989552</v>
      </c>
      <c r="F3033" s="56">
        <v>10.803308369352504</v>
      </c>
      <c r="G3033" s="48"/>
      <c r="H3033" s="48"/>
      <c r="I3033" s="48"/>
      <c r="J3033" s="48"/>
      <c r="L3033" s="65"/>
    </row>
    <row r="3034" spans="5:12">
      <c r="E3034" s="49">
        <v>45059.222222211771</v>
      </c>
      <c r="F3034" s="56">
        <v>10.803308369352504</v>
      </c>
      <c r="G3034" s="48"/>
      <c r="H3034" s="48"/>
      <c r="I3034" s="48"/>
      <c r="J3034" s="48"/>
      <c r="L3034" s="65"/>
    </row>
    <row r="3035" spans="5:12">
      <c r="E3035" s="49">
        <v>45059.22569443399</v>
      </c>
      <c r="F3035" s="56">
        <v>10.803308369352504</v>
      </c>
      <c r="G3035" s="48"/>
      <c r="H3035" s="48"/>
      <c r="I3035" s="48"/>
      <c r="J3035" s="48"/>
      <c r="L3035" s="65"/>
    </row>
    <row r="3036" spans="5:12">
      <c r="E3036" s="49">
        <v>45059.229166656209</v>
      </c>
      <c r="F3036" s="56">
        <v>10.803308369352504</v>
      </c>
      <c r="G3036" s="48"/>
      <c r="H3036" s="48"/>
      <c r="I3036" s="48"/>
      <c r="J3036" s="48"/>
      <c r="L3036" s="65"/>
    </row>
    <row r="3037" spans="5:12">
      <c r="E3037" s="49">
        <v>45059.232638878428</v>
      </c>
      <c r="F3037" s="56">
        <v>10.803308369352504</v>
      </c>
      <c r="G3037" s="48"/>
      <c r="H3037" s="48"/>
      <c r="I3037" s="48"/>
      <c r="J3037" s="48"/>
      <c r="L3037" s="65"/>
    </row>
    <row r="3038" spans="5:12">
      <c r="E3038" s="49">
        <v>45059.236111100647</v>
      </c>
      <c r="F3038" s="56">
        <v>10.803308369352504</v>
      </c>
      <c r="G3038" s="48"/>
      <c r="H3038" s="48"/>
      <c r="I3038" s="48"/>
      <c r="J3038" s="48"/>
      <c r="L3038" s="65"/>
    </row>
    <row r="3039" spans="5:12">
      <c r="E3039" s="49">
        <v>45059.239583322866</v>
      </c>
      <c r="F3039" s="56">
        <v>10.803308369352504</v>
      </c>
      <c r="G3039" s="48"/>
      <c r="H3039" s="48"/>
      <c r="I3039" s="48"/>
      <c r="J3039" s="48"/>
      <c r="L3039" s="65"/>
    </row>
    <row r="3040" spans="5:12">
      <c r="E3040" s="49">
        <v>45059.243055545085</v>
      </c>
      <c r="F3040" s="56">
        <v>10.803308369352504</v>
      </c>
      <c r="G3040" s="48"/>
      <c r="H3040" s="48"/>
      <c r="I3040" s="48"/>
      <c r="J3040" s="48"/>
      <c r="L3040" s="65"/>
    </row>
    <row r="3041" spans="5:12">
      <c r="E3041" s="49">
        <v>45059.246527767304</v>
      </c>
      <c r="F3041" s="56">
        <v>10.803308369352504</v>
      </c>
      <c r="G3041" s="48"/>
      <c r="H3041" s="48"/>
      <c r="I3041" s="48"/>
      <c r="J3041" s="48"/>
      <c r="L3041" s="65"/>
    </row>
    <row r="3042" spans="5:12">
      <c r="E3042" s="49">
        <v>45059.249999989523</v>
      </c>
      <c r="F3042" s="56">
        <v>10.803308369352504</v>
      </c>
      <c r="G3042" s="48"/>
      <c r="H3042" s="48"/>
      <c r="I3042" s="48"/>
      <c r="J3042" s="48"/>
      <c r="L3042" s="65"/>
    </row>
    <row r="3043" spans="5:12">
      <c r="E3043" s="49">
        <v>45059.253472211742</v>
      </c>
      <c r="F3043" s="56">
        <v>10.803308369352504</v>
      </c>
      <c r="G3043" s="48"/>
      <c r="H3043" s="48"/>
      <c r="I3043" s="48"/>
      <c r="J3043" s="48"/>
      <c r="L3043" s="65"/>
    </row>
    <row r="3044" spans="5:12">
      <c r="E3044" s="49">
        <v>45059.256944433961</v>
      </c>
      <c r="F3044" s="56">
        <v>10.803308369352504</v>
      </c>
      <c r="G3044" s="48"/>
      <c r="H3044" s="48"/>
      <c r="I3044" s="48"/>
      <c r="J3044" s="48"/>
      <c r="L3044" s="65"/>
    </row>
    <row r="3045" spans="5:12">
      <c r="E3045" s="49">
        <v>45059.26041665618</v>
      </c>
      <c r="F3045" s="56">
        <v>10.803308369352504</v>
      </c>
      <c r="G3045" s="48"/>
      <c r="H3045" s="48"/>
      <c r="I3045" s="48"/>
      <c r="J3045" s="48"/>
      <c r="L3045" s="65"/>
    </row>
    <row r="3046" spans="5:12">
      <c r="E3046" s="49">
        <v>45059.263888878399</v>
      </c>
      <c r="F3046" s="56">
        <v>10.803308369352504</v>
      </c>
      <c r="G3046" s="48"/>
      <c r="H3046" s="48"/>
      <c r="I3046" s="48"/>
      <c r="J3046" s="48"/>
      <c r="L3046" s="65"/>
    </row>
    <row r="3047" spans="5:12">
      <c r="E3047" s="49">
        <v>45059.267361100618</v>
      </c>
      <c r="F3047" s="56">
        <v>10.803308369352504</v>
      </c>
      <c r="G3047" s="48"/>
      <c r="H3047" s="48"/>
      <c r="I3047" s="48"/>
      <c r="J3047" s="48"/>
      <c r="L3047" s="65"/>
    </row>
    <row r="3048" spans="5:12">
      <c r="E3048" s="49">
        <v>45059.270833322837</v>
      </c>
      <c r="F3048" s="56">
        <v>10.803308369352504</v>
      </c>
      <c r="G3048" s="48"/>
      <c r="H3048" s="48"/>
      <c r="I3048" s="48"/>
      <c r="J3048" s="48"/>
      <c r="L3048" s="65"/>
    </row>
    <row r="3049" spans="5:12">
      <c r="E3049" s="49">
        <v>45059.274305545056</v>
      </c>
      <c r="F3049" s="56">
        <v>10.803308369352504</v>
      </c>
      <c r="G3049" s="48"/>
      <c r="H3049" s="48"/>
      <c r="I3049" s="48"/>
      <c r="J3049" s="48"/>
      <c r="L3049" s="65"/>
    </row>
    <row r="3050" spans="5:12">
      <c r="E3050" s="49">
        <v>45059.277777767275</v>
      </c>
      <c r="F3050" s="56">
        <v>10.803308369352504</v>
      </c>
      <c r="G3050" s="48"/>
      <c r="H3050" s="48"/>
      <c r="I3050" s="48"/>
      <c r="J3050" s="48"/>
      <c r="L3050" s="65"/>
    </row>
    <row r="3051" spans="5:12">
      <c r="E3051" s="49">
        <v>45059.281249989494</v>
      </c>
      <c r="F3051" s="56">
        <v>10.803308369352504</v>
      </c>
      <c r="G3051" s="48"/>
      <c r="H3051" s="48"/>
      <c r="I3051" s="48"/>
      <c r="J3051" s="48"/>
      <c r="L3051" s="65"/>
    </row>
    <row r="3052" spans="5:12">
      <c r="E3052" s="49">
        <v>45059.284722211713</v>
      </c>
      <c r="F3052" s="56">
        <v>10.803308369352504</v>
      </c>
      <c r="G3052" s="48"/>
      <c r="H3052" s="48"/>
      <c r="I3052" s="48"/>
      <c r="J3052" s="48"/>
      <c r="L3052" s="65"/>
    </row>
    <row r="3053" spans="5:12">
      <c r="E3053" s="49">
        <v>45059.288194433931</v>
      </c>
      <c r="F3053" s="56">
        <v>10.803308369352504</v>
      </c>
      <c r="G3053" s="48"/>
      <c r="H3053" s="48"/>
      <c r="I3053" s="48"/>
      <c r="J3053" s="48"/>
      <c r="L3053" s="65"/>
    </row>
    <row r="3054" spans="5:12">
      <c r="E3054" s="49">
        <v>45059.29166665615</v>
      </c>
      <c r="F3054" s="56">
        <v>10.803308369352504</v>
      </c>
      <c r="G3054" s="48"/>
      <c r="H3054" s="48"/>
      <c r="I3054" s="48"/>
      <c r="J3054" s="48"/>
      <c r="L3054" s="65"/>
    </row>
    <row r="3055" spans="5:12">
      <c r="E3055" s="49">
        <v>45059.295138878369</v>
      </c>
      <c r="F3055" s="56">
        <v>10.803308369352504</v>
      </c>
      <c r="G3055" s="48"/>
      <c r="H3055" s="48"/>
      <c r="I3055" s="48"/>
      <c r="J3055" s="48"/>
      <c r="L3055" s="65"/>
    </row>
    <row r="3056" spans="5:12">
      <c r="E3056" s="49">
        <v>45059.298611100588</v>
      </c>
      <c r="F3056" s="56">
        <v>10.803308369352504</v>
      </c>
      <c r="G3056" s="48"/>
      <c r="H3056" s="48"/>
      <c r="I3056" s="48"/>
      <c r="J3056" s="48"/>
      <c r="L3056" s="65"/>
    </row>
    <row r="3057" spans="5:12">
      <c r="E3057" s="49">
        <v>45059.302083322807</v>
      </c>
      <c r="F3057" s="56">
        <v>10.803308369352504</v>
      </c>
      <c r="G3057" s="48"/>
      <c r="H3057" s="48"/>
      <c r="I3057" s="48"/>
      <c r="J3057" s="48"/>
      <c r="L3057" s="65"/>
    </row>
    <row r="3058" spans="5:12">
      <c r="E3058" s="49">
        <v>45059.305555545026</v>
      </c>
      <c r="F3058" s="56">
        <v>10.803308369352504</v>
      </c>
      <c r="G3058" s="48"/>
      <c r="H3058" s="48"/>
      <c r="I3058" s="48"/>
      <c r="J3058" s="48"/>
      <c r="L3058" s="65"/>
    </row>
    <row r="3059" spans="5:12">
      <c r="E3059" s="49">
        <v>45059.309027767245</v>
      </c>
      <c r="F3059" s="56">
        <v>10.803308369352504</v>
      </c>
      <c r="G3059" s="48"/>
      <c r="H3059" s="48"/>
      <c r="I3059" s="48"/>
      <c r="J3059" s="48"/>
      <c r="L3059" s="65"/>
    </row>
    <row r="3060" spans="5:12">
      <c r="E3060" s="49">
        <v>45059.312499989464</v>
      </c>
      <c r="F3060" s="56">
        <v>10.803308369352504</v>
      </c>
      <c r="G3060" s="48"/>
      <c r="H3060" s="48"/>
      <c r="I3060" s="48"/>
      <c r="J3060" s="48"/>
      <c r="L3060" s="65"/>
    </row>
    <row r="3061" spans="5:12">
      <c r="E3061" s="49">
        <v>45059.315972211683</v>
      </c>
      <c r="F3061" s="56">
        <v>10.803308369352504</v>
      </c>
      <c r="G3061" s="48"/>
      <c r="H3061" s="48"/>
      <c r="I3061" s="48"/>
      <c r="J3061" s="48"/>
      <c r="L3061" s="65"/>
    </row>
    <row r="3062" spans="5:12">
      <c r="E3062" s="49">
        <v>45059.319444433902</v>
      </c>
      <c r="F3062" s="56">
        <v>10.803308369352504</v>
      </c>
      <c r="G3062" s="48"/>
      <c r="H3062" s="48"/>
      <c r="I3062" s="48"/>
      <c r="J3062" s="48"/>
      <c r="L3062" s="65"/>
    </row>
    <row r="3063" spans="5:12">
      <c r="E3063" s="49">
        <v>45059.322916656121</v>
      </c>
      <c r="F3063" s="56">
        <v>10.803308369352504</v>
      </c>
      <c r="G3063" s="48"/>
      <c r="H3063" s="48"/>
      <c r="I3063" s="48"/>
      <c r="J3063" s="48"/>
      <c r="L3063" s="65"/>
    </row>
    <row r="3064" spans="5:12">
      <c r="E3064" s="49">
        <v>45059.32638887834</v>
      </c>
      <c r="F3064" s="56">
        <v>10.803308369352504</v>
      </c>
      <c r="G3064" s="48"/>
      <c r="H3064" s="48"/>
      <c r="I3064" s="48"/>
      <c r="J3064" s="48"/>
      <c r="L3064" s="65"/>
    </row>
    <row r="3065" spans="5:12">
      <c r="E3065" s="49">
        <v>45059.329861100559</v>
      </c>
      <c r="F3065" s="56">
        <v>10.803308369352504</v>
      </c>
      <c r="G3065" s="48"/>
      <c r="H3065" s="48"/>
      <c r="I3065" s="48"/>
      <c r="J3065" s="48"/>
      <c r="L3065" s="65"/>
    </row>
    <row r="3066" spans="5:12">
      <c r="E3066" s="49">
        <v>45059.333333322778</v>
      </c>
      <c r="F3066" s="56">
        <v>10.803308369352504</v>
      </c>
      <c r="G3066" s="48"/>
      <c r="H3066" s="48"/>
      <c r="I3066" s="48"/>
      <c r="J3066" s="48"/>
      <c r="L3066" s="65"/>
    </row>
    <row r="3067" spans="5:12">
      <c r="E3067" s="49">
        <v>45059.336805544997</v>
      </c>
      <c r="F3067" s="56">
        <v>10.803308369352504</v>
      </c>
      <c r="G3067" s="48"/>
      <c r="H3067" s="48"/>
      <c r="I3067" s="48"/>
      <c r="J3067" s="48"/>
      <c r="L3067" s="65"/>
    </row>
    <row r="3068" spans="5:12">
      <c r="E3068" s="49">
        <v>45059.340277767216</v>
      </c>
      <c r="F3068" s="56">
        <v>10.803308369352504</v>
      </c>
      <c r="G3068" s="48"/>
      <c r="H3068" s="48"/>
      <c r="I3068" s="48"/>
      <c r="J3068" s="48"/>
      <c r="L3068" s="65"/>
    </row>
    <row r="3069" spans="5:12">
      <c r="E3069" s="49">
        <v>45059.343749989435</v>
      </c>
      <c r="F3069" s="56">
        <v>10.803308369352504</v>
      </c>
      <c r="G3069" s="48"/>
      <c r="H3069" s="48"/>
      <c r="I3069" s="48"/>
      <c r="J3069" s="48"/>
      <c r="L3069" s="65"/>
    </row>
    <row r="3070" spans="5:12">
      <c r="E3070" s="49">
        <v>45059.347222211654</v>
      </c>
      <c r="F3070" s="56">
        <v>10.803308369352504</v>
      </c>
      <c r="G3070" s="48"/>
      <c r="H3070" s="48"/>
      <c r="I3070" s="48"/>
      <c r="J3070" s="48"/>
      <c r="L3070" s="65"/>
    </row>
    <row r="3071" spans="5:12">
      <c r="E3071" s="49">
        <v>45059.350694433873</v>
      </c>
      <c r="F3071" s="56">
        <v>10.803308369352504</v>
      </c>
      <c r="G3071" s="48"/>
      <c r="H3071" s="48"/>
      <c r="I3071" s="48"/>
      <c r="J3071" s="48"/>
      <c r="L3071" s="65"/>
    </row>
    <row r="3072" spans="5:12">
      <c r="E3072" s="49">
        <v>45059.354166656092</v>
      </c>
      <c r="F3072" s="56">
        <v>10.803308369352504</v>
      </c>
      <c r="G3072" s="48"/>
      <c r="H3072" s="48"/>
      <c r="I3072" s="48"/>
      <c r="J3072" s="48"/>
      <c r="L3072" s="65"/>
    </row>
    <row r="3073" spans="5:12">
      <c r="E3073" s="49">
        <v>45059.357638878311</v>
      </c>
      <c r="F3073" s="56">
        <v>10.803308369352504</v>
      </c>
      <c r="G3073" s="48"/>
      <c r="H3073" s="48"/>
      <c r="I3073" s="48"/>
      <c r="J3073" s="48"/>
      <c r="L3073" s="65"/>
    </row>
    <row r="3074" spans="5:12">
      <c r="E3074" s="49">
        <v>45059.36111110053</v>
      </c>
      <c r="F3074" s="56">
        <v>10.803308369352504</v>
      </c>
      <c r="G3074" s="48"/>
      <c r="H3074" s="48"/>
      <c r="I3074" s="48"/>
      <c r="J3074" s="48"/>
      <c r="L3074" s="65"/>
    </row>
    <row r="3075" spans="5:12">
      <c r="E3075" s="49">
        <v>45059.364583322749</v>
      </c>
      <c r="F3075" s="56">
        <v>10.803308369352504</v>
      </c>
      <c r="G3075" s="48"/>
      <c r="H3075" s="48"/>
      <c r="I3075" s="48"/>
      <c r="J3075" s="48"/>
      <c r="L3075" s="65"/>
    </row>
    <row r="3076" spans="5:12">
      <c r="E3076" s="49">
        <v>45059.368055544968</v>
      </c>
      <c r="F3076" s="56">
        <v>10.803308369352504</v>
      </c>
      <c r="G3076" s="48"/>
      <c r="H3076" s="48"/>
      <c r="I3076" s="48"/>
      <c r="J3076" s="48"/>
      <c r="L3076" s="65"/>
    </row>
    <row r="3077" spans="5:12">
      <c r="E3077" s="49">
        <v>45059.371527767187</v>
      </c>
      <c r="F3077" s="56">
        <v>10.803308369352504</v>
      </c>
      <c r="G3077" s="48"/>
      <c r="H3077" s="48"/>
      <c r="I3077" s="48"/>
      <c r="J3077" s="48"/>
      <c r="L3077" s="65"/>
    </row>
    <row r="3078" spans="5:12">
      <c r="E3078" s="49">
        <v>45059.374999989406</v>
      </c>
      <c r="F3078" s="56">
        <v>10.803308369352504</v>
      </c>
      <c r="G3078" s="48"/>
      <c r="H3078" s="48"/>
      <c r="I3078" s="48"/>
      <c r="J3078" s="48"/>
      <c r="L3078" s="65"/>
    </row>
    <row r="3079" spans="5:12">
      <c r="E3079" s="49">
        <v>45059.378472211625</v>
      </c>
      <c r="F3079" s="56">
        <v>10.803308369352504</v>
      </c>
      <c r="G3079" s="48"/>
      <c r="H3079" s="48"/>
      <c r="I3079" s="48"/>
      <c r="J3079" s="48"/>
      <c r="L3079" s="65"/>
    </row>
    <row r="3080" spans="5:12">
      <c r="E3080" s="49">
        <v>45059.381944433844</v>
      </c>
      <c r="F3080" s="56">
        <v>10.803308369352504</v>
      </c>
      <c r="G3080" s="48"/>
      <c r="H3080" s="48"/>
      <c r="I3080" s="48"/>
      <c r="J3080" s="48"/>
      <c r="L3080" s="65"/>
    </row>
    <row r="3081" spans="5:12">
      <c r="E3081" s="49">
        <v>45059.385416656063</v>
      </c>
      <c r="F3081" s="56">
        <v>10.803308369352504</v>
      </c>
      <c r="G3081" s="48"/>
      <c r="H3081" s="48"/>
      <c r="I3081" s="48"/>
      <c r="J3081" s="48"/>
      <c r="L3081" s="65"/>
    </row>
    <row r="3082" spans="5:12">
      <c r="E3082" s="49">
        <v>45059.388888878282</v>
      </c>
      <c r="F3082" s="56">
        <v>10.803308369352504</v>
      </c>
      <c r="G3082" s="48"/>
      <c r="H3082" s="48"/>
      <c r="I3082" s="48"/>
      <c r="J3082" s="48"/>
      <c r="L3082" s="65"/>
    </row>
    <row r="3083" spans="5:12">
      <c r="E3083" s="49">
        <v>45059.392361100501</v>
      </c>
      <c r="F3083" s="56">
        <v>10.803308369352504</v>
      </c>
      <c r="G3083" s="48"/>
      <c r="H3083" s="48"/>
      <c r="I3083" s="48"/>
      <c r="J3083" s="48"/>
      <c r="L3083" s="65"/>
    </row>
    <row r="3084" spans="5:12">
      <c r="E3084" s="49">
        <v>45059.39583332272</v>
      </c>
      <c r="F3084" s="56">
        <v>10.803308369352504</v>
      </c>
      <c r="G3084" s="48"/>
      <c r="H3084" s="48"/>
      <c r="I3084" s="48"/>
      <c r="J3084" s="48"/>
      <c r="L3084" s="65"/>
    </row>
    <row r="3085" spans="5:12">
      <c r="E3085" s="49">
        <v>45059.399305544939</v>
      </c>
      <c r="F3085" s="56">
        <v>10.803308369352504</v>
      </c>
      <c r="G3085" s="48"/>
      <c r="H3085" s="48"/>
      <c r="I3085" s="48"/>
      <c r="J3085" s="48"/>
      <c r="L3085" s="65"/>
    </row>
    <row r="3086" spans="5:12">
      <c r="E3086" s="49">
        <v>45059.402777767158</v>
      </c>
      <c r="F3086" s="56">
        <v>10.803308369352504</v>
      </c>
      <c r="G3086" s="48"/>
      <c r="H3086" s="48"/>
      <c r="I3086" s="48"/>
      <c r="J3086" s="48"/>
      <c r="L3086" s="65"/>
    </row>
    <row r="3087" spans="5:12">
      <c r="E3087" s="49">
        <v>45059.406249989377</v>
      </c>
      <c r="F3087" s="56">
        <v>10.803308369352504</v>
      </c>
      <c r="G3087" s="48"/>
      <c r="H3087" s="48"/>
      <c r="I3087" s="48"/>
      <c r="J3087" s="48"/>
      <c r="L3087" s="65"/>
    </row>
    <row r="3088" spans="5:12">
      <c r="E3088" s="49">
        <v>45059.409722211596</v>
      </c>
      <c r="F3088" s="56">
        <v>10.803308369352504</v>
      </c>
      <c r="G3088" s="48"/>
      <c r="H3088" s="48"/>
      <c r="I3088" s="48"/>
      <c r="J3088" s="48"/>
      <c r="L3088" s="65"/>
    </row>
    <row r="3089" spans="5:12">
      <c r="E3089" s="49">
        <v>45059.413194433815</v>
      </c>
      <c r="F3089" s="56">
        <v>10.803308369352504</v>
      </c>
      <c r="G3089" s="48"/>
      <c r="H3089" s="48"/>
      <c r="I3089" s="48"/>
      <c r="J3089" s="48"/>
      <c r="L3089" s="65"/>
    </row>
    <row r="3090" spans="5:12">
      <c r="E3090" s="49">
        <v>45059.416666656034</v>
      </c>
      <c r="F3090" s="56">
        <v>10.803308369352504</v>
      </c>
      <c r="G3090" s="48"/>
      <c r="H3090" s="48"/>
      <c r="I3090" s="48"/>
      <c r="J3090" s="48"/>
      <c r="L3090" s="65"/>
    </row>
    <row r="3091" spans="5:12">
      <c r="E3091" s="49">
        <v>45059.420138878253</v>
      </c>
      <c r="F3091" s="56">
        <v>10.803308369352504</v>
      </c>
      <c r="G3091" s="48"/>
      <c r="H3091" s="48"/>
      <c r="I3091" s="48"/>
      <c r="J3091" s="48"/>
      <c r="L3091" s="65"/>
    </row>
    <row r="3092" spans="5:12">
      <c r="E3092" s="49">
        <v>45059.423611100472</v>
      </c>
      <c r="F3092" s="56">
        <v>10.803308369352504</v>
      </c>
      <c r="G3092" s="48"/>
      <c r="H3092" s="48"/>
      <c r="I3092" s="48"/>
      <c r="J3092" s="48"/>
      <c r="L3092" s="65"/>
    </row>
    <row r="3093" spans="5:12">
      <c r="E3093" s="49">
        <v>45059.427083322691</v>
      </c>
      <c r="F3093" s="56">
        <v>10.803308369352504</v>
      </c>
      <c r="G3093" s="48"/>
      <c r="H3093" s="48"/>
      <c r="I3093" s="48"/>
      <c r="J3093" s="48"/>
      <c r="L3093" s="65"/>
    </row>
    <row r="3094" spans="5:12">
      <c r="E3094" s="49">
        <v>45059.43055554491</v>
      </c>
      <c r="F3094" s="56">
        <v>10.803308369352504</v>
      </c>
      <c r="G3094" s="48"/>
      <c r="H3094" s="48"/>
      <c r="I3094" s="48"/>
      <c r="J3094" s="48"/>
      <c r="L3094" s="65"/>
    </row>
    <row r="3095" spans="5:12">
      <c r="E3095" s="49">
        <v>45059.434027767129</v>
      </c>
      <c r="F3095" s="56">
        <v>10.803308369352504</v>
      </c>
      <c r="G3095" s="48"/>
      <c r="H3095" s="48"/>
      <c r="I3095" s="48"/>
      <c r="J3095" s="48"/>
      <c r="L3095" s="65"/>
    </row>
    <row r="3096" spans="5:12">
      <c r="E3096" s="49">
        <v>45059.437499989348</v>
      </c>
      <c r="F3096" s="56">
        <v>10.803308369352504</v>
      </c>
      <c r="G3096" s="48"/>
      <c r="H3096" s="48"/>
      <c r="I3096" s="48"/>
      <c r="J3096" s="48"/>
      <c r="L3096" s="65"/>
    </row>
    <row r="3097" spans="5:12">
      <c r="E3097" s="49">
        <v>45059.440972211567</v>
      </c>
      <c r="F3097" s="56">
        <v>10.803308369352504</v>
      </c>
      <c r="G3097" s="48"/>
      <c r="H3097" s="48"/>
      <c r="I3097" s="48"/>
      <c r="J3097" s="48"/>
      <c r="L3097" s="65"/>
    </row>
    <row r="3098" spans="5:12">
      <c r="E3098" s="49">
        <v>45059.444444433786</v>
      </c>
      <c r="F3098" s="56">
        <v>10.803308369352504</v>
      </c>
      <c r="G3098" s="48"/>
      <c r="H3098" s="48"/>
      <c r="I3098" s="48"/>
      <c r="J3098" s="48"/>
      <c r="L3098" s="65"/>
    </row>
    <row r="3099" spans="5:12">
      <c r="E3099" s="49">
        <v>45059.447916656005</v>
      </c>
      <c r="F3099" s="56">
        <v>10.803308369352504</v>
      </c>
      <c r="G3099" s="48"/>
      <c r="H3099" s="48"/>
      <c r="I3099" s="48"/>
      <c r="J3099" s="48"/>
      <c r="L3099" s="65"/>
    </row>
    <row r="3100" spans="5:12">
      <c r="E3100" s="49">
        <v>45059.451388878224</v>
      </c>
      <c r="F3100" s="56">
        <v>10.803308369352504</v>
      </c>
      <c r="G3100" s="48"/>
      <c r="H3100" s="48"/>
      <c r="I3100" s="48"/>
      <c r="J3100" s="48"/>
      <c r="L3100" s="65"/>
    </row>
    <row r="3101" spans="5:12">
      <c r="E3101" s="49">
        <v>45059.454861100443</v>
      </c>
      <c r="F3101" s="56">
        <v>10.803308369352504</v>
      </c>
      <c r="G3101" s="48"/>
      <c r="H3101" s="48"/>
      <c r="I3101" s="48"/>
      <c r="J3101" s="48"/>
      <c r="L3101" s="65"/>
    </row>
    <row r="3102" spans="5:12">
      <c r="E3102" s="49">
        <v>45059.458333322662</v>
      </c>
      <c r="F3102" s="56">
        <v>10.803308369352504</v>
      </c>
      <c r="G3102" s="48"/>
      <c r="H3102" s="48"/>
      <c r="I3102" s="48"/>
      <c r="J3102" s="48"/>
      <c r="L3102" s="65"/>
    </row>
    <row r="3103" spans="5:12">
      <c r="E3103" s="49">
        <v>45059.461805544881</v>
      </c>
      <c r="F3103" s="56">
        <v>10.803308369352504</v>
      </c>
      <c r="G3103" s="48"/>
      <c r="H3103" s="48"/>
      <c r="I3103" s="48"/>
      <c r="J3103" s="48"/>
      <c r="L3103" s="65"/>
    </row>
    <row r="3104" spans="5:12">
      <c r="E3104" s="49">
        <v>45059.4652777671</v>
      </c>
      <c r="F3104" s="56">
        <v>10.803308369352504</v>
      </c>
      <c r="G3104" s="48"/>
      <c r="H3104" s="48"/>
      <c r="I3104" s="48"/>
      <c r="J3104" s="48"/>
      <c r="L3104" s="65"/>
    </row>
    <row r="3105" spans="5:12">
      <c r="E3105" s="49">
        <v>45059.468749989319</v>
      </c>
      <c r="F3105" s="56">
        <v>10.803308369352504</v>
      </c>
      <c r="G3105" s="48"/>
      <c r="H3105" s="48"/>
      <c r="I3105" s="48"/>
      <c r="J3105" s="48"/>
      <c r="L3105" s="65"/>
    </row>
    <row r="3106" spans="5:12">
      <c r="E3106" s="49">
        <v>45059.472222211538</v>
      </c>
      <c r="F3106" s="56">
        <v>10.803308369352504</v>
      </c>
      <c r="G3106" s="48"/>
      <c r="H3106" s="48"/>
      <c r="I3106" s="48"/>
      <c r="J3106" s="48"/>
      <c r="L3106" s="65"/>
    </row>
    <row r="3107" spans="5:12">
      <c r="E3107" s="49">
        <v>45059.475694433757</v>
      </c>
      <c r="F3107" s="56">
        <v>10.803308369352504</v>
      </c>
      <c r="G3107" s="48"/>
      <c r="H3107" s="48"/>
      <c r="I3107" s="48"/>
      <c r="J3107" s="48"/>
      <c r="L3107" s="65"/>
    </row>
    <row r="3108" spans="5:12">
      <c r="E3108" s="49">
        <v>45059.479166655976</v>
      </c>
      <c r="F3108" s="56">
        <v>10.803308369352504</v>
      </c>
      <c r="G3108" s="48"/>
      <c r="H3108" s="48"/>
      <c r="I3108" s="48"/>
      <c r="J3108" s="48"/>
      <c r="L3108" s="65"/>
    </row>
    <row r="3109" spans="5:12">
      <c r="E3109" s="49">
        <v>45059.482638878195</v>
      </c>
      <c r="F3109" s="56">
        <v>10.803308369352504</v>
      </c>
      <c r="G3109" s="48"/>
      <c r="H3109" s="48"/>
      <c r="I3109" s="48"/>
      <c r="J3109" s="48"/>
      <c r="L3109" s="65"/>
    </row>
    <row r="3110" spans="5:12">
      <c r="E3110" s="49">
        <v>45059.486111100414</v>
      </c>
      <c r="F3110" s="56">
        <v>10.803308369352504</v>
      </c>
      <c r="G3110" s="48"/>
      <c r="H3110" s="48"/>
      <c r="I3110" s="48"/>
      <c r="J3110" s="48"/>
      <c r="L3110" s="65"/>
    </row>
    <row r="3111" spans="5:12">
      <c r="E3111" s="49">
        <v>45059.489583322633</v>
      </c>
      <c r="F3111" s="56">
        <v>10.803308369352504</v>
      </c>
      <c r="G3111" s="48"/>
      <c r="H3111" s="48"/>
      <c r="I3111" s="48"/>
      <c r="J3111" s="48"/>
      <c r="L3111" s="65"/>
    </row>
    <row r="3112" spans="5:12">
      <c r="E3112" s="49">
        <v>45059.493055544852</v>
      </c>
      <c r="F3112" s="56">
        <v>10.803308369352504</v>
      </c>
      <c r="G3112" s="48"/>
      <c r="H3112" s="48"/>
      <c r="I3112" s="48"/>
      <c r="J3112" s="48"/>
      <c r="L3112" s="65"/>
    </row>
    <row r="3113" spans="5:12">
      <c r="E3113" s="49">
        <v>45059.496527767071</v>
      </c>
      <c r="F3113" s="56">
        <v>10.803308369352504</v>
      </c>
      <c r="G3113" s="48"/>
      <c r="H3113" s="48"/>
      <c r="I3113" s="48"/>
      <c r="J3113" s="48"/>
      <c r="L3113" s="65"/>
    </row>
    <row r="3114" spans="5:12">
      <c r="E3114" s="49">
        <v>45059.49999998929</v>
      </c>
      <c r="F3114" s="56">
        <v>10.803308369352504</v>
      </c>
      <c r="G3114" s="48"/>
      <c r="H3114" s="48"/>
      <c r="I3114" s="48"/>
      <c r="J3114" s="48"/>
      <c r="L3114" s="65"/>
    </row>
    <row r="3115" spans="5:12">
      <c r="E3115" s="49">
        <v>45059.503472211509</v>
      </c>
      <c r="F3115" s="56">
        <v>10.803308369352504</v>
      </c>
      <c r="G3115" s="48"/>
      <c r="H3115" s="48"/>
      <c r="I3115" s="48"/>
      <c r="J3115" s="48"/>
      <c r="L3115" s="65"/>
    </row>
    <row r="3116" spans="5:12">
      <c r="E3116" s="49">
        <v>45059.506944433728</v>
      </c>
      <c r="F3116" s="56">
        <v>10.803308369352504</v>
      </c>
      <c r="G3116" s="48"/>
      <c r="H3116" s="48"/>
      <c r="I3116" s="48"/>
      <c r="J3116" s="48"/>
      <c r="L3116" s="65"/>
    </row>
    <row r="3117" spans="5:12">
      <c r="E3117" s="49">
        <v>45059.510416655947</v>
      </c>
      <c r="F3117" s="56">
        <v>10.803308369352504</v>
      </c>
      <c r="G3117" s="48"/>
      <c r="H3117" s="48"/>
      <c r="I3117" s="48"/>
      <c r="J3117" s="48"/>
      <c r="L3117" s="65"/>
    </row>
    <row r="3118" spans="5:12">
      <c r="E3118" s="49">
        <v>45059.513888878166</v>
      </c>
      <c r="F3118" s="56">
        <v>10.803308369352504</v>
      </c>
      <c r="G3118" s="48"/>
      <c r="H3118" s="48"/>
      <c r="I3118" s="48"/>
      <c r="J3118" s="48"/>
      <c r="L3118" s="65"/>
    </row>
    <row r="3119" spans="5:12">
      <c r="E3119" s="49">
        <v>45059.517361100385</v>
      </c>
      <c r="F3119" s="56">
        <v>10.803308369352504</v>
      </c>
      <c r="G3119" s="48"/>
      <c r="H3119" s="48"/>
      <c r="I3119" s="48"/>
      <c r="J3119" s="48"/>
      <c r="L3119" s="65"/>
    </row>
    <row r="3120" spans="5:12">
      <c r="E3120" s="49">
        <v>45059.520833322604</v>
      </c>
      <c r="F3120" s="56">
        <v>10.803308369352504</v>
      </c>
      <c r="G3120" s="48"/>
      <c r="H3120" s="48"/>
      <c r="I3120" s="48"/>
      <c r="J3120" s="48"/>
      <c r="L3120" s="65"/>
    </row>
    <row r="3121" spans="5:12">
      <c r="E3121" s="49">
        <v>45059.524305544823</v>
      </c>
      <c r="F3121" s="56">
        <v>10.803308369352504</v>
      </c>
      <c r="G3121" s="48"/>
      <c r="H3121" s="48"/>
      <c r="I3121" s="48"/>
      <c r="J3121" s="48"/>
      <c r="L3121" s="65"/>
    </row>
    <row r="3122" spans="5:12">
      <c r="E3122" s="49">
        <v>45059.527777767042</v>
      </c>
      <c r="F3122" s="56">
        <v>10.803308369352504</v>
      </c>
      <c r="G3122" s="48"/>
      <c r="H3122" s="48"/>
      <c r="I3122" s="48"/>
      <c r="J3122" s="48"/>
      <c r="L3122" s="65"/>
    </row>
    <row r="3123" spans="5:12">
      <c r="E3123" s="49">
        <v>45059.531249989261</v>
      </c>
      <c r="F3123" s="56">
        <v>10.803308369352504</v>
      </c>
      <c r="G3123" s="48"/>
      <c r="H3123" s="48"/>
      <c r="I3123" s="48"/>
      <c r="J3123" s="48"/>
      <c r="L3123" s="65"/>
    </row>
    <row r="3124" spans="5:12">
      <c r="E3124" s="49">
        <v>45059.53472221148</v>
      </c>
      <c r="F3124" s="56">
        <v>10.803308369352504</v>
      </c>
      <c r="G3124" s="48"/>
      <c r="H3124" s="48"/>
      <c r="I3124" s="48"/>
      <c r="J3124" s="48"/>
      <c r="L3124" s="65"/>
    </row>
    <row r="3125" spans="5:12">
      <c r="E3125" s="49">
        <v>45059.538194433699</v>
      </c>
      <c r="F3125" s="56">
        <v>10.803308369352504</v>
      </c>
      <c r="G3125" s="48"/>
      <c r="H3125" s="48"/>
      <c r="I3125" s="48"/>
      <c r="J3125" s="48"/>
      <c r="L3125" s="65"/>
    </row>
    <row r="3126" spans="5:12">
      <c r="E3126" s="49">
        <v>45059.541666655918</v>
      </c>
      <c r="F3126" s="56">
        <v>10.803308369352504</v>
      </c>
      <c r="G3126" s="48"/>
      <c r="H3126" s="48"/>
      <c r="I3126" s="48"/>
      <c r="J3126" s="48"/>
      <c r="L3126" s="65"/>
    </row>
    <row r="3127" spans="5:12">
      <c r="E3127" s="49">
        <v>45059.545138878137</v>
      </c>
      <c r="F3127" s="56">
        <v>10.803308369352504</v>
      </c>
      <c r="G3127" s="48"/>
      <c r="H3127" s="48"/>
      <c r="I3127" s="48"/>
      <c r="J3127" s="48"/>
      <c r="L3127" s="65"/>
    </row>
    <row r="3128" spans="5:12">
      <c r="E3128" s="49">
        <v>45059.548611100356</v>
      </c>
      <c r="F3128" s="56">
        <v>10.803308369352504</v>
      </c>
      <c r="G3128" s="48"/>
      <c r="H3128" s="48"/>
      <c r="I3128" s="48"/>
      <c r="J3128" s="48"/>
      <c r="L3128" s="65"/>
    </row>
    <row r="3129" spans="5:12">
      <c r="E3129" s="49">
        <v>45059.552083322575</v>
      </c>
      <c r="F3129" s="56">
        <v>10.803308369352504</v>
      </c>
      <c r="G3129" s="48"/>
      <c r="H3129" s="48"/>
      <c r="I3129" s="48"/>
      <c r="J3129" s="48"/>
      <c r="L3129" s="65"/>
    </row>
    <row r="3130" spans="5:12">
      <c r="E3130" s="49">
        <v>45059.555555544794</v>
      </c>
      <c r="F3130" s="56">
        <v>10.803308369352504</v>
      </c>
      <c r="G3130" s="48"/>
      <c r="H3130" s="48"/>
      <c r="I3130" s="48"/>
      <c r="J3130" s="48"/>
      <c r="L3130" s="65"/>
    </row>
    <row r="3131" spans="5:12">
      <c r="E3131" s="49">
        <v>45059.559027767013</v>
      </c>
      <c r="F3131" s="56">
        <v>10.803308369352504</v>
      </c>
      <c r="G3131" s="48"/>
      <c r="H3131" s="48"/>
      <c r="I3131" s="48"/>
      <c r="J3131" s="48"/>
      <c r="L3131" s="65"/>
    </row>
    <row r="3132" spans="5:12">
      <c r="E3132" s="49">
        <v>45059.562499989232</v>
      </c>
      <c r="F3132" s="56">
        <v>10.803308369352504</v>
      </c>
      <c r="G3132" s="48"/>
      <c r="H3132" s="48"/>
      <c r="I3132" s="48"/>
      <c r="J3132" s="48"/>
      <c r="L3132" s="65"/>
    </row>
    <row r="3133" spans="5:12">
      <c r="E3133" s="49">
        <v>45059.565972211451</v>
      </c>
      <c r="F3133" s="56">
        <v>10.803308369352504</v>
      </c>
      <c r="G3133" s="48"/>
      <c r="H3133" s="48"/>
      <c r="I3133" s="48"/>
      <c r="J3133" s="48"/>
      <c r="L3133" s="65"/>
    </row>
    <row r="3134" spans="5:12">
      <c r="E3134" s="49">
        <v>45059.56944443367</v>
      </c>
      <c r="F3134" s="56">
        <v>10.803308369352504</v>
      </c>
      <c r="G3134" s="48"/>
      <c r="H3134" s="48"/>
      <c r="I3134" s="48"/>
      <c r="J3134" s="48"/>
      <c r="L3134" s="65"/>
    </row>
    <row r="3135" spans="5:12">
      <c r="E3135" s="49">
        <v>45059.572916655889</v>
      </c>
      <c r="F3135" s="56">
        <v>10.803308369352504</v>
      </c>
      <c r="G3135" s="48"/>
      <c r="H3135" s="48"/>
      <c r="I3135" s="48"/>
      <c r="J3135" s="48"/>
      <c r="L3135" s="65"/>
    </row>
    <row r="3136" spans="5:12">
      <c r="E3136" s="49">
        <v>45059.576388878108</v>
      </c>
      <c r="F3136" s="56">
        <v>10.803308369352504</v>
      </c>
      <c r="G3136" s="48"/>
      <c r="H3136" s="48"/>
      <c r="I3136" s="48"/>
      <c r="J3136" s="48"/>
      <c r="L3136" s="65"/>
    </row>
    <row r="3137" spans="5:12">
      <c r="E3137" s="49">
        <v>45059.579861100327</v>
      </c>
      <c r="F3137" s="56">
        <v>10.803308369352504</v>
      </c>
      <c r="G3137" s="48"/>
      <c r="H3137" s="48"/>
      <c r="I3137" s="48"/>
      <c r="J3137" s="48"/>
      <c r="L3137" s="65"/>
    </row>
    <row r="3138" spans="5:12">
      <c r="E3138" s="49">
        <v>45059.583333322546</v>
      </c>
      <c r="F3138" s="56">
        <v>10.803308369352504</v>
      </c>
      <c r="G3138" s="48"/>
      <c r="H3138" s="48"/>
      <c r="I3138" s="48"/>
      <c r="J3138" s="48"/>
      <c r="L3138" s="65"/>
    </row>
    <row r="3139" spans="5:12">
      <c r="E3139" s="49">
        <v>45059.586805544765</v>
      </c>
      <c r="F3139" s="56">
        <v>10.803308369352504</v>
      </c>
      <c r="G3139" s="48"/>
      <c r="H3139" s="48"/>
      <c r="I3139" s="48"/>
      <c r="J3139" s="48"/>
      <c r="L3139" s="65"/>
    </row>
    <row r="3140" spans="5:12">
      <c r="E3140" s="49">
        <v>45059.590277766983</v>
      </c>
      <c r="F3140" s="56">
        <v>10.803308369352504</v>
      </c>
      <c r="G3140" s="48"/>
      <c r="H3140" s="48"/>
      <c r="I3140" s="48"/>
      <c r="J3140" s="48"/>
      <c r="L3140" s="65"/>
    </row>
    <row r="3141" spans="5:12">
      <c r="E3141" s="49">
        <v>45059.593749989202</v>
      </c>
      <c r="F3141" s="56">
        <v>10.803308369352504</v>
      </c>
      <c r="G3141" s="48"/>
      <c r="H3141" s="48"/>
      <c r="I3141" s="48"/>
      <c r="J3141" s="48"/>
      <c r="L3141" s="65"/>
    </row>
    <row r="3142" spans="5:12">
      <c r="E3142" s="49">
        <v>45059.597222211421</v>
      </c>
      <c r="F3142" s="56">
        <v>10.803308369352504</v>
      </c>
      <c r="G3142" s="48"/>
      <c r="H3142" s="48"/>
      <c r="I3142" s="48"/>
      <c r="J3142" s="48"/>
      <c r="L3142" s="65"/>
    </row>
    <row r="3143" spans="5:12">
      <c r="E3143" s="49">
        <v>45059.60069443364</v>
      </c>
      <c r="F3143" s="56">
        <v>10.803308369352504</v>
      </c>
      <c r="G3143" s="48"/>
      <c r="H3143" s="48"/>
      <c r="I3143" s="48"/>
      <c r="J3143" s="48"/>
      <c r="L3143" s="65"/>
    </row>
    <row r="3144" spans="5:12">
      <c r="E3144" s="49">
        <v>45059.604166655859</v>
      </c>
      <c r="F3144" s="56">
        <v>15.527221978635037</v>
      </c>
      <c r="G3144" s="48"/>
      <c r="H3144" s="48"/>
      <c r="I3144" s="48"/>
      <c r="J3144" s="48"/>
      <c r="L3144" s="65"/>
    </row>
    <row r="3145" spans="5:12">
      <c r="E3145" s="49">
        <v>45059.607638878078</v>
      </c>
      <c r="F3145" s="56">
        <v>15.527221978635037</v>
      </c>
      <c r="G3145" s="48"/>
      <c r="H3145" s="48"/>
      <c r="I3145" s="48"/>
      <c r="J3145" s="48"/>
      <c r="L3145" s="65"/>
    </row>
    <row r="3146" spans="5:12">
      <c r="E3146" s="49">
        <v>45059.611111100297</v>
      </c>
      <c r="F3146" s="56">
        <v>15.527221978635037</v>
      </c>
      <c r="G3146" s="48"/>
      <c r="H3146" s="48"/>
      <c r="I3146" s="48"/>
      <c r="J3146" s="48"/>
      <c r="L3146" s="65"/>
    </row>
    <row r="3147" spans="5:12">
      <c r="E3147" s="49">
        <v>45059.614583322516</v>
      </c>
      <c r="F3147" s="56">
        <v>15.527221978635037</v>
      </c>
      <c r="G3147" s="48"/>
      <c r="H3147" s="48"/>
      <c r="I3147" s="48"/>
      <c r="J3147" s="48"/>
      <c r="L3147" s="65"/>
    </row>
    <row r="3148" spans="5:12">
      <c r="E3148" s="49">
        <v>45059.618055544735</v>
      </c>
      <c r="F3148" s="56">
        <v>15.527221978635037</v>
      </c>
      <c r="G3148" s="48"/>
      <c r="H3148" s="48"/>
      <c r="I3148" s="48"/>
      <c r="J3148" s="48"/>
      <c r="L3148" s="65"/>
    </row>
    <row r="3149" spans="5:12">
      <c r="E3149" s="49">
        <v>45059.621527766954</v>
      </c>
      <c r="F3149" s="56">
        <v>15.527221978635037</v>
      </c>
      <c r="G3149" s="48"/>
      <c r="H3149" s="48"/>
      <c r="I3149" s="48"/>
      <c r="J3149" s="48"/>
      <c r="L3149" s="65"/>
    </row>
    <row r="3150" spans="5:12">
      <c r="E3150" s="49">
        <v>45059.624999989173</v>
      </c>
      <c r="F3150" s="56">
        <v>15.527221978635037</v>
      </c>
      <c r="G3150" s="48"/>
      <c r="H3150" s="48"/>
      <c r="I3150" s="48"/>
      <c r="J3150" s="48"/>
      <c r="L3150" s="65"/>
    </row>
    <row r="3151" spans="5:12">
      <c r="E3151" s="49">
        <v>45059.628472211392</v>
      </c>
      <c r="F3151" s="56">
        <v>8.7444763734777275</v>
      </c>
      <c r="G3151" s="48"/>
      <c r="H3151" s="48"/>
      <c r="I3151" s="48"/>
      <c r="J3151" s="48"/>
      <c r="L3151" s="65"/>
    </row>
    <row r="3152" spans="5:12">
      <c r="E3152" s="49">
        <v>45059.631944433611</v>
      </c>
      <c r="F3152" s="56">
        <v>8.7444763734777275</v>
      </c>
      <c r="G3152" s="48"/>
      <c r="H3152" s="48"/>
      <c r="I3152" s="48"/>
      <c r="J3152" s="48"/>
      <c r="L3152" s="65"/>
    </row>
    <row r="3153" spans="5:12">
      <c r="E3153" s="49">
        <v>45059.63541665583</v>
      </c>
      <c r="F3153" s="56">
        <v>8.7444763734777275</v>
      </c>
      <c r="G3153" s="48"/>
      <c r="H3153" s="48"/>
      <c r="I3153" s="48"/>
      <c r="J3153" s="48"/>
      <c r="L3153" s="65"/>
    </row>
    <row r="3154" spans="5:12">
      <c r="E3154" s="49">
        <v>45059.638888878049</v>
      </c>
      <c r="F3154" s="56">
        <v>8.7444763734777275</v>
      </c>
      <c r="G3154" s="48"/>
      <c r="H3154" s="48"/>
      <c r="I3154" s="48"/>
      <c r="J3154" s="48"/>
      <c r="L3154" s="65"/>
    </row>
    <row r="3155" spans="5:12">
      <c r="E3155" s="49">
        <v>45059.642361100268</v>
      </c>
      <c r="F3155" s="56">
        <v>8.7444763734777275</v>
      </c>
      <c r="G3155" s="48"/>
      <c r="H3155" s="48"/>
      <c r="I3155" s="48"/>
      <c r="J3155" s="48"/>
      <c r="L3155" s="65"/>
    </row>
    <row r="3156" spans="5:12">
      <c r="E3156" s="49">
        <v>45059.645833322487</v>
      </c>
      <c r="F3156" s="56">
        <v>8.7444763734777275</v>
      </c>
      <c r="G3156" s="48"/>
      <c r="H3156" s="48"/>
      <c r="I3156" s="48"/>
      <c r="J3156" s="48"/>
      <c r="L3156" s="65"/>
    </row>
    <row r="3157" spans="5:12">
      <c r="E3157" s="49">
        <v>45059.649305544706</v>
      </c>
      <c r="F3157" s="56">
        <v>8.7444763734777275</v>
      </c>
      <c r="G3157" s="48"/>
      <c r="H3157" s="48"/>
      <c r="I3157" s="48"/>
      <c r="J3157" s="48"/>
      <c r="L3157" s="65"/>
    </row>
    <row r="3158" spans="5:12">
      <c r="E3158" s="49">
        <v>45059.652777766925</v>
      </c>
      <c r="F3158" s="56">
        <v>8.7444763734777275</v>
      </c>
      <c r="G3158" s="48"/>
      <c r="H3158" s="48"/>
      <c r="I3158" s="48"/>
      <c r="J3158" s="48"/>
      <c r="L3158" s="65"/>
    </row>
    <row r="3159" spans="5:12">
      <c r="E3159" s="49">
        <v>45059.656249989144</v>
      </c>
      <c r="F3159" s="56">
        <v>8.7444763734777275</v>
      </c>
      <c r="G3159" s="48"/>
      <c r="H3159" s="48"/>
      <c r="I3159" s="48"/>
      <c r="J3159" s="48"/>
      <c r="L3159" s="65"/>
    </row>
    <row r="3160" spans="5:12">
      <c r="E3160" s="49">
        <v>45059.659722211363</v>
      </c>
      <c r="F3160" s="56">
        <v>8.7444763734777275</v>
      </c>
      <c r="G3160" s="48"/>
      <c r="H3160" s="48"/>
      <c r="I3160" s="48"/>
      <c r="J3160" s="48"/>
      <c r="L3160" s="65"/>
    </row>
    <row r="3161" spans="5:12">
      <c r="E3161" s="49">
        <v>45059.663194433582</v>
      </c>
      <c r="F3161" s="56">
        <v>8.7444763734777275</v>
      </c>
      <c r="G3161" s="48"/>
      <c r="H3161" s="48"/>
      <c r="I3161" s="48"/>
      <c r="J3161" s="48"/>
      <c r="L3161" s="65"/>
    </row>
    <row r="3162" spans="5:12">
      <c r="E3162" s="49">
        <v>45059.666666655801</v>
      </c>
      <c r="F3162" s="56">
        <v>8.7444763734777275</v>
      </c>
      <c r="G3162" s="48"/>
      <c r="H3162" s="48"/>
      <c r="I3162" s="48"/>
      <c r="J3162" s="48"/>
      <c r="L3162" s="65"/>
    </row>
    <row r="3163" spans="5:12">
      <c r="E3163" s="49">
        <v>45059.67013887802</v>
      </c>
      <c r="F3163" s="56">
        <v>4.7239136092825333</v>
      </c>
      <c r="G3163" s="48"/>
      <c r="H3163" s="48"/>
      <c r="I3163" s="48"/>
      <c r="J3163" s="48"/>
      <c r="L3163" s="65"/>
    </row>
    <row r="3164" spans="5:12">
      <c r="E3164" s="49">
        <v>45059.673611100239</v>
      </c>
      <c r="F3164" s="56">
        <v>4.7239136092825333</v>
      </c>
      <c r="G3164" s="48"/>
      <c r="H3164" s="48"/>
      <c r="I3164" s="48"/>
      <c r="J3164" s="48"/>
      <c r="L3164" s="65"/>
    </row>
    <row r="3165" spans="5:12">
      <c r="E3165" s="49">
        <v>45059.677083322458</v>
      </c>
      <c r="F3165" s="56">
        <v>4.7239136092825333</v>
      </c>
      <c r="G3165" s="48"/>
      <c r="H3165" s="48"/>
      <c r="I3165" s="48"/>
      <c r="J3165" s="48"/>
      <c r="L3165" s="65"/>
    </row>
    <row r="3166" spans="5:12">
      <c r="E3166" s="49">
        <v>45059.680555544677</v>
      </c>
      <c r="F3166" s="56">
        <v>4.7239136092825333</v>
      </c>
      <c r="G3166" s="48"/>
      <c r="H3166" s="48"/>
      <c r="I3166" s="48"/>
      <c r="J3166" s="48"/>
      <c r="L3166" s="65"/>
    </row>
    <row r="3167" spans="5:12">
      <c r="E3167" s="49">
        <v>45059.684027766896</v>
      </c>
      <c r="F3167" s="56">
        <v>4.7239136092825333</v>
      </c>
      <c r="G3167" s="48"/>
      <c r="H3167" s="48"/>
      <c r="I3167" s="48"/>
      <c r="J3167" s="48"/>
      <c r="L3167" s="65"/>
    </row>
    <row r="3168" spans="5:12">
      <c r="E3168" s="49">
        <v>45059.687499989115</v>
      </c>
      <c r="F3168" s="56">
        <v>4.7239136092825333</v>
      </c>
      <c r="G3168" s="48"/>
      <c r="H3168" s="48"/>
      <c r="I3168" s="48"/>
      <c r="J3168" s="48"/>
      <c r="L3168" s="65"/>
    </row>
    <row r="3169" spans="5:12">
      <c r="E3169" s="49">
        <v>45059.690972211334</v>
      </c>
      <c r="F3169" s="56">
        <v>4.7239136092825333</v>
      </c>
      <c r="G3169" s="48"/>
      <c r="H3169" s="48"/>
      <c r="I3169" s="48"/>
      <c r="J3169" s="48"/>
      <c r="L3169" s="65"/>
    </row>
    <row r="3170" spans="5:12">
      <c r="E3170" s="49">
        <v>45059.694444433553</v>
      </c>
      <c r="F3170" s="56">
        <v>4.7239136092825333</v>
      </c>
      <c r="G3170" s="48"/>
      <c r="H3170" s="48"/>
      <c r="I3170" s="48"/>
      <c r="J3170" s="48"/>
      <c r="L3170" s="65"/>
    </row>
    <row r="3171" spans="5:12">
      <c r="E3171" s="49">
        <v>45059.697916655772</v>
      </c>
      <c r="F3171" s="56">
        <v>4.7239136092825333</v>
      </c>
      <c r="G3171" s="48"/>
      <c r="H3171" s="48"/>
      <c r="I3171" s="48"/>
      <c r="J3171" s="48"/>
      <c r="L3171" s="65"/>
    </row>
    <row r="3172" spans="5:12">
      <c r="E3172" s="49">
        <v>45059.701388877991</v>
      </c>
      <c r="F3172" s="56">
        <v>4.7239136092825333</v>
      </c>
      <c r="G3172" s="48"/>
      <c r="H3172" s="48"/>
      <c r="I3172" s="48"/>
      <c r="J3172" s="48"/>
      <c r="L3172" s="65"/>
    </row>
    <row r="3173" spans="5:12">
      <c r="E3173" s="49">
        <v>45059.70486110021</v>
      </c>
      <c r="F3173" s="56">
        <v>4.7239136092825333</v>
      </c>
      <c r="G3173" s="48"/>
      <c r="H3173" s="48"/>
      <c r="I3173" s="48"/>
      <c r="J3173" s="48"/>
      <c r="L3173" s="65"/>
    </row>
    <row r="3174" spans="5:12">
      <c r="E3174" s="49">
        <v>45059.708333322429</v>
      </c>
      <c r="F3174" s="56">
        <v>4.7239136092825333</v>
      </c>
      <c r="G3174" s="48"/>
      <c r="H3174" s="48"/>
      <c r="I3174" s="48"/>
      <c r="J3174" s="48"/>
      <c r="L3174" s="65"/>
    </row>
    <row r="3175" spans="5:12">
      <c r="E3175" s="49">
        <v>45059.711805544648</v>
      </c>
      <c r="F3175" s="56">
        <v>4.7239136092825333</v>
      </c>
      <c r="G3175" s="48"/>
      <c r="H3175" s="48"/>
      <c r="I3175" s="48"/>
      <c r="J3175" s="48"/>
      <c r="L3175" s="65"/>
    </row>
    <row r="3176" spans="5:12">
      <c r="E3176" s="49">
        <v>45059.715277766867</v>
      </c>
      <c r="F3176" s="56">
        <v>4.7239136092825333</v>
      </c>
      <c r="G3176" s="48"/>
      <c r="H3176" s="48"/>
      <c r="I3176" s="48"/>
      <c r="J3176" s="48"/>
      <c r="L3176" s="65"/>
    </row>
    <row r="3177" spans="5:12">
      <c r="E3177" s="49">
        <v>45059.718749989086</v>
      </c>
      <c r="F3177" s="56">
        <v>4.7239136092825333</v>
      </c>
      <c r="G3177" s="48"/>
      <c r="H3177" s="48"/>
      <c r="I3177" s="48"/>
      <c r="J3177" s="48"/>
      <c r="L3177" s="65"/>
    </row>
    <row r="3178" spans="5:12">
      <c r="E3178" s="49">
        <v>45059.722222211305</v>
      </c>
      <c r="F3178" s="56">
        <v>4.7239136092825333</v>
      </c>
      <c r="G3178" s="48"/>
      <c r="H3178" s="48"/>
      <c r="I3178" s="48"/>
      <c r="J3178" s="48"/>
      <c r="L3178" s="65"/>
    </row>
    <row r="3179" spans="5:12">
      <c r="E3179" s="49">
        <v>45059.725694433524</v>
      </c>
      <c r="F3179" s="56">
        <v>4.7239136092825333</v>
      </c>
      <c r="G3179" s="48"/>
      <c r="H3179" s="48"/>
      <c r="I3179" s="48"/>
      <c r="J3179" s="48"/>
      <c r="L3179" s="65"/>
    </row>
    <row r="3180" spans="5:12">
      <c r="E3180" s="49">
        <v>45059.729166655743</v>
      </c>
      <c r="F3180" s="56">
        <v>4.7239136092825333</v>
      </c>
      <c r="G3180" s="48"/>
      <c r="H3180" s="48"/>
      <c r="I3180" s="48"/>
      <c r="J3180" s="48"/>
      <c r="L3180" s="65"/>
    </row>
    <row r="3181" spans="5:12">
      <c r="E3181" s="49">
        <v>45059.732638877962</v>
      </c>
      <c r="F3181" s="56">
        <v>4.7239136092825333</v>
      </c>
      <c r="G3181" s="48"/>
      <c r="H3181" s="48"/>
      <c r="I3181" s="48"/>
      <c r="J3181" s="48"/>
      <c r="L3181" s="65"/>
    </row>
    <row r="3182" spans="5:12">
      <c r="E3182" s="49">
        <v>45059.736111100181</v>
      </c>
      <c r="F3182" s="56">
        <v>4.7239136092825333</v>
      </c>
      <c r="G3182" s="48"/>
      <c r="H3182" s="48"/>
      <c r="I3182" s="48"/>
      <c r="J3182" s="48"/>
      <c r="L3182" s="65"/>
    </row>
    <row r="3183" spans="5:12">
      <c r="E3183" s="49">
        <v>45059.7395833224</v>
      </c>
      <c r="F3183" s="56">
        <v>4.7239136092825333</v>
      </c>
      <c r="G3183" s="48"/>
      <c r="H3183" s="48"/>
      <c r="I3183" s="48"/>
      <c r="J3183" s="48"/>
      <c r="L3183" s="65"/>
    </row>
    <row r="3184" spans="5:12">
      <c r="E3184" s="49">
        <v>45059.743055544619</v>
      </c>
      <c r="F3184" s="56">
        <v>4.7239136092825333</v>
      </c>
      <c r="G3184" s="48"/>
      <c r="H3184" s="48"/>
      <c r="I3184" s="48"/>
      <c r="J3184" s="48"/>
      <c r="L3184" s="65"/>
    </row>
    <row r="3185" spans="5:12">
      <c r="E3185" s="49">
        <v>45059.746527766838</v>
      </c>
      <c r="F3185" s="56">
        <v>4.7239136092825333</v>
      </c>
      <c r="G3185" s="48"/>
      <c r="H3185" s="48"/>
      <c r="I3185" s="48"/>
      <c r="J3185" s="48"/>
      <c r="L3185" s="65"/>
    </row>
    <row r="3186" spans="5:12">
      <c r="E3186" s="49">
        <v>45059.749999989057</v>
      </c>
      <c r="F3186" s="56">
        <v>4.7239136092825333</v>
      </c>
      <c r="G3186" s="48"/>
      <c r="H3186" s="48"/>
      <c r="I3186" s="48"/>
      <c r="J3186" s="48"/>
      <c r="L3186" s="65"/>
    </row>
    <row r="3187" spans="5:12">
      <c r="E3187" s="49">
        <v>45059.753472211276</v>
      </c>
      <c r="F3187" s="56">
        <v>4.7239136092825333</v>
      </c>
      <c r="G3187" s="48"/>
      <c r="H3187" s="48"/>
      <c r="I3187" s="48"/>
      <c r="J3187" s="48"/>
      <c r="L3187" s="65"/>
    </row>
    <row r="3188" spans="5:12">
      <c r="E3188" s="49">
        <v>45059.756944433495</v>
      </c>
      <c r="F3188" s="56">
        <v>4.7239136092825333</v>
      </c>
      <c r="G3188" s="48"/>
      <c r="H3188" s="48"/>
      <c r="I3188" s="48"/>
      <c r="J3188" s="48"/>
      <c r="L3188" s="65"/>
    </row>
    <row r="3189" spans="5:12">
      <c r="E3189" s="49">
        <v>45059.760416655714</v>
      </c>
      <c r="F3189" s="56">
        <v>4.7239136092825333</v>
      </c>
      <c r="G3189" s="48"/>
      <c r="H3189" s="48"/>
      <c r="I3189" s="48"/>
      <c r="J3189" s="48"/>
      <c r="L3189" s="65"/>
    </row>
    <row r="3190" spans="5:12">
      <c r="E3190" s="49">
        <v>45059.763888877933</v>
      </c>
      <c r="F3190" s="56">
        <v>4.7239136092825333</v>
      </c>
      <c r="G3190" s="48"/>
      <c r="H3190" s="48"/>
      <c r="I3190" s="48"/>
      <c r="J3190" s="48"/>
      <c r="L3190" s="65"/>
    </row>
    <row r="3191" spans="5:12">
      <c r="E3191" s="49">
        <v>45059.767361100152</v>
      </c>
      <c r="F3191" s="56">
        <v>4.7239136092825333</v>
      </c>
      <c r="G3191" s="48"/>
      <c r="H3191" s="48"/>
      <c r="I3191" s="48"/>
      <c r="J3191" s="48"/>
      <c r="L3191" s="65"/>
    </row>
    <row r="3192" spans="5:12">
      <c r="E3192" s="49">
        <v>45059.770833322371</v>
      </c>
      <c r="F3192" s="56">
        <v>4.7239136092825333</v>
      </c>
      <c r="G3192" s="48"/>
      <c r="H3192" s="48"/>
      <c r="I3192" s="48"/>
      <c r="J3192" s="48"/>
      <c r="L3192" s="65"/>
    </row>
    <row r="3193" spans="5:12">
      <c r="E3193" s="49">
        <v>45059.77430554459</v>
      </c>
      <c r="F3193" s="56">
        <v>4.7239136092825333</v>
      </c>
      <c r="G3193" s="48"/>
      <c r="H3193" s="48"/>
      <c r="I3193" s="48"/>
      <c r="J3193" s="48"/>
      <c r="L3193" s="65"/>
    </row>
    <row r="3194" spans="5:12">
      <c r="E3194" s="49">
        <v>45059.777777766809</v>
      </c>
      <c r="F3194" s="56">
        <v>4.7239136092825333</v>
      </c>
      <c r="G3194" s="48"/>
      <c r="H3194" s="48"/>
      <c r="I3194" s="48"/>
      <c r="J3194" s="48"/>
      <c r="L3194" s="65"/>
    </row>
    <row r="3195" spans="5:12">
      <c r="E3195" s="49">
        <v>45059.781249989028</v>
      </c>
      <c r="F3195" s="56">
        <v>4.7239136092825333</v>
      </c>
      <c r="G3195" s="48"/>
      <c r="H3195" s="48"/>
      <c r="I3195" s="48"/>
      <c r="J3195" s="48"/>
      <c r="L3195" s="65"/>
    </row>
    <row r="3196" spans="5:12">
      <c r="E3196" s="49">
        <v>45059.784722211247</v>
      </c>
      <c r="F3196" s="56">
        <v>4.7239136092825333</v>
      </c>
      <c r="G3196" s="48"/>
      <c r="H3196" s="48"/>
      <c r="I3196" s="48"/>
      <c r="J3196" s="48"/>
      <c r="L3196" s="65"/>
    </row>
    <row r="3197" spans="5:12">
      <c r="E3197" s="49">
        <v>45059.788194433466</v>
      </c>
      <c r="F3197" s="56">
        <v>4.7239136092825333</v>
      </c>
      <c r="G3197" s="48"/>
      <c r="H3197" s="48"/>
      <c r="I3197" s="48"/>
      <c r="J3197" s="48"/>
      <c r="L3197" s="65"/>
    </row>
    <row r="3198" spans="5:12">
      <c r="E3198" s="49">
        <v>45059.791666655685</v>
      </c>
      <c r="F3198" s="56">
        <v>4.7239136092825333</v>
      </c>
      <c r="G3198" s="48"/>
      <c r="H3198" s="48"/>
      <c r="I3198" s="48"/>
      <c r="J3198" s="48"/>
      <c r="L3198" s="65"/>
    </row>
    <row r="3199" spans="5:12">
      <c r="E3199" s="49">
        <v>45059.795138877904</v>
      </c>
      <c r="F3199" s="56">
        <v>4.7239136092825333</v>
      </c>
      <c r="G3199" s="48"/>
      <c r="H3199" s="48"/>
      <c r="I3199" s="48"/>
      <c r="J3199" s="48"/>
      <c r="L3199" s="65"/>
    </row>
    <row r="3200" spans="5:12">
      <c r="E3200" s="49">
        <v>45059.798611100123</v>
      </c>
      <c r="F3200" s="56">
        <v>4.7239136092825333</v>
      </c>
      <c r="G3200" s="48"/>
      <c r="H3200" s="48"/>
      <c r="I3200" s="48"/>
      <c r="J3200" s="48"/>
      <c r="L3200" s="65"/>
    </row>
    <row r="3201" spans="5:12">
      <c r="E3201" s="49">
        <v>45059.802083322342</v>
      </c>
      <c r="F3201" s="56">
        <v>4.7239136092825333</v>
      </c>
      <c r="G3201" s="48"/>
      <c r="H3201" s="48"/>
      <c r="I3201" s="48"/>
      <c r="J3201" s="48"/>
      <c r="L3201" s="65"/>
    </row>
    <row r="3202" spans="5:12">
      <c r="E3202" s="49">
        <v>45059.805555544561</v>
      </c>
      <c r="F3202" s="56">
        <v>4.7239136092825333</v>
      </c>
      <c r="G3202" s="48"/>
      <c r="H3202" s="48"/>
      <c r="I3202" s="48"/>
      <c r="J3202" s="48"/>
      <c r="L3202" s="65"/>
    </row>
    <row r="3203" spans="5:12">
      <c r="E3203" s="49">
        <v>45059.80902776678</v>
      </c>
      <c r="F3203" s="56">
        <v>4.7239136092825333</v>
      </c>
      <c r="G3203" s="48"/>
      <c r="H3203" s="48"/>
      <c r="I3203" s="48"/>
      <c r="J3203" s="48"/>
      <c r="L3203" s="65"/>
    </row>
    <row r="3204" spans="5:12">
      <c r="E3204" s="49">
        <v>45059.812499988999</v>
      </c>
      <c r="F3204" s="56">
        <v>4.7239136092825333</v>
      </c>
      <c r="G3204" s="48"/>
      <c r="H3204" s="48"/>
      <c r="I3204" s="48"/>
      <c r="J3204" s="48"/>
      <c r="L3204" s="65"/>
    </row>
    <row r="3205" spans="5:12">
      <c r="E3205" s="49">
        <v>45059.815972211218</v>
      </c>
      <c r="F3205" s="56">
        <v>4.7239136092825333</v>
      </c>
      <c r="G3205" s="48"/>
      <c r="H3205" s="48"/>
      <c r="I3205" s="48"/>
      <c r="J3205" s="48"/>
      <c r="L3205" s="65"/>
    </row>
    <row r="3206" spans="5:12">
      <c r="E3206" s="49">
        <v>45059.819444433437</v>
      </c>
      <c r="F3206" s="56">
        <v>4.7239136092825333</v>
      </c>
      <c r="G3206" s="48"/>
      <c r="H3206" s="48"/>
      <c r="I3206" s="48"/>
      <c r="J3206" s="48"/>
      <c r="L3206" s="65"/>
    </row>
    <row r="3207" spans="5:12">
      <c r="E3207" s="49">
        <v>45059.822916655656</v>
      </c>
      <c r="F3207" s="56">
        <v>4.7239136092825333</v>
      </c>
      <c r="G3207" s="48"/>
      <c r="H3207" s="48"/>
      <c r="I3207" s="48"/>
      <c r="J3207" s="48"/>
      <c r="L3207" s="65"/>
    </row>
    <row r="3208" spans="5:12">
      <c r="E3208" s="49">
        <v>45059.826388877875</v>
      </c>
      <c r="F3208" s="56">
        <v>4.7239136092825333</v>
      </c>
      <c r="G3208" s="48"/>
      <c r="H3208" s="48"/>
      <c r="I3208" s="48"/>
      <c r="J3208" s="48"/>
      <c r="L3208" s="65"/>
    </row>
    <row r="3209" spans="5:12">
      <c r="E3209" s="49">
        <v>45059.829861100094</v>
      </c>
      <c r="F3209" s="56">
        <v>4.7239136092825333</v>
      </c>
      <c r="G3209" s="48"/>
      <c r="H3209" s="48"/>
      <c r="I3209" s="48"/>
      <c r="J3209" s="48"/>
      <c r="L3209" s="65"/>
    </row>
    <row r="3210" spans="5:12">
      <c r="E3210" s="49">
        <v>45059.833333322313</v>
      </c>
      <c r="F3210" s="56">
        <v>4.7239136092825333</v>
      </c>
      <c r="G3210" s="48"/>
      <c r="H3210" s="48"/>
      <c r="I3210" s="48"/>
      <c r="J3210" s="48"/>
      <c r="L3210" s="65"/>
    </row>
    <row r="3211" spans="5:12">
      <c r="E3211" s="49">
        <v>45059.836805544532</v>
      </c>
      <c r="F3211" s="56">
        <v>4.7239136092825333</v>
      </c>
      <c r="G3211" s="48"/>
      <c r="H3211" s="48"/>
      <c r="I3211" s="48"/>
      <c r="J3211" s="48"/>
      <c r="L3211" s="65"/>
    </row>
    <row r="3212" spans="5:12">
      <c r="E3212" s="49">
        <v>45059.840277766751</v>
      </c>
      <c r="F3212" s="56">
        <v>4.7239136092825333</v>
      </c>
      <c r="G3212" s="48"/>
      <c r="H3212" s="48"/>
      <c r="I3212" s="48"/>
      <c r="J3212" s="48"/>
      <c r="L3212" s="65"/>
    </row>
    <row r="3213" spans="5:12">
      <c r="E3213" s="49">
        <v>45059.84374998897</v>
      </c>
      <c r="F3213" s="56">
        <v>4.7239136092825333</v>
      </c>
      <c r="G3213" s="48"/>
      <c r="H3213" s="48"/>
      <c r="I3213" s="48"/>
      <c r="J3213" s="48"/>
      <c r="L3213" s="65"/>
    </row>
    <row r="3214" spans="5:12">
      <c r="E3214" s="49">
        <v>45059.847222211189</v>
      </c>
      <c r="F3214" s="56">
        <v>4.7239136092825333</v>
      </c>
      <c r="G3214" s="48"/>
      <c r="H3214" s="48"/>
      <c r="I3214" s="48"/>
      <c r="J3214" s="48"/>
      <c r="L3214" s="65"/>
    </row>
    <row r="3215" spans="5:12">
      <c r="E3215" s="49">
        <v>45059.850694433408</v>
      </c>
      <c r="F3215" s="56">
        <v>4.7239136092825333</v>
      </c>
      <c r="G3215" s="48"/>
      <c r="H3215" s="48"/>
      <c r="I3215" s="48"/>
      <c r="J3215" s="48"/>
      <c r="L3215" s="65"/>
    </row>
    <row r="3216" spans="5:12">
      <c r="E3216" s="49">
        <v>45059.854166655627</v>
      </c>
      <c r="F3216" s="56">
        <v>4.7239136092825333</v>
      </c>
      <c r="G3216" s="48"/>
      <c r="H3216" s="48"/>
      <c r="I3216" s="48"/>
      <c r="J3216" s="48"/>
      <c r="L3216" s="65"/>
    </row>
    <row r="3217" spans="5:12">
      <c r="E3217" s="49">
        <v>45059.857638877846</v>
      </c>
      <c r="F3217" s="56">
        <v>4.7239136092825333</v>
      </c>
      <c r="G3217" s="48"/>
      <c r="H3217" s="48"/>
      <c r="I3217" s="48"/>
      <c r="J3217" s="48"/>
      <c r="L3217" s="65"/>
    </row>
    <row r="3218" spans="5:12">
      <c r="E3218" s="49">
        <v>45059.861111100065</v>
      </c>
      <c r="F3218" s="56">
        <v>4.7239136092825333</v>
      </c>
      <c r="G3218" s="48"/>
      <c r="H3218" s="48"/>
      <c r="I3218" s="48"/>
      <c r="J3218" s="48"/>
      <c r="L3218" s="65"/>
    </row>
    <row r="3219" spans="5:12">
      <c r="E3219" s="49">
        <v>45059.864583322284</v>
      </c>
      <c r="F3219" s="56">
        <v>4.7239136092825333</v>
      </c>
      <c r="G3219" s="48"/>
      <c r="H3219" s="48"/>
      <c r="I3219" s="48"/>
      <c r="J3219" s="48"/>
      <c r="L3219" s="65"/>
    </row>
    <row r="3220" spans="5:12">
      <c r="E3220" s="49">
        <v>45059.868055544503</v>
      </c>
      <c r="F3220" s="56">
        <v>4.7239136092825333</v>
      </c>
      <c r="G3220" s="48"/>
      <c r="H3220" s="48"/>
      <c r="I3220" s="48"/>
      <c r="J3220" s="48"/>
      <c r="L3220" s="65"/>
    </row>
    <row r="3221" spans="5:12">
      <c r="E3221" s="49">
        <v>45059.871527766722</v>
      </c>
      <c r="F3221" s="56">
        <v>4.7239136092825333</v>
      </c>
      <c r="G3221" s="48"/>
      <c r="H3221" s="48"/>
      <c r="I3221" s="48"/>
      <c r="J3221" s="48"/>
      <c r="L3221" s="65"/>
    </row>
    <row r="3222" spans="5:12">
      <c r="E3222" s="49">
        <v>45059.874999988941</v>
      </c>
      <c r="F3222" s="56">
        <v>17.980801818144556</v>
      </c>
      <c r="G3222" s="48"/>
      <c r="H3222" s="48"/>
      <c r="I3222" s="48"/>
      <c r="J3222" s="48"/>
      <c r="L3222" s="65"/>
    </row>
    <row r="3223" spans="5:12">
      <c r="E3223" s="49">
        <v>45059.87847221116</v>
      </c>
      <c r="F3223" s="56">
        <v>17.980801818144556</v>
      </c>
      <c r="G3223" s="48"/>
      <c r="H3223" s="48"/>
      <c r="I3223" s="48"/>
      <c r="J3223" s="48"/>
      <c r="L3223" s="65"/>
    </row>
    <row r="3224" spans="5:12">
      <c r="E3224" s="49">
        <v>45059.881944433379</v>
      </c>
      <c r="F3224" s="56">
        <v>17.980801818144556</v>
      </c>
      <c r="G3224" s="48"/>
      <c r="H3224" s="48"/>
      <c r="I3224" s="48"/>
      <c r="J3224" s="48"/>
      <c r="L3224" s="65"/>
    </row>
    <row r="3225" spans="5:12">
      <c r="E3225" s="49">
        <v>45059.885416655598</v>
      </c>
      <c r="F3225" s="56">
        <v>17.980801818144556</v>
      </c>
      <c r="G3225" s="48"/>
      <c r="H3225" s="48"/>
      <c r="I3225" s="48"/>
      <c r="J3225" s="48"/>
      <c r="L3225" s="65"/>
    </row>
    <row r="3226" spans="5:12">
      <c r="E3226" s="49">
        <v>45059.888888877816</v>
      </c>
      <c r="F3226" s="56">
        <v>17.980801818144556</v>
      </c>
      <c r="G3226" s="48"/>
      <c r="H3226" s="48"/>
      <c r="I3226" s="48"/>
      <c r="J3226" s="48"/>
      <c r="L3226" s="65"/>
    </row>
    <row r="3227" spans="5:12">
      <c r="E3227" s="49">
        <v>45059.892361100035</v>
      </c>
      <c r="F3227" s="56">
        <v>17.980801818144556</v>
      </c>
      <c r="G3227" s="48"/>
      <c r="H3227" s="48"/>
      <c r="I3227" s="48"/>
      <c r="J3227" s="48"/>
      <c r="L3227" s="65"/>
    </row>
    <row r="3228" spans="5:12">
      <c r="E3228" s="49">
        <v>45059.895833322254</v>
      </c>
      <c r="F3228" s="56">
        <v>17.980801818144556</v>
      </c>
      <c r="G3228" s="48"/>
      <c r="H3228" s="48"/>
      <c r="I3228" s="48"/>
      <c r="J3228" s="48"/>
      <c r="L3228" s="65"/>
    </row>
    <row r="3229" spans="5:12">
      <c r="E3229" s="49">
        <v>45059.899305544473</v>
      </c>
      <c r="F3229" s="56">
        <v>17.980801818144556</v>
      </c>
      <c r="G3229" s="48"/>
      <c r="H3229" s="48"/>
      <c r="I3229" s="48"/>
      <c r="J3229" s="48"/>
      <c r="L3229" s="65"/>
    </row>
    <row r="3230" spans="5:12">
      <c r="E3230" s="49">
        <v>45059.902777766692</v>
      </c>
      <c r="F3230" s="56">
        <v>17.980801818144556</v>
      </c>
      <c r="G3230" s="48"/>
      <c r="H3230" s="48"/>
      <c r="I3230" s="48"/>
      <c r="J3230" s="48"/>
      <c r="L3230" s="65"/>
    </row>
    <row r="3231" spans="5:12">
      <c r="E3231" s="49">
        <v>45059.906249988911</v>
      </c>
      <c r="F3231" s="56">
        <v>17.980801818144556</v>
      </c>
      <c r="G3231" s="48"/>
      <c r="H3231" s="48"/>
      <c r="I3231" s="48"/>
      <c r="J3231" s="48"/>
      <c r="L3231" s="65"/>
    </row>
    <row r="3232" spans="5:12">
      <c r="E3232" s="49">
        <v>45059.90972221113</v>
      </c>
      <c r="F3232" s="56">
        <v>17.980801818144556</v>
      </c>
      <c r="G3232" s="48"/>
      <c r="H3232" s="48"/>
      <c r="I3232" s="48"/>
      <c r="J3232" s="48"/>
      <c r="L3232" s="65"/>
    </row>
    <row r="3233" spans="5:12">
      <c r="E3233" s="49">
        <v>45059.913194433349</v>
      </c>
      <c r="F3233" s="56">
        <v>17.980801818144556</v>
      </c>
      <c r="G3233" s="48"/>
      <c r="H3233" s="48"/>
      <c r="I3233" s="48"/>
      <c r="J3233" s="48"/>
      <c r="L3233" s="65"/>
    </row>
    <row r="3234" spans="5:12">
      <c r="E3234" s="49">
        <v>45059.916666655568</v>
      </c>
      <c r="F3234" s="56">
        <v>17.980801818144556</v>
      </c>
      <c r="G3234" s="48"/>
      <c r="H3234" s="48"/>
      <c r="I3234" s="48"/>
      <c r="J3234" s="48"/>
      <c r="L3234" s="65"/>
    </row>
    <row r="3235" spans="5:12">
      <c r="E3235" s="49">
        <v>45059.920138877787</v>
      </c>
      <c r="F3235" s="56">
        <v>17.980801818144556</v>
      </c>
      <c r="G3235" s="48"/>
      <c r="H3235" s="48"/>
      <c r="I3235" s="48"/>
      <c r="J3235" s="48"/>
      <c r="L3235" s="65"/>
    </row>
    <row r="3236" spans="5:12">
      <c r="E3236" s="49">
        <v>45059.923611100006</v>
      </c>
      <c r="F3236" s="56">
        <v>17.980801818144556</v>
      </c>
      <c r="G3236" s="48"/>
      <c r="H3236" s="48"/>
      <c r="I3236" s="48"/>
      <c r="J3236" s="48"/>
      <c r="L3236" s="65"/>
    </row>
    <row r="3237" spans="5:12">
      <c r="E3237" s="49">
        <v>45059.927083322225</v>
      </c>
      <c r="F3237" s="56">
        <v>17.980801818144556</v>
      </c>
      <c r="G3237" s="48"/>
      <c r="H3237" s="48"/>
      <c r="I3237" s="48"/>
      <c r="J3237" s="48"/>
      <c r="L3237" s="65"/>
    </row>
    <row r="3238" spans="5:12">
      <c r="E3238" s="49">
        <v>45059.930555544444</v>
      </c>
      <c r="F3238" s="56">
        <v>17.980801818144556</v>
      </c>
      <c r="G3238" s="48"/>
      <c r="H3238" s="48"/>
      <c r="I3238" s="48"/>
      <c r="J3238" s="48"/>
      <c r="L3238" s="65"/>
    </row>
    <row r="3239" spans="5:12">
      <c r="E3239" s="49">
        <v>45059.934027766663</v>
      </c>
      <c r="F3239" s="56">
        <v>17.980801818144556</v>
      </c>
      <c r="G3239" s="48"/>
      <c r="H3239" s="48"/>
      <c r="I3239" s="48"/>
      <c r="J3239" s="48"/>
      <c r="L3239" s="65"/>
    </row>
    <row r="3240" spans="5:12">
      <c r="E3240" s="49">
        <v>45059.937499988882</v>
      </c>
      <c r="F3240" s="56">
        <v>17.980801818144556</v>
      </c>
      <c r="G3240" s="48"/>
      <c r="H3240" s="48"/>
      <c r="I3240" s="48"/>
      <c r="J3240" s="48"/>
      <c r="L3240" s="65"/>
    </row>
    <row r="3241" spans="5:12">
      <c r="E3241" s="49">
        <v>45059.940972211101</v>
      </c>
      <c r="F3241" s="56">
        <v>17.980801818144556</v>
      </c>
      <c r="G3241" s="48"/>
      <c r="H3241" s="48"/>
      <c r="I3241" s="48"/>
      <c r="J3241" s="48"/>
      <c r="L3241" s="65"/>
    </row>
    <row r="3242" spans="5:12">
      <c r="E3242" s="49">
        <v>45059.94444443332</v>
      </c>
      <c r="F3242" s="56">
        <v>17.980801818144556</v>
      </c>
      <c r="G3242" s="48"/>
      <c r="H3242" s="48"/>
      <c r="I3242" s="48"/>
      <c r="J3242" s="48"/>
      <c r="L3242" s="65"/>
    </row>
    <row r="3243" spans="5:12">
      <c r="E3243" s="49">
        <v>45059.947916655539</v>
      </c>
      <c r="F3243" s="56">
        <v>17.980801818144556</v>
      </c>
      <c r="G3243" s="48"/>
      <c r="H3243" s="48"/>
      <c r="I3243" s="48"/>
      <c r="J3243" s="48"/>
      <c r="L3243" s="65"/>
    </row>
    <row r="3244" spans="5:12">
      <c r="E3244" s="49">
        <v>45059.951388877758</v>
      </c>
      <c r="F3244" s="56">
        <v>17.980801818144556</v>
      </c>
      <c r="G3244" s="48"/>
      <c r="H3244" s="48"/>
      <c r="I3244" s="48"/>
      <c r="J3244" s="48"/>
      <c r="L3244" s="65"/>
    </row>
    <row r="3245" spans="5:12">
      <c r="E3245" s="49">
        <v>45059.954861099977</v>
      </c>
      <c r="F3245" s="56">
        <v>17.980801818144556</v>
      </c>
      <c r="G3245" s="48"/>
      <c r="H3245" s="48"/>
      <c r="I3245" s="48"/>
      <c r="J3245" s="48"/>
      <c r="L3245" s="65"/>
    </row>
    <row r="3246" spans="5:12">
      <c r="E3246" s="49">
        <v>45059.958333322196</v>
      </c>
      <c r="F3246" s="56">
        <v>17.980801818144556</v>
      </c>
      <c r="G3246" s="48"/>
      <c r="H3246" s="48"/>
      <c r="I3246" s="48"/>
      <c r="J3246" s="48"/>
      <c r="L3246" s="65"/>
    </row>
    <row r="3247" spans="5:12">
      <c r="E3247" s="49">
        <v>45059.961805544415</v>
      </c>
      <c r="F3247" s="56">
        <v>17.980801818144556</v>
      </c>
      <c r="G3247" s="48"/>
      <c r="H3247" s="48"/>
      <c r="I3247" s="48"/>
      <c r="J3247" s="48"/>
      <c r="L3247" s="65"/>
    </row>
    <row r="3248" spans="5:12">
      <c r="E3248" s="49">
        <v>45059.965277766634</v>
      </c>
      <c r="F3248" s="56">
        <v>17.980801818144556</v>
      </c>
      <c r="G3248" s="48"/>
      <c r="H3248" s="48"/>
      <c r="I3248" s="48"/>
      <c r="J3248" s="48"/>
      <c r="L3248" s="65"/>
    </row>
    <row r="3249" spans="5:12">
      <c r="E3249" s="49">
        <v>45059.968749988853</v>
      </c>
      <c r="F3249" s="56">
        <v>17.980801818144556</v>
      </c>
      <c r="G3249" s="48"/>
      <c r="H3249" s="48"/>
      <c r="I3249" s="48"/>
      <c r="J3249" s="48"/>
      <c r="L3249" s="65"/>
    </row>
    <row r="3250" spans="5:12">
      <c r="E3250" s="49">
        <v>45059.972222211072</v>
      </c>
      <c r="F3250" s="56">
        <v>17.980801818144556</v>
      </c>
      <c r="G3250" s="48"/>
      <c r="H3250" s="48"/>
      <c r="I3250" s="48"/>
      <c r="J3250" s="48"/>
      <c r="L3250" s="65"/>
    </row>
    <row r="3251" spans="5:12">
      <c r="E3251" s="49">
        <v>45059.975694433291</v>
      </c>
      <c r="F3251" s="56">
        <v>17.980801818144556</v>
      </c>
      <c r="G3251" s="48"/>
      <c r="H3251" s="48"/>
      <c r="I3251" s="48"/>
      <c r="J3251" s="48"/>
      <c r="L3251" s="65"/>
    </row>
    <row r="3252" spans="5:12">
      <c r="E3252" s="49">
        <v>45059.97916665551</v>
      </c>
      <c r="F3252" s="56">
        <v>17.980801818144556</v>
      </c>
      <c r="G3252" s="48"/>
      <c r="H3252" s="48"/>
      <c r="I3252" s="48"/>
      <c r="J3252" s="48"/>
      <c r="L3252" s="65"/>
    </row>
    <row r="3253" spans="5:12">
      <c r="E3253" s="49">
        <v>45059.982638877729</v>
      </c>
      <c r="F3253" s="56">
        <v>17.980801818144556</v>
      </c>
      <c r="G3253" s="48"/>
      <c r="H3253" s="48"/>
      <c r="I3253" s="48"/>
      <c r="J3253" s="48"/>
      <c r="L3253" s="65"/>
    </row>
    <row r="3254" spans="5:12">
      <c r="E3254" s="49">
        <v>45059.986111099948</v>
      </c>
      <c r="F3254" s="56">
        <v>17.980801818144556</v>
      </c>
      <c r="G3254" s="48"/>
      <c r="H3254" s="48"/>
      <c r="I3254" s="48"/>
      <c r="J3254" s="48"/>
      <c r="L3254" s="65"/>
    </row>
    <row r="3255" spans="5:12">
      <c r="E3255" s="49">
        <v>45059.989583322167</v>
      </c>
      <c r="F3255" s="56">
        <v>17.980801818144556</v>
      </c>
      <c r="G3255" s="48"/>
      <c r="H3255" s="48"/>
      <c r="I3255" s="48"/>
      <c r="J3255" s="48"/>
      <c r="L3255" s="65"/>
    </row>
    <row r="3256" spans="5:12">
      <c r="E3256" s="49">
        <v>45059.993055544386</v>
      </c>
      <c r="F3256" s="56">
        <v>17.980801818144556</v>
      </c>
      <c r="G3256" s="48"/>
      <c r="H3256" s="48"/>
      <c r="I3256" s="48"/>
      <c r="J3256" s="48"/>
      <c r="L3256" s="65"/>
    </row>
    <row r="3257" spans="5:12">
      <c r="E3257" s="49">
        <v>45059.996527766605</v>
      </c>
      <c r="F3257" s="56">
        <v>17.980801818144556</v>
      </c>
      <c r="G3257" s="48"/>
      <c r="H3257" s="48"/>
      <c r="I3257" s="48"/>
      <c r="J3257" s="48"/>
      <c r="L3257" s="65"/>
    </row>
    <row r="3258" spans="5:12">
      <c r="E3258" s="49">
        <v>45059.999999988824</v>
      </c>
      <c r="F3258" s="56">
        <v>17.980801818144556</v>
      </c>
      <c r="G3258" s="48"/>
      <c r="H3258" s="48"/>
      <c r="I3258" s="48"/>
      <c r="J3258" s="48"/>
      <c r="L3258" s="65"/>
    </row>
    <row r="3259" spans="5:12">
      <c r="E3259" s="49">
        <v>45060.003472211043</v>
      </c>
      <c r="F3259" s="56">
        <v>17.980801818144556</v>
      </c>
      <c r="G3259" s="48"/>
      <c r="H3259" s="48"/>
      <c r="I3259" s="48"/>
      <c r="J3259" s="48"/>
      <c r="L3259" s="65"/>
    </row>
    <row r="3260" spans="5:12">
      <c r="E3260" s="49">
        <v>45060.006944433262</v>
      </c>
      <c r="F3260" s="56">
        <v>17.980801818144556</v>
      </c>
      <c r="G3260" s="48"/>
      <c r="H3260" s="48"/>
      <c r="I3260" s="48"/>
      <c r="J3260" s="48"/>
      <c r="L3260" s="65"/>
    </row>
    <row r="3261" spans="5:12">
      <c r="E3261" s="49">
        <v>45060.010416655481</v>
      </c>
      <c r="F3261" s="56">
        <v>17.980801818144556</v>
      </c>
      <c r="G3261" s="48"/>
      <c r="H3261" s="48"/>
      <c r="I3261" s="48"/>
      <c r="J3261" s="48"/>
      <c r="L3261" s="65"/>
    </row>
    <row r="3262" spans="5:12">
      <c r="E3262" s="49">
        <v>45060.0138888777</v>
      </c>
      <c r="F3262" s="56">
        <v>17.980801818144556</v>
      </c>
      <c r="G3262" s="48"/>
      <c r="H3262" s="48"/>
      <c r="I3262" s="48"/>
      <c r="J3262" s="48"/>
      <c r="L3262" s="65"/>
    </row>
    <row r="3263" spans="5:12">
      <c r="E3263" s="49">
        <v>45060.017361099919</v>
      </c>
      <c r="F3263" s="56">
        <v>17.980801818144556</v>
      </c>
      <c r="G3263" s="48"/>
      <c r="H3263" s="48"/>
      <c r="I3263" s="48"/>
      <c r="J3263" s="48"/>
      <c r="L3263" s="65"/>
    </row>
    <row r="3264" spans="5:12">
      <c r="E3264" s="49">
        <v>45060.020833322138</v>
      </c>
      <c r="F3264" s="56">
        <v>17.980801818144556</v>
      </c>
      <c r="G3264" s="48"/>
      <c r="H3264" s="48"/>
      <c r="I3264" s="48"/>
      <c r="J3264" s="48"/>
      <c r="L3264" s="65"/>
    </row>
    <row r="3265" spans="5:12">
      <c r="E3265" s="49">
        <v>45060.024305544357</v>
      </c>
      <c r="F3265" s="56">
        <v>17.980801818144556</v>
      </c>
      <c r="G3265" s="48"/>
      <c r="H3265" s="48"/>
      <c r="I3265" s="48"/>
      <c r="J3265" s="48"/>
      <c r="L3265" s="65"/>
    </row>
    <row r="3266" spans="5:12">
      <c r="E3266" s="49">
        <v>45060.027777766576</v>
      </c>
      <c r="F3266" s="56">
        <v>17.980801818144556</v>
      </c>
      <c r="G3266" s="48"/>
      <c r="H3266" s="48"/>
      <c r="I3266" s="48"/>
      <c r="J3266" s="48"/>
      <c r="L3266" s="65"/>
    </row>
    <row r="3267" spans="5:12">
      <c r="E3267" s="49">
        <v>45060.031249988795</v>
      </c>
      <c r="F3267" s="56">
        <v>17.980801818144556</v>
      </c>
      <c r="G3267" s="48"/>
      <c r="H3267" s="48"/>
      <c r="I3267" s="48"/>
      <c r="J3267" s="48"/>
      <c r="L3267" s="65"/>
    </row>
    <row r="3268" spans="5:12">
      <c r="E3268" s="49">
        <v>45060.034722211014</v>
      </c>
      <c r="F3268" s="56">
        <v>17.980801818144556</v>
      </c>
      <c r="G3268" s="48"/>
      <c r="H3268" s="48"/>
      <c r="I3268" s="48"/>
      <c r="J3268" s="48"/>
      <c r="L3268" s="65"/>
    </row>
    <row r="3269" spans="5:12">
      <c r="E3269" s="49">
        <v>45060.038194433233</v>
      </c>
      <c r="F3269" s="56">
        <v>17.980801818144556</v>
      </c>
      <c r="G3269" s="48"/>
      <c r="H3269" s="48"/>
      <c r="I3269" s="48"/>
      <c r="J3269" s="48"/>
      <c r="L3269" s="65"/>
    </row>
    <row r="3270" spans="5:12">
      <c r="E3270" s="49">
        <v>45060.041666655452</v>
      </c>
      <c r="F3270" s="56">
        <v>17.980801818144556</v>
      </c>
      <c r="G3270" s="48"/>
      <c r="H3270" s="48"/>
      <c r="I3270" s="48"/>
      <c r="J3270" s="48"/>
      <c r="L3270" s="65"/>
    </row>
    <row r="3271" spans="5:12">
      <c r="E3271" s="49">
        <v>45060.045138877671</v>
      </c>
      <c r="F3271" s="56">
        <v>17.980801818144556</v>
      </c>
      <c r="G3271" s="48"/>
      <c r="H3271" s="48"/>
      <c r="I3271" s="48"/>
      <c r="J3271" s="48"/>
      <c r="L3271" s="65"/>
    </row>
    <row r="3272" spans="5:12">
      <c r="E3272" s="49">
        <v>45060.04861109989</v>
      </c>
      <c r="F3272" s="56">
        <v>17.980801818144556</v>
      </c>
      <c r="G3272" s="48"/>
      <c r="H3272" s="48"/>
      <c r="I3272" s="48"/>
      <c r="J3272" s="48"/>
      <c r="L3272" s="65"/>
    </row>
    <row r="3273" spans="5:12">
      <c r="E3273" s="49">
        <v>45060.052083322109</v>
      </c>
      <c r="F3273" s="56">
        <v>17.980801818144556</v>
      </c>
      <c r="G3273" s="48"/>
      <c r="H3273" s="48"/>
      <c r="I3273" s="48"/>
      <c r="J3273" s="48"/>
      <c r="L3273" s="65"/>
    </row>
    <row r="3274" spans="5:12">
      <c r="E3274" s="49">
        <v>45060.055555544328</v>
      </c>
      <c r="F3274" s="56">
        <v>17.980801818144556</v>
      </c>
      <c r="G3274" s="48"/>
      <c r="H3274" s="48"/>
      <c r="I3274" s="48"/>
      <c r="J3274" s="48"/>
      <c r="L3274" s="65"/>
    </row>
    <row r="3275" spans="5:12">
      <c r="E3275" s="49">
        <v>45060.059027766547</v>
      </c>
      <c r="F3275" s="56">
        <v>17.980801818144556</v>
      </c>
      <c r="G3275" s="48"/>
      <c r="H3275" s="48"/>
      <c r="I3275" s="48"/>
      <c r="J3275" s="48"/>
      <c r="L3275" s="65"/>
    </row>
    <row r="3276" spans="5:12">
      <c r="E3276" s="49">
        <v>45060.062499988766</v>
      </c>
      <c r="F3276" s="56">
        <v>17.980801818144556</v>
      </c>
      <c r="G3276" s="48"/>
      <c r="H3276" s="48"/>
      <c r="I3276" s="48"/>
      <c r="J3276" s="48"/>
      <c r="L3276" s="65"/>
    </row>
    <row r="3277" spans="5:12">
      <c r="E3277" s="49">
        <v>45060.065972210985</v>
      </c>
      <c r="F3277" s="56">
        <v>17.980801818144556</v>
      </c>
      <c r="G3277" s="48"/>
      <c r="H3277" s="48"/>
      <c r="I3277" s="48"/>
      <c r="J3277" s="48"/>
      <c r="L3277" s="65"/>
    </row>
    <row r="3278" spans="5:12">
      <c r="E3278" s="49">
        <v>45060.069444433204</v>
      </c>
      <c r="F3278" s="56">
        <v>17.980801818144556</v>
      </c>
      <c r="G3278" s="48"/>
      <c r="H3278" s="48"/>
      <c r="I3278" s="48"/>
      <c r="J3278" s="48"/>
      <c r="L3278" s="65"/>
    </row>
    <row r="3279" spans="5:12">
      <c r="E3279" s="49">
        <v>45060.072916655423</v>
      </c>
      <c r="F3279" s="56">
        <v>17.980801818144556</v>
      </c>
      <c r="G3279" s="48"/>
      <c r="H3279" s="48"/>
      <c r="I3279" s="48"/>
      <c r="J3279" s="48"/>
      <c r="L3279" s="65"/>
    </row>
    <row r="3280" spans="5:12">
      <c r="E3280" s="49">
        <v>45060.076388877642</v>
      </c>
      <c r="F3280" s="56">
        <v>17.980801818144556</v>
      </c>
      <c r="G3280" s="48"/>
      <c r="H3280" s="48"/>
      <c r="I3280" s="48"/>
      <c r="J3280" s="48"/>
      <c r="L3280" s="65"/>
    </row>
    <row r="3281" spans="5:12">
      <c r="E3281" s="49">
        <v>45060.079861099861</v>
      </c>
      <c r="F3281" s="56">
        <v>17.980801818144556</v>
      </c>
      <c r="G3281" s="48"/>
      <c r="H3281" s="48"/>
      <c r="I3281" s="48"/>
      <c r="J3281" s="48"/>
      <c r="L3281" s="65"/>
    </row>
    <row r="3282" spans="5:12">
      <c r="E3282" s="49">
        <v>45060.08333332208</v>
      </c>
      <c r="F3282" s="56">
        <v>17.980801818144556</v>
      </c>
      <c r="G3282" s="48"/>
      <c r="H3282" s="48"/>
      <c r="I3282" s="48"/>
      <c r="J3282" s="48"/>
      <c r="L3282" s="65"/>
    </row>
    <row r="3283" spans="5:12">
      <c r="E3283" s="49">
        <v>45060.086805544299</v>
      </c>
      <c r="F3283" s="56">
        <v>17.980801818144556</v>
      </c>
      <c r="G3283" s="48"/>
      <c r="H3283" s="48"/>
      <c r="I3283" s="48"/>
      <c r="J3283" s="48"/>
      <c r="L3283" s="65"/>
    </row>
    <row r="3284" spans="5:12">
      <c r="E3284" s="49">
        <v>45060.090277766518</v>
      </c>
      <c r="F3284" s="56">
        <v>17.980801818144556</v>
      </c>
      <c r="G3284" s="48"/>
      <c r="H3284" s="48"/>
      <c r="I3284" s="48"/>
      <c r="J3284" s="48"/>
      <c r="L3284" s="65"/>
    </row>
    <row r="3285" spans="5:12">
      <c r="E3285" s="49">
        <v>45060.093749988737</v>
      </c>
      <c r="F3285" s="56">
        <v>17.980801818144556</v>
      </c>
      <c r="G3285" s="48"/>
      <c r="H3285" s="48"/>
      <c r="I3285" s="48"/>
      <c r="J3285" s="48"/>
      <c r="L3285" s="65"/>
    </row>
    <row r="3286" spans="5:12">
      <c r="E3286" s="49">
        <v>45060.097222210956</v>
      </c>
      <c r="F3286" s="56">
        <v>17.980801818144556</v>
      </c>
      <c r="G3286" s="48"/>
      <c r="H3286" s="48"/>
      <c r="I3286" s="48"/>
      <c r="J3286" s="48"/>
      <c r="L3286" s="65"/>
    </row>
    <row r="3287" spans="5:12">
      <c r="E3287" s="49">
        <v>45060.100694433175</v>
      </c>
      <c r="F3287" s="56">
        <v>17.980801818144556</v>
      </c>
      <c r="G3287" s="48"/>
      <c r="H3287" s="48"/>
      <c r="I3287" s="48"/>
      <c r="J3287" s="48"/>
      <c r="L3287" s="65"/>
    </row>
    <row r="3288" spans="5:12">
      <c r="E3288" s="49">
        <v>45060.104166655394</v>
      </c>
      <c r="F3288" s="56">
        <v>17.980801818144556</v>
      </c>
      <c r="G3288" s="48"/>
      <c r="H3288" s="48"/>
      <c r="I3288" s="48"/>
      <c r="J3288" s="48"/>
      <c r="L3288" s="65"/>
    </row>
    <row r="3289" spans="5:12">
      <c r="E3289" s="49">
        <v>45060.107638877613</v>
      </c>
      <c r="F3289" s="56">
        <v>17.980801818144556</v>
      </c>
      <c r="G3289" s="48"/>
      <c r="H3289" s="48"/>
      <c r="I3289" s="48"/>
      <c r="J3289" s="48"/>
      <c r="L3289" s="65"/>
    </row>
    <row r="3290" spans="5:12">
      <c r="E3290" s="49">
        <v>45060.111111099832</v>
      </c>
      <c r="F3290" s="56">
        <v>17.980801818144556</v>
      </c>
      <c r="G3290" s="48"/>
      <c r="H3290" s="48"/>
      <c r="I3290" s="48"/>
      <c r="J3290" s="48"/>
      <c r="L3290" s="65"/>
    </row>
    <row r="3291" spans="5:12">
      <c r="E3291" s="49">
        <v>45060.114583322051</v>
      </c>
      <c r="F3291" s="56">
        <v>17.980801818144556</v>
      </c>
      <c r="G3291" s="48"/>
      <c r="H3291" s="48"/>
      <c r="I3291" s="48"/>
      <c r="J3291" s="48"/>
      <c r="L3291" s="65"/>
    </row>
    <row r="3292" spans="5:12">
      <c r="E3292" s="49">
        <v>45060.11805554427</v>
      </c>
      <c r="F3292" s="56">
        <v>17.980801818144556</v>
      </c>
      <c r="G3292" s="48"/>
      <c r="H3292" s="48"/>
      <c r="I3292" s="48"/>
      <c r="J3292" s="48"/>
      <c r="L3292" s="65"/>
    </row>
    <row r="3293" spans="5:12">
      <c r="E3293" s="49">
        <v>45060.121527766489</v>
      </c>
      <c r="F3293" s="56">
        <v>17.980801818144556</v>
      </c>
      <c r="G3293" s="48"/>
      <c r="H3293" s="48"/>
      <c r="I3293" s="48"/>
      <c r="J3293" s="48"/>
      <c r="L3293" s="65"/>
    </row>
    <row r="3294" spans="5:12">
      <c r="E3294" s="49">
        <v>45060.124999988708</v>
      </c>
      <c r="F3294" s="56">
        <v>17.980801818144556</v>
      </c>
      <c r="G3294" s="48"/>
      <c r="H3294" s="48"/>
      <c r="I3294" s="48"/>
      <c r="J3294" s="48"/>
      <c r="L3294" s="65"/>
    </row>
    <row r="3295" spans="5:12">
      <c r="E3295" s="49">
        <v>45060.128472210927</v>
      </c>
      <c r="F3295" s="56">
        <v>17.980801818144556</v>
      </c>
      <c r="G3295" s="48"/>
      <c r="H3295" s="48"/>
      <c r="I3295" s="48"/>
      <c r="J3295" s="48"/>
      <c r="L3295" s="65"/>
    </row>
    <row r="3296" spans="5:12">
      <c r="E3296" s="49">
        <v>45060.131944433146</v>
      </c>
      <c r="F3296" s="56">
        <v>17.980801818144556</v>
      </c>
      <c r="G3296" s="48"/>
      <c r="H3296" s="48"/>
      <c r="I3296" s="48"/>
      <c r="J3296" s="48"/>
      <c r="L3296" s="65"/>
    </row>
    <row r="3297" spans="5:12">
      <c r="E3297" s="49">
        <v>45060.135416655365</v>
      </c>
      <c r="F3297" s="56">
        <v>17.980801818144556</v>
      </c>
      <c r="G3297" s="48"/>
      <c r="H3297" s="48"/>
      <c r="I3297" s="48"/>
      <c r="J3297" s="48"/>
      <c r="L3297" s="65"/>
    </row>
    <row r="3298" spans="5:12">
      <c r="E3298" s="49">
        <v>45060.138888877584</v>
      </c>
      <c r="F3298" s="56">
        <v>17.980801818144556</v>
      </c>
      <c r="G3298" s="48"/>
      <c r="H3298" s="48"/>
      <c r="I3298" s="48"/>
      <c r="J3298" s="48"/>
      <c r="L3298" s="65"/>
    </row>
    <row r="3299" spans="5:12">
      <c r="E3299" s="49">
        <v>45060.142361099803</v>
      </c>
      <c r="F3299" s="56">
        <v>17.980801818144556</v>
      </c>
      <c r="G3299" s="48"/>
      <c r="H3299" s="48"/>
      <c r="I3299" s="48"/>
      <c r="J3299" s="48"/>
      <c r="L3299" s="65"/>
    </row>
    <row r="3300" spans="5:12">
      <c r="E3300" s="49">
        <v>45060.145833322022</v>
      </c>
      <c r="F3300" s="56">
        <v>17.980801818144556</v>
      </c>
      <c r="G3300" s="48"/>
      <c r="H3300" s="48"/>
      <c r="I3300" s="48"/>
      <c r="J3300" s="48"/>
      <c r="L3300" s="65"/>
    </row>
    <row r="3301" spans="5:12">
      <c r="E3301" s="49">
        <v>45060.149305544241</v>
      </c>
      <c r="F3301" s="56">
        <v>17.980801818144556</v>
      </c>
      <c r="G3301" s="48"/>
      <c r="H3301" s="48"/>
      <c r="I3301" s="48"/>
      <c r="J3301" s="48"/>
      <c r="L3301" s="65"/>
    </row>
    <row r="3302" spans="5:12">
      <c r="E3302" s="49">
        <v>45060.15277776646</v>
      </c>
      <c r="F3302" s="56">
        <v>17.980801818144556</v>
      </c>
      <c r="G3302" s="48"/>
      <c r="H3302" s="48"/>
      <c r="I3302" s="48"/>
      <c r="J3302" s="48"/>
      <c r="L3302" s="65"/>
    </row>
    <row r="3303" spans="5:12">
      <c r="E3303" s="49">
        <v>45060.156249988679</v>
      </c>
      <c r="F3303" s="56">
        <v>17.980801818144556</v>
      </c>
      <c r="G3303" s="48"/>
      <c r="H3303" s="48"/>
      <c r="I3303" s="48"/>
      <c r="J3303" s="48"/>
      <c r="L3303" s="65"/>
    </row>
    <row r="3304" spans="5:12">
      <c r="E3304" s="49">
        <v>45060.159722210898</v>
      </c>
      <c r="F3304" s="56">
        <v>17.980801818144556</v>
      </c>
      <c r="G3304" s="48"/>
      <c r="H3304" s="48"/>
      <c r="I3304" s="48"/>
      <c r="J3304" s="48"/>
      <c r="L3304" s="65"/>
    </row>
    <row r="3305" spans="5:12">
      <c r="E3305" s="49">
        <v>45060.163194433117</v>
      </c>
      <c r="F3305" s="56">
        <v>17.980801818144556</v>
      </c>
      <c r="G3305" s="48"/>
      <c r="H3305" s="48"/>
      <c r="I3305" s="48"/>
      <c r="J3305" s="48"/>
      <c r="L3305" s="65"/>
    </row>
    <row r="3306" spans="5:12">
      <c r="E3306" s="49">
        <v>45060.166666655336</v>
      </c>
      <c r="F3306" s="56">
        <v>17.980801818144556</v>
      </c>
      <c r="G3306" s="48"/>
      <c r="H3306" s="48"/>
      <c r="I3306" s="48"/>
      <c r="J3306" s="48"/>
      <c r="L3306" s="65"/>
    </row>
    <row r="3307" spans="5:12">
      <c r="E3307" s="49">
        <v>45060.170138877555</v>
      </c>
      <c r="F3307" s="56">
        <v>17.980801818144556</v>
      </c>
      <c r="G3307" s="48"/>
      <c r="H3307" s="48"/>
      <c r="I3307" s="48"/>
      <c r="J3307" s="48"/>
      <c r="L3307" s="65"/>
    </row>
    <row r="3308" spans="5:12">
      <c r="E3308" s="49">
        <v>45060.173611099774</v>
      </c>
      <c r="F3308" s="56">
        <v>17.980801818144556</v>
      </c>
      <c r="G3308" s="48"/>
      <c r="H3308" s="48"/>
      <c r="I3308" s="48"/>
      <c r="J3308" s="48"/>
      <c r="L3308" s="65"/>
    </row>
    <row r="3309" spans="5:12">
      <c r="E3309" s="49">
        <v>45060.177083321993</v>
      </c>
      <c r="F3309" s="56">
        <v>17.980801818144556</v>
      </c>
      <c r="G3309" s="48"/>
      <c r="H3309" s="48"/>
      <c r="I3309" s="48"/>
      <c r="J3309" s="48"/>
      <c r="L3309" s="65"/>
    </row>
    <row r="3310" spans="5:12">
      <c r="E3310" s="49">
        <v>45060.180555544212</v>
      </c>
      <c r="F3310" s="56">
        <v>17.980801818144556</v>
      </c>
      <c r="G3310" s="48"/>
      <c r="H3310" s="48"/>
      <c r="I3310" s="48"/>
      <c r="J3310" s="48"/>
      <c r="L3310" s="65"/>
    </row>
    <row r="3311" spans="5:12">
      <c r="E3311" s="49">
        <v>45060.184027766431</v>
      </c>
      <c r="F3311" s="56">
        <v>17.980801818144556</v>
      </c>
      <c r="G3311" s="48"/>
      <c r="H3311" s="48"/>
      <c r="I3311" s="48"/>
      <c r="J3311" s="48"/>
      <c r="L3311" s="65"/>
    </row>
    <row r="3312" spans="5:12">
      <c r="E3312" s="49">
        <v>45060.18749998865</v>
      </c>
      <c r="F3312" s="56">
        <v>17.980801818144556</v>
      </c>
      <c r="G3312" s="48"/>
      <c r="H3312" s="48"/>
      <c r="I3312" s="48"/>
      <c r="J3312" s="48"/>
      <c r="L3312" s="65"/>
    </row>
    <row r="3313" spans="5:12">
      <c r="E3313" s="49">
        <v>45060.190972210868</v>
      </c>
      <c r="F3313" s="56">
        <v>17.980801818144556</v>
      </c>
      <c r="G3313" s="48"/>
      <c r="H3313" s="48"/>
      <c r="I3313" s="48"/>
      <c r="J3313" s="48"/>
      <c r="L3313" s="65"/>
    </row>
    <row r="3314" spans="5:12">
      <c r="E3314" s="49">
        <v>45060.194444433087</v>
      </c>
      <c r="F3314" s="56">
        <v>17.980801818144556</v>
      </c>
      <c r="G3314" s="48"/>
      <c r="H3314" s="48"/>
      <c r="I3314" s="48"/>
      <c r="J3314" s="48"/>
      <c r="L3314" s="65"/>
    </row>
    <row r="3315" spans="5:12">
      <c r="E3315" s="49">
        <v>45060.197916655306</v>
      </c>
      <c r="F3315" s="56">
        <v>17.980801818144556</v>
      </c>
      <c r="G3315" s="48"/>
      <c r="H3315" s="48"/>
      <c r="I3315" s="48"/>
      <c r="J3315" s="48"/>
      <c r="L3315" s="65"/>
    </row>
    <row r="3316" spans="5:12">
      <c r="E3316" s="49">
        <v>45060.201388877525</v>
      </c>
      <c r="F3316" s="56">
        <v>17.980801818144556</v>
      </c>
      <c r="G3316" s="48"/>
      <c r="H3316" s="48"/>
      <c r="I3316" s="48"/>
      <c r="J3316" s="48"/>
      <c r="L3316" s="65"/>
    </row>
    <row r="3317" spans="5:12">
      <c r="E3317" s="49">
        <v>45060.204861099744</v>
      </c>
      <c r="F3317" s="56">
        <v>17.980801818144556</v>
      </c>
      <c r="G3317" s="48"/>
      <c r="H3317" s="48"/>
      <c r="I3317" s="48"/>
      <c r="J3317" s="48"/>
      <c r="L3317" s="65"/>
    </row>
    <row r="3318" spans="5:12">
      <c r="E3318" s="49">
        <v>45060.208333321963</v>
      </c>
      <c r="F3318" s="56">
        <v>17.980801818144556</v>
      </c>
      <c r="G3318" s="48"/>
      <c r="H3318" s="48"/>
      <c r="I3318" s="48"/>
      <c r="J3318" s="48"/>
      <c r="L3318" s="65"/>
    </row>
    <row r="3319" spans="5:12">
      <c r="E3319" s="49">
        <v>45060.211805544182</v>
      </c>
      <c r="F3319" s="56">
        <v>17.980801818144556</v>
      </c>
      <c r="G3319" s="48"/>
      <c r="H3319" s="48"/>
      <c r="I3319" s="48"/>
      <c r="J3319" s="48"/>
      <c r="L3319" s="65"/>
    </row>
    <row r="3320" spans="5:12">
      <c r="E3320" s="49">
        <v>45060.215277766401</v>
      </c>
      <c r="F3320" s="56">
        <v>17.980801818144556</v>
      </c>
      <c r="G3320" s="48"/>
      <c r="H3320" s="48"/>
      <c r="I3320" s="48"/>
      <c r="J3320" s="48"/>
      <c r="L3320" s="65"/>
    </row>
    <row r="3321" spans="5:12">
      <c r="E3321" s="49">
        <v>45060.21874998862</v>
      </c>
      <c r="F3321" s="56">
        <v>17.980801818144556</v>
      </c>
      <c r="G3321" s="48"/>
      <c r="H3321" s="48"/>
      <c r="I3321" s="48"/>
      <c r="J3321" s="48"/>
      <c r="L3321" s="65"/>
    </row>
    <row r="3322" spans="5:12">
      <c r="E3322" s="49">
        <v>45060.222222210839</v>
      </c>
      <c r="F3322" s="56">
        <v>17.980801818144556</v>
      </c>
      <c r="G3322" s="48"/>
      <c r="H3322" s="48"/>
      <c r="I3322" s="48"/>
      <c r="J3322" s="48"/>
      <c r="L3322" s="65"/>
    </row>
    <row r="3323" spans="5:12">
      <c r="E3323" s="49">
        <v>45060.225694433058</v>
      </c>
      <c r="F3323" s="56">
        <v>17.980801818144556</v>
      </c>
      <c r="G3323" s="48"/>
      <c r="H3323" s="48"/>
      <c r="I3323" s="48"/>
      <c r="J3323" s="48"/>
      <c r="L3323" s="65"/>
    </row>
    <row r="3324" spans="5:12">
      <c r="E3324" s="49">
        <v>45060.229166655277</v>
      </c>
      <c r="F3324" s="56">
        <v>17.980801818144556</v>
      </c>
      <c r="G3324" s="48"/>
      <c r="H3324" s="48"/>
      <c r="I3324" s="48"/>
      <c r="J3324" s="48"/>
      <c r="L3324" s="65"/>
    </row>
    <row r="3325" spans="5:12">
      <c r="E3325" s="49">
        <v>45060.232638877496</v>
      </c>
      <c r="F3325" s="56">
        <v>17.980801818144556</v>
      </c>
      <c r="G3325" s="48"/>
      <c r="H3325" s="48"/>
      <c r="I3325" s="48"/>
      <c r="J3325" s="48"/>
      <c r="L3325" s="65"/>
    </row>
    <row r="3326" spans="5:12">
      <c r="E3326" s="49">
        <v>45060.236111099715</v>
      </c>
      <c r="F3326" s="56">
        <v>17.980801818144556</v>
      </c>
      <c r="G3326" s="48"/>
      <c r="H3326" s="48"/>
      <c r="I3326" s="48"/>
      <c r="J3326" s="48"/>
      <c r="L3326" s="65"/>
    </row>
    <row r="3327" spans="5:12">
      <c r="E3327" s="49">
        <v>45060.239583321934</v>
      </c>
      <c r="F3327" s="56">
        <v>17.980801818144556</v>
      </c>
      <c r="G3327" s="48"/>
      <c r="H3327" s="48"/>
      <c r="I3327" s="48"/>
      <c r="J3327" s="48"/>
      <c r="L3327" s="65"/>
    </row>
    <row r="3328" spans="5:12">
      <c r="E3328" s="49">
        <v>45060.243055544153</v>
      </c>
      <c r="F3328" s="56">
        <v>17.980801818144556</v>
      </c>
      <c r="G3328" s="48"/>
      <c r="H3328" s="48"/>
      <c r="I3328" s="48"/>
      <c r="J3328" s="48"/>
      <c r="L3328" s="65"/>
    </row>
    <row r="3329" spans="5:12">
      <c r="E3329" s="49">
        <v>45060.246527766372</v>
      </c>
      <c r="F3329" s="56">
        <v>17.980801818144556</v>
      </c>
      <c r="G3329" s="48"/>
      <c r="H3329" s="48"/>
      <c r="I3329" s="48"/>
      <c r="J3329" s="48"/>
      <c r="L3329" s="65"/>
    </row>
    <row r="3330" spans="5:12">
      <c r="E3330" s="49">
        <v>45060.249999988591</v>
      </c>
      <c r="F3330" s="56">
        <v>17.980801818144556</v>
      </c>
      <c r="G3330" s="48"/>
      <c r="H3330" s="48"/>
      <c r="I3330" s="48"/>
      <c r="J3330" s="48"/>
      <c r="L3330" s="65"/>
    </row>
    <row r="3331" spans="5:12">
      <c r="E3331" s="49">
        <v>45060.25347221081</v>
      </c>
      <c r="F3331" s="56">
        <v>17.980801818144556</v>
      </c>
      <c r="G3331" s="48"/>
      <c r="H3331" s="48"/>
      <c r="I3331" s="48"/>
      <c r="J3331" s="48"/>
      <c r="L3331" s="65"/>
    </row>
    <row r="3332" spans="5:12">
      <c r="E3332" s="49">
        <v>45060.256944433029</v>
      </c>
      <c r="F3332" s="56">
        <v>17.980801818144556</v>
      </c>
      <c r="G3332" s="48"/>
      <c r="H3332" s="48"/>
      <c r="I3332" s="48"/>
      <c r="J3332" s="48"/>
      <c r="L3332" s="65"/>
    </row>
    <row r="3333" spans="5:12">
      <c r="E3333" s="49">
        <v>45060.260416655248</v>
      </c>
      <c r="F3333" s="56">
        <v>17.980801818144556</v>
      </c>
      <c r="G3333" s="48"/>
      <c r="H3333" s="48"/>
      <c r="I3333" s="48"/>
      <c r="J3333" s="48"/>
      <c r="L3333" s="65"/>
    </row>
    <row r="3334" spans="5:12">
      <c r="E3334" s="49">
        <v>45060.263888877467</v>
      </c>
      <c r="F3334" s="56">
        <v>17.980801818144556</v>
      </c>
      <c r="G3334" s="48"/>
      <c r="H3334" s="48"/>
      <c r="I3334" s="48"/>
      <c r="J3334" s="48"/>
      <c r="L3334" s="65"/>
    </row>
    <row r="3335" spans="5:12">
      <c r="E3335" s="49">
        <v>45060.267361099686</v>
      </c>
      <c r="F3335" s="56">
        <v>17.980801818144556</v>
      </c>
      <c r="G3335" s="48"/>
      <c r="H3335" s="48"/>
      <c r="I3335" s="48"/>
      <c r="J3335" s="48"/>
      <c r="L3335" s="65"/>
    </row>
    <row r="3336" spans="5:12">
      <c r="E3336" s="49">
        <v>45060.270833321905</v>
      </c>
      <c r="F3336" s="56">
        <v>17.980801818144556</v>
      </c>
      <c r="G3336" s="48"/>
      <c r="H3336" s="48"/>
      <c r="I3336" s="48"/>
      <c r="J3336" s="48"/>
      <c r="L3336" s="65"/>
    </row>
    <row r="3337" spans="5:12">
      <c r="E3337" s="49">
        <v>45060.274305544124</v>
      </c>
      <c r="F3337" s="56">
        <v>17.980801818144556</v>
      </c>
      <c r="G3337" s="48"/>
      <c r="H3337" s="48"/>
      <c r="I3337" s="48"/>
      <c r="J3337" s="48"/>
      <c r="L3337" s="65"/>
    </row>
    <row r="3338" spans="5:12">
      <c r="E3338" s="49">
        <v>45060.277777766343</v>
      </c>
      <c r="F3338" s="56">
        <v>17.980801818144556</v>
      </c>
      <c r="G3338" s="48"/>
      <c r="H3338" s="48"/>
      <c r="I3338" s="48"/>
      <c r="J3338" s="48"/>
      <c r="L3338" s="65"/>
    </row>
    <row r="3339" spans="5:12">
      <c r="E3339" s="49">
        <v>45060.281249988562</v>
      </c>
      <c r="F3339" s="56">
        <v>17.980801818144556</v>
      </c>
      <c r="G3339" s="48"/>
      <c r="H3339" s="48"/>
      <c r="I3339" s="48"/>
      <c r="J3339" s="48"/>
      <c r="L3339" s="65"/>
    </row>
    <row r="3340" spans="5:12">
      <c r="E3340" s="49">
        <v>45060.284722210781</v>
      </c>
      <c r="F3340" s="56">
        <v>17.980801818144556</v>
      </c>
      <c r="G3340" s="48"/>
      <c r="H3340" s="48"/>
      <c r="I3340" s="48"/>
      <c r="J3340" s="48"/>
      <c r="L3340" s="65"/>
    </row>
    <row r="3341" spans="5:12">
      <c r="E3341" s="49">
        <v>45060.288194433</v>
      </c>
      <c r="F3341" s="56">
        <v>17.980801818144556</v>
      </c>
      <c r="G3341" s="48"/>
      <c r="H3341" s="48"/>
      <c r="I3341" s="48"/>
      <c r="J3341" s="48"/>
      <c r="L3341" s="65"/>
    </row>
    <row r="3342" spans="5:12">
      <c r="E3342" s="49">
        <v>45060.291666655219</v>
      </c>
      <c r="F3342" s="56">
        <v>17.980801818144556</v>
      </c>
      <c r="G3342" s="48"/>
      <c r="H3342" s="48"/>
      <c r="I3342" s="48"/>
      <c r="J3342" s="48"/>
      <c r="L3342" s="65"/>
    </row>
    <row r="3343" spans="5:12">
      <c r="E3343" s="49">
        <v>45060.295138877438</v>
      </c>
      <c r="F3343" s="56">
        <v>17.980801818144556</v>
      </c>
      <c r="G3343" s="48"/>
      <c r="H3343" s="48"/>
      <c r="I3343" s="48"/>
      <c r="J3343" s="48"/>
      <c r="L3343" s="65"/>
    </row>
    <row r="3344" spans="5:12">
      <c r="E3344" s="49">
        <v>45060.298611099657</v>
      </c>
      <c r="F3344" s="56">
        <v>17.980801818144556</v>
      </c>
      <c r="G3344" s="48"/>
      <c r="H3344" s="48"/>
      <c r="I3344" s="48"/>
      <c r="J3344" s="48"/>
      <c r="L3344" s="65"/>
    </row>
    <row r="3345" spans="5:12">
      <c r="E3345" s="49">
        <v>45060.302083321876</v>
      </c>
      <c r="F3345" s="56">
        <v>17.980801818144556</v>
      </c>
      <c r="G3345" s="48"/>
      <c r="H3345" s="48"/>
      <c r="I3345" s="48"/>
      <c r="J3345" s="48"/>
      <c r="L3345" s="65"/>
    </row>
    <row r="3346" spans="5:12">
      <c r="E3346" s="49">
        <v>45060.305555544095</v>
      </c>
      <c r="F3346" s="56">
        <v>17.980801818144556</v>
      </c>
      <c r="G3346" s="48"/>
      <c r="H3346" s="48"/>
      <c r="I3346" s="48"/>
      <c r="J3346" s="48"/>
      <c r="L3346" s="65"/>
    </row>
    <row r="3347" spans="5:12">
      <c r="E3347" s="49">
        <v>45060.309027766314</v>
      </c>
      <c r="F3347" s="56">
        <v>17.980801818144556</v>
      </c>
      <c r="G3347" s="48"/>
      <c r="H3347" s="48"/>
      <c r="I3347" s="48"/>
      <c r="J3347" s="48"/>
      <c r="L3347" s="65"/>
    </row>
    <row r="3348" spans="5:12">
      <c r="E3348" s="49">
        <v>45060.312499988533</v>
      </c>
      <c r="F3348" s="56">
        <v>17.980801818144556</v>
      </c>
      <c r="G3348" s="48"/>
      <c r="H3348" s="48"/>
      <c r="I3348" s="48"/>
      <c r="J3348" s="48"/>
      <c r="L3348" s="65"/>
    </row>
    <row r="3349" spans="5:12">
      <c r="E3349" s="49">
        <v>45060.315972210752</v>
      </c>
      <c r="F3349" s="56">
        <v>17.980801818144556</v>
      </c>
      <c r="G3349" s="48"/>
      <c r="H3349" s="48"/>
      <c r="I3349" s="48"/>
      <c r="J3349" s="48"/>
      <c r="L3349" s="65"/>
    </row>
    <row r="3350" spans="5:12">
      <c r="E3350" s="49">
        <v>45060.319444432971</v>
      </c>
      <c r="F3350" s="56">
        <v>17.980801818144556</v>
      </c>
      <c r="G3350" s="48"/>
      <c r="H3350" s="48"/>
      <c r="I3350" s="48"/>
      <c r="J3350" s="48"/>
      <c r="L3350" s="65"/>
    </row>
    <row r="3351" spans="5:12">
      <c r="E3351" s="49">
        <v>45060.32291665519</v>
      </c>
      <c r="F3351" s="56">
        <v>17.980801818144556</v>
      </c>
      <c r="G3351" s="48"/>
      <c r="H3351" s="48"/>
      <c r="I3351" s="48"/>
      <c r="J3351" s="48"/>
      <c r="L3351" s="65"/>
    </row>
    <row r="3352" spans="5:12">
      <c r="E3352" s="49">
        <v>45060.326388877409</v>
      </c>
      <c r="F3352" s="56">
        <v>17.980801818144556</v>
      </c>
      <c r="G3352" s="48"/>
      <c r="H3352" s="48"/>
      <c r="I3352" s="48"/>
      <c r="J3352" s="48"/>
      <c r="L3352" s="65"/>
    </row>
    <row r="3353" spans="5:12">
      <c r="E3353" s="49">
        <v>45060.329861099628</v>
      </c>
      <c r="F3353" s="56">
        <v>17.980801818144556</v>
      </c>
      <c r="G3353" s="48"/>
      <c r="H3353" s="48"/>
      <c r="I3353" s="48"/>
      <c r="J3353" s="48"/>
      <c r="L3353" s="65"/>
    </row>
    <row r="3354" spans="5:12">
      <c r="E3354" s="49">
        <v>45060.333333321847</v>
      </c>
      <c r="F3354" s="56">
        <v>17.980801818144556</v>
      </c>
      <c r="G3354" s="48"/>
      <c r="H3354" s="48"/>
      <c r="I3354" s="48"/>
      <c r="J3354" s="48"/>
      <c r="L3354" s="65"/>
    </row>
    <row r="3355" spans="5:12">
      <c r="E3355" s="49">
        <v>45060.336805544066</v>
      </c>
      <c r="F3355" s="56">
        <v>17.980801818144556</v>
      </c>
      <c r="G3355" s="48"/>
      <c r="H3355" s="48"/>
      <c r="I3355" s="48"/>
      <c r="J3355" s="48"/>
      <c r="L3355" s="65"/>
    </row>
    <row r="3356" spans="5:12">
      <c r="E3356" s="49">
        <v>45060.340277766285</v>
      </c>
      <c r="F3356" s="56">
        <v>17.980801818144556</v>
      </c>
      <c r="G3356" s="48"/>
      <c r="H3356" s="48"/>
      <c r="I3356" s="48"/>
      <c r="J3356" s="48"/>
      <c r="L3356" s="65"/>
    </row>
    <row r="3357" spans="5:12">
      <c r="E3357" s="49">
        <v>45060.343749988504</v>
      </c>
      <c r="F3357" s="56">
        <v>17.980801818144556</v>
      </c>
      <c r="G3357" s="48"/>
      <c r="H3357" s="48"/>
      <c r="I3357" s="48"/>
      <c r="J3357" s="48"/>
      <c r="L3357" s="65"/>
    </row>
    <row r="3358" spans="5:12">
      <c r="E3358" s="49">
        <v>45060.347222210723</v>
      </c>
      <c r="F3358" s="56">
        <v>17.980801818144556</v>
      </c>
      <c r="G3358" s="48"/>
      <c r="H3358" s="48"/>
      <c r="I3358" s="48"/>
      <c r="J3358" s="48"/>
      <c r="L3358" s="65"/>
    </row>
    <row r="3359" spans="5:12">
      <c r="E3359" s="49">
        <v>45060.350694432942</v>
      </c>
      <c r="F3359" s="56">
        <v>17.980801818144556</v>
      </c>
      <c r="G3359" s="48"/>
      <c r="H3359" s="48"/>
      <c r="I3359" s="48"/>
      <c r="J3359" s="48"/>
      <c r="L3359" s="65"/>
    </row>
    <row r="3360" spans="5:12">
      <c r="E3360" s="49">
        <v>45060.354166655161</v>
      </c>
      <c r="F3360" s="56">
        <v>17.980801818144556</v>
      </c>
      <c r="G3360" s="48"/>
      <c r="H3360" s="48"/>
      <c r="I3360" s="48"/>
      <c r="J3360" s="48"/>
      <c r="L3360" s="65"/>
    </row>
    <row r="3361" spans="5:12">
      <c r="E3361" s="49">
        <v>45060.35763887738</v>
      </c>
      <c r="F3361" s="56">
        <v>17.980801818144556</v>
      </c>
      <c r="G3361" s="48"/>
      <c r="H3361" s="48"/>
      <c r="I3361" s="48"/>
      <c r="J3361" s="48"/>
      <c r="L3361" s="65"/>
    </row>
    <row r="3362" spans="5:12">
      <c r="E3362" s="49">
        <v>45060.361111099599</v>
      </c>
      <c r="F3362" s="56">
        <v>17.980801818144556</v>
      </c>
      <c r="G3362" s="48"/>
      <c r="H3362" s="48"/>
      <c r="I3362" s="48"/>
      <c r="J3362" s="48"/>
      <c r="L3362" s="65"/>
    </row>
    <row r="3363" spans="5:12">
      <c r="E3363" s="49">
        <v>45060.364583321818</v>
      </c>
      <c r="F3363" s="56">
        <v>17.980801818144556</v>
      </c>
      <c r="G3363" s="48"/>
      <c r="H3363" s="48"/>
      <c r="I3363" s="48"/>
      <c r="J3363" s="48"/>
      <c r="L3363" s="65"/>
    </row>
    <row r="3364" spans="5:12">
      <c r="E3364" s="49">
        <v>45060.368055544037</v>
      </c>
      <c r="F3364" s="56">
        <v>17.980801818144556</v>
      </c>
      <c r="G3364" s="48"/>
      <c r="H3364" s="48"/>
      <c r="I3364" s="48"/>
      <c r="J3364" s="48"/>
      <c r="L3364" s="65"/>
    </row>
    <row r="3365" spans="5:12">
      <c r="E3365" s="49">
        <v>45060.371527766256</v>
      </c>
      <c r="F3365" s="56">
        <v>17.980801818144556</v>
      </c>
      <c r="G3365" s="48"/>
      <c r="H3365" s="48"/>
      <c r="I3365" s="48"/>
      <c r="J3365" s="48"/>
      <c r="L3365" s="65"/>
    </row>
    <row r="3366" spans="5:12">
      <c r="E3366" s="49">
        <v>45060.374999988475</v>
      </c>
      <c r="F3366" s="56">
        <v>17.980801818144556</v>
      </c>
      <c r="G3366" s="48"/>
      <c r="H3366" s="48"/>
      <c r="I3366" s="48"/>
      <c r="J3366" s="48"/>
      <c r="L3366" s="65"/>
    </row>
    <row r="3367" spans="5:12">
      <c r="E3367" s="49">
        <v>45060.378472210694</v>
      </c>
      <c r="F3367" s="56">
        <v>17.980801818144556</v>
      </c>
      <c r="G3367" s="48"/>
      <c r="H3367" s="48"/>
      <c r="I3367" s="48"/>
      <c r="J3367" s="48"/>
      <c r="L3367" s="65"/>
    </row>
    <row r="3368" spans="5:12">
      <c r="E3368" s="49">
        <v>45060.381944432913</v>
      </c>
      <c r="F3368" s="56">
        <v>17.980801818144556</v>
      </c>
      <c r="G3368" s="48"/>
      <c r="H3368" s="48"/>
      <c r="I3368" s="48"/>
      <c r="J3368" s="48"/>
      <c r="L3368" s="65"/>
    </row>
    <row r="3369" spans="5:12">
      <c r="E3369" s="49">
        <v>45060.385416655132</v>
      </c>
      <c r="F3369" s="56">
        <v>17.980801818144556</v>
      </c>
      <c r="G3369" s="48"/>
      <c r="H3369" s="48"/>
      <c r="I3369" s="48"/>
      <c r="J3369" s="48"/>
      <c r="L3369" s="65"/>
    </row>
    <row r="3370" spans="5:12">
      <c r="E3370" s="49">
        <v>45060.388888877351</v>
      </c>
      <c r="F3370" s="56">
        <v>17.980801818144556</v>
      </c>
      <c r="G3370" s="48"/>
      <c r="H3370" s="48"/>
      <c r="I3370" s="48"/>
      <c r="J3370" s="48"/>
      <c r="L3370" s="65"/>
    </row>
    <row r="3371" spans="5:12">
      <c r="E3371" s="49">
        <v>45060.39236109957</v>
      </c>
      <c r="F3371" s="56">
        <v>17.980801818144556</v>
      </c>
      <c r="G3371" s="48"/>
      <c r="H3371" s="48"/>
      <c r="I3371" s="48"/>
      <c r="J3371" s="48"/>
      <c r="L3371" s="65"/>
    </row>
    <row r="3372" spans="5:12">
      <c r="E3372" s="49">
        <v>45060.395833321789</v>
      </c>
      <c r="F3372" s="56">
        <v>17.980801818144556</v>
      </c>
      <c r="G3372" s="48"/>
      <c r="H3372" s="48"/>
      <c r="I3372" s="48"/>
      <c r="J3372" s="48"/>
      <c r="L3372" s="65"/>
    </row>
    <row r="3373" spans="5:12">
      <c r="E3373" s="49">
        <v>45060.399305544008</v>
      </c>
      <c r="F3373" s="56">
        <v>17.980801818144556</v>
      </c>
      <c r="G3373" s="48"/>
      <c r="H3373" s="48"/>
      <c r="I3373" s="48"/>
      <c r="J3373" s="48"/>
      <c r="L3373" s="65"/>
    </row>
    <row r="3374" spans="5:12">
      <c r="E3374" s="49">
        <v>45060.402777766227</v>
      </c>
      <c r="F3374" s="56">
        <v>17.980801818144556</v>
      </c>
      <c r="G3374" s="48"/>
      <c r="H3374" s="48"/>
      <c r="I3374" s="48"/>
      <c r="J3374" s="48"/>
      <c r="L3374" s="65"/>
    </row>
    <row r="3375" spans="5:12">
      <c r="E3375" s="49">
        <v>45060.406249988446</v>
      </c>
      <c r="F3375" s="56">
        <v>17.980801818144556</v>
      </c>
      <c r="G3375" s="48"/>
      <c r="H3375" s="48"/>
      <c r="I3375" s="48"/>
      <c r="J3375" s="48"/>
      <c r="L3375" s="65"/>
    </row>
    <row r="3376" spans="5:12">
      <c r="E3376" s="49">
        <v>45060.409722210665</v>
      </c>
      <c r="F3376" s="56">
        <v>17.980801818144556</v>
      </c>
      <c r="G3376" s="48"/>
      <c r="H3376" s="48"/>
      <c r="I3376" s="48"/>
      <c r="J3376" s="48"/>
      <c r="L3376" s="65"/>
    </row>
    <row r="3377" spans="5:12">
      <c r="E3377" s="49">
        <v>45060.413194432884</v>
      </c>
      <c r="F3377" s="56">
        <v>17.980801818144556</v>
      </c>
      <c r="G3377" s="48"/>
      <c r="H3377" s="48"/>
      <c r="I3377" s="48"/>
      <c r="J3377" s="48"/>
      <c r="L3377" s="65"/>
    </row>
    <row r="3378" spans="5:12">
      <c r="E3378" s="49">
        <v>45060.416666655103</v>
      </c>
      <c r="F3378" s="56">
        <v>17.980801818144556</v>
      </c>
      <c r="G3378" s="48"/>
      <c r="H3378" s="48"/>
      <c r="I3378" s="48"/>
      <c r="J3378" s="48"/>
      <c r="L3378" s="65"/>
    </row>
    <row r="3379" spans="5:12">
      <c r="E3379" s="49">
        <v>45060.420138877322</v>
      </c>
      <c r="F3379" s="56">
        <v>17.980801818144556</v>
      </c>
      <c r="G3379" s="48"/>
      <c r="H3379" s="48"/>
      <c r="I3379" s="48"/>
      <c r="J3379" s="48"/>
      <c r="L3379" s="65"/>
    </row>
    <row r="3380" spans="5:12">
      <c r="E3380" s="49">
        <v>45060.423611099541</v>
      </c>
      <c r="F3380" s="56">
        <v>17.980801818144556</v>
      </c>
      <c r="G3380" s="48"/>
      <c r="H3380" s="48"/>
      <c r="I3380" s="48"/>
      <c r="J3380" s="48"/>
      <c r="L3380" s="65"/>
    </row>
    <row r="3381" spans="5:12">
      <c r="E3381" s="49">
        <v>45060.42708332176</v>
      </c>
      <c r="F3381" s="56">
        <v>17.980801818144556</v>
      </c>
      <c r="G3381" s="48"/>
      <c r="H3381" s="48"/>
      <c r="I3381" s="48"/>
      <c r="J3381" s="48"/>
      <c r="L3381" s="65"/>
    </row>
    <row r="3382" spans="5:12">
      <c r="E3382" s="49">
        <v>45060.430555543979</v>
      </c>
      <c r="F3382" s="56">
        <v>17.980801818144556</v>
      </c>
      <c r="G3382" s="48"/>
      <c r="H3382" s="48"/>
      <c r="I3382" s="48"/>
      <c r="J3382" s="48"/>
      <c r="L3382" s="65"/>
    </row>
    <row r="3383" spans="5:12">
      <c r="E3383" s="49">
        <v>45060.434027766198</v>
      </c>
      <c r="F3383" s="56">
        <v>17.980801818144556</v>
      </c>
      <c r="G3383" s="48"/>
      <c r="H3383" s="48"/>
      <c r="I3383" s="48"/>
      <c r="J3383" s="48"/>
      <c r="L3383" s="65"/>
    </row>
    <row r="3384" spans="5:12">
      <c r="E3384" s="49">
        <v>45060.437499988417</v>
      </c>
      <c r="F3384" s="56">
        <v>17.980801818144556</v>
      </c>
      <c r="G3384" s="48"/>
      <c r="H3384" s="48"/>
      <c r="I3384" s="48"/>
      <c r="J3384" s="48"/>
      <c r="L3384" s="65"/>
    </row>
    <row r="3385" spans="5:12">
      <c r="E3385" s="49">
        <v>45060.440972210636</v>
      </c>
      <c r="F3385" s="56">
        <v>17.980801818144556</v>
      </c>
      <c r="G3385" s="48"/>
      <c r="H3385" s="48"/>
      <c r="I3385" s="48"/>
      <c r="J3385" s="48"/>
      <c r="L3385" s="65"/>
    </row>
    <row r="3386" spans="5:12">
      <c r="E3386" s="49">
        <v>45060.444444432855</v>
      </c>
      <c r="F3386" s="56">
        <v>17.980801818144556</v>
      </c>
      <c r="G3386" s="48"/>
      <c r="H3386" s="48"/>
      <c r="I3386" s="48"/>
      <c r="J3386" s="48"/>
      <c r="L3386" s="65"/>
    </row>
    <row r="3387" spans="5:12">
      <c r="E3387" s="49">
        <v>45060.447916655074</v>
      </c>
      <c r="F3387" s="56">
        <v>17.980801818144556</v>
      </c>
      <c r="G3387" s="48"/>
      <c r="H3387" s="48"/>
      <c r="I3387" s="48"/>
      <c r="J3387" s="48"/>
      <c r="L3387" s="65"/>
    </row>
    <row r="3388" spans="5:12">
      <c r="E3388" s="49">
        <v>45060.451388877293</v>
      </c>
      <c r="F3388" s="56">
        <v>17.980801818144556</v>
      </c>
      <c r="G3388" s="48"/>
      <c r="H3388" s="48"/>
      <c r="I3388" s="48"/>
      <c r="J3388" s="48"/>
      <c r="L3388" s="65"/>
    </row>
    <row r="3389" spans="5:12">
      <c r="E3389" s="49">
        <v>45060.454861099512</v>
      </c>
      <c r="F3389" s="56">
        <v>17.980801818144556</v>
      </c>
      <c r="G3389" s="48"/>
      <c r="H3389" s="48"/>
      <c r="I3389" s="48"/>
      <c r="J3389" s="48"/>
      <c r="L3389" s="65"/>
    </row>
    <row r="3390" spans="5:12">
      <c r="E3390" s="49">
        <v>45060.458333321731</v>
      </c>
      <c r="F3390" s="56">
        <v>17.980801818144556</v>
      </c>
      <c r="G3390" s="48"/>
      <c r="H3390" s="48"/>
      <c r="I3390" s="48"/>
      <c r="J3390" s="48"/>
      <c r="L3390" s="65"/>
    </row>
    <row r="3391" spans="5:12">
      <c r="E3391" s="49">
        <v>45060.46180554395</v>
      </c>
      <c r="F3391" s="56">
        <v>17.980801818144556</v>
      </c>
      <c r="G3391" s="48"/>
      <c r="H3391" s="48"/>
      <c r="I3391" s="48"/>
      <c r="J3391" s="48"/>
      <c r="L3391" s="65"/>
    </row>
    <row r="3392" spans="5:12">
      <c r="E3392" s="49">
        <v>45060.465277766169</v>
      </c>
      <c r="F3392" s="56">
        <v>17.980801818144556</v>
      </c>
      <c r="G3392" s="48"/>
      <c r="H3392" s="48"/>
      <c r="I3392" s="48"/>
      <c r="J3392" s="48"/>
      <c r="L3392" s="65"/>
    </row>
    <row r="3393" spans="5:12">
      <c r="E3393" s="49">
        <v>45060.468749988388</v>
      </c>
      <c r="F3393" s="56">
        <v>17.980801818144556</v>
      </c>
      <c r="G3393" s="48"/>
      <c r="H3393" s="48"/>
      <c r="I3393" s="48"/>
      <c r="J3393" s="48"/>
      <c r="L3393" s="65"/>
    </row>
    <row r="3394" spans="5:12">
      <c r="E3394" s="49">
        <v>45060.472222210607</v>
      </c>
      <c r="F3394" s="56">
        <v>17.980801818144556</v>
      </c>
      <c r="G3394" s="48"/>
      <c r="H3394" s="48"/>
      <c r="I3394" s="48"/>
      <c r="J3394" s="48"/>
      <c r="L3394" s="65"/>
    </row>
    <row r="3395" spans="5:12">
      <c r="E3395" s="49">
        <v>45060.475694432826</v>
      </c>
      <c r="F3395" s="56">
        <v>17.980801818144556</v>
      </c>
      <c r="G3395" s="48"/>
      <c r="H3395" s="48"/>
      <c r="I3395" s="48"/>
      <c r="J3395" s="48"/>
      <c r="L3395" s="65"/>
    </row>
    <row r="3396" spans="5:12">
      <c r="E3396" s="49">
        <v>45060.479166655045</v>
      </c>
      <c r="F3396" s="56">
        <v>17.980801818144556</v>
      </c>
      <c r="G3396" s="48"/>
      <c r="H3396" s="48"/>
      <c r="I3396" s="48"/>
      <c r="J3396" s="48"/>
      <c r="L3396" s="65"/>
    </row>
    <row r="3397" spans="5:12">
      <c r="E3397" s="49">
        <v>45060.482638877264</v>
      </c>
      <c r="F3397" s="56">
        <v>17.980801818144556</v>
      </c>
      <c r="G3397" s="48"/>
      <c r="H3397" s="48"/>
      <c r="I3397" s="48"/>
      <c r="J3397" s="48"/>
      <c r="L3397" s="65"/>
    </row>
    <row r="3398" spans="5:12">
      <c r="E3398" s="49">
        <v>45060.486111099483</v>
      </c>
      <c r="F3398" s="56">
        <v>17.980801818144556</v>
      </c>
      <c r="G3398" s="48"/>
      <c r="H3398" s="48"/>
      <c r="I3398" s="48"/>
      <c r="J3398" s="48"/>
      <c r="L3398" s="65"/>
    </row>
    <row r="3399" spans="5:12">
      <c r="E3399" s="49">
        <v>45060.489583321702</v>
      </c>
      <c r="F3399" s="56">
        <v>17.980801818144556</v>
      </c>
      <c r="G3399" s="48"/>
      <c r="H3399" s="48"/>
      <c r="I3399" s="48"/>
      <c r="J3399" s="48"/>
      <c r="L3399" s="65"/>
    </row>
    <row r="3400" spans="5:12">
      <c r="E3400" s="49">
        <v>45060.49305554392</v>
      </c>
      <c r="F3400" s="56">
        <v>17.980801818144556</v>
      </c>
      <c r="G3400" s="48"/>
      <c r="H3400" s="48"/>
      <c r="I3400" s="48"/>
      <c r="J3400" s="48"/>
      <c r="L3400" s="65"/>
    </row>
    <row r="3401" spans="5:12">
      <c r="E3401" s="49">
        <v>45060.496527766139</v>
      </c>
      <c r="F3401" s="56">
        <v>17.980801818144556</v>
      </c>
      <c r="G3401" s="48"/>
      <c r="H3401" s="48"/>
      <c r="I3401" s="48"/>
      <c r="J3401" s="48"/>
      <c r="L3401" s="65"/>
    </row>
    <row r="3402" spans="5:12">
      <c r="E3402" s="49">
        <v>45060.499999988358</v>
      </c>
      <c r="F3402" s="56">
        <v>17.980801818144556</v>
      </c>
      <c r="G3402" s="48"/>
      <c r="H3402" s="48"/>
      <c r="I3402" s="48"/>
      <c r="J3402" s="48"/>
      <c r="L3402" s="65"/>
    </row>
    <row r="3403" spans="5:12">
      <c r="E3403" s="49">
        <v>45060.503472210577</v>
      </c>
      <c r="F3403" s="56">
        <v>17.980801818144556</v>
      </c>
      <c r="G3403" s="48"/>
      <c r="H3403" s="48"/>
      <c r="I3403" s="48"/>
      <c r="J3403" s="48"/>
      <c r="L3403" s="65"/>
    </row>
    <row r="3404" spans="5:12">
      <c r="E3404" s="49">
        <v>45060.506944432796</v>
      </c>
      <c r="F3404" s="56">
        <v>17.980801818144556</v>
      </c>
      <c r="G3404" s="48"/>
      <c r="H3404" s="48"/>
      <c r="I3404" s="48"/>
      <c r="J3404" s="48"/>
      <c r="L3404" s="65"/>
    </row>
    <row r="3405" spans="5:12">
      <c r="E3405" s="49">
        <v>45060.510416655015</v>
      </c>
      <c r="F3405" s="56">
        <v>17.980801818144556</v>
      </c>
      <c r="G3405" s="48"/>
      <c r="H3405" s="48"/>
      <c r="I3405" s="48"/>
      <c r="J3405" s="48"/>
      <c r="L3405" s="65"/>
    </row>
    <row r="3406" spans="5:12">
      <c r="E3406" s="49">
        <v>45060.513888877234</v>
      </c>
      <c r="F3406" s="56">
        <v>17.980801818144556</v>
      </c>
      <c r="G3406" s="48"/>
      <c r="H3406" s="48"/>
      <c r="I3406" s="48"/>
      <c r="J3406" s="48"/>
      <c r="L3406" s="65"/>
    </row>
    <row r="3407" spans="5:12">
      <c r="E3407" s="49">
        <v>45060.517361099453</v>
      </c>
      <c r="F3407" s="56">
        <v>17.980801818144556</v>
      </c>
      <c r="G3407" s="48"/>
      <c r="H3407" s="48"/>
      <c r="I3407" s="48"/>
      <c r="J3407" s="48"/>
      <c r="L3407" s="65"/>
    </row>
    <row r="3408" spans="5:12">
      <c r="E3408" s="49">
        <v>45060.520833321672</v>
      </c>
      <c r="F3408" s="56">
        <v>17.980801818144556</v>
      </c>
      <c r="G3408" s="48"/>
      <c r="H3408" s="48"/>
      <c r="I3408" s="48"/>
      <c r="J3408" s="48"/>
      <c r="L3408" s="65"/>
    </row>
    <row r="3409" spans="5:12">
      <c r="E3409" s="49">
        <v>45060.524305543891</v>
      </c>
      <c r="F3409" s="56">
        <v>17.980801818144556</v>
      </c>
      <c r="G3409" s="48"/>
      <c r="H3409" s="48"/>
      <c r="I3409" s="48"/>
      <c r="J3409" s="48"/>
      <c r="L3409" s="65"/>
    </row>
    <row r="3410" spans="5:12">
      <c r="E3410" s="49">
        <v>45060.52777776611</v>
      </c>
      <c r="F3410" s="56">
        <v>17.980801818144556</v>
      </c>
      <c r="G3410" s="48"/>
      <c r="H3410" s="48"/>
      <c r="I3410" s="48"/>
      <c r="J3410" s="48"/>
      <c r="L3410" s="65"/>
    </row>
    <row r="3411" spans="5:12">
      <c r="E3411" s="49">
        <v>45060.531249988329</v>
      </c>
      <c r="F3411" s="56">
        <v>17.980801818144556</v>
      </c>
      <c r="G3411" s="48"/>
      <c r="H3411" s="48"/>
      <c r="I3411" s="48"/>
      <c r="J3411" s="48"/>
      <c r="L3411" s="65"/>
    </row>
    <row r="3412" spans="5:12">
      <c r="E3412" s="49">
        <v>45060.534722210548</v>
      </c>
      <c r="F3412" s="56">
        <v>17.980801818144556</v>
      </c>
      <c r="G3412" s="48"/>
      <c r="H3412" s="48"/>
      <c r="I3412" s="48"/>
      <c r="J3412" s="48"/>
      <c r="L3412" s="65"/>
    </row>
    <row r="3413" spans="5:12">
      <c r="E3413" s="49">
        <v>45060.538194432767</v>
      </c>
      <c r="F3413" s="56">
        <v>17.980801818144556</v>
      </c>
      <c r="G3413" s="48"/>
      <c r="H3413" s="48"/>
      <c r="I3413" s="48"/>
      <c r="J3413" s="48"/>
      <c r="L3413" s="65"/>
    </row>
    <row r="3414" spans="5:12">
      <c r="E3414" s="49">
        <v>45060.541666654986</v>
      </c>
      <c r="F3414" s="56">
        <v>17.980801818144556</v>
      </c>
      <c r="G3414" s="48"/>
      <c r="H3414" s="48"/>
      <c r="I3414" s="48"/>
      <c r="J3414" s="48"/>
      <c r="L3414" s="65"/>
    </row>
    <row r="3415" spans="5:12">
      <c r="E3415" s="49">
        <v>45060.545138877205</v>
      </c>
      <c r="F3415" s="56">
        <v>13.256888208862023</v>
      </c>
      <c r="G3415" s="48"/>
      <c r="H3415" s="48"/>
      <c r="I3415" s="48"/>
      <c r="J3415" s="48"/>
      <c r="L3415" s="65"/>
    </row>
    <row r="3416" spans="5:12">
      <c r="E3416" s="49">
        <v>45060.548611099424</v>
      </c>
      <c r="F3416" s="56">
        <v>13.256888208862023</v>
      </c>
      <c r="G3416" s="48"/>
      <c r="H3416" s="48"/>
      <c r="I3416" s="48"/>
      <c r="J3416" s="48"/>
      <c r="L3416" s="65"/>
    </row>
    <row r="3417" spans="5:12">
      <c r="E3417" s="49">
        <v>45060.552083321643</v>
      </c>
      <c r="F3417" s="56">
        <v>13.256888208862023</v>
      </c>
      <c r="G3417" s="48"/>
      <c r="H3417" s="48"/>
      <c r="I3417" s="48"/>
      <c r="J3417" s="48"/>
      <c r="L3417" s="65"/>
    </row>
    <row r="3418" spans="5:12">
      <c r="E3418" s="49">
        <v>45060.555555543862</v>
      </c>
      <c r="F3418" s="56">
        <v>13.256888208862023</v>
      </c>
      <c r="G3418" s="48"/>
      <c r="H3418" s="48"/>
      <c r="I3418" s="48"/>
      <c r="J3418" s="48"/>
      <c r="L3418" s="65"/>
    </row>
    <row r="3419" spans="5:12">
      <c r="E3419" s="49">
        <v>45060.559027766081</v>
      </c>
      <c r="F3419" s="56">
        <v>13.256888208862023</v>
      </c>
      <c r="G3419" s="48"/>
      <c r="H3419" s="48"/>
      <c r="I3419" s="48"/>
      <c r="J3419" s="48"/>
      <c r="L3419" s="65"/>
    </row>
    <row r="3420" spans="5:12">
      <c r="E3420" s="49">
        <v>45060.5624999883</v>
      </c>
      <c r="F3420" s="56">
        <v>13.256888208862023</v>
      </c>
      <c r="G3420" s="48"/>
      <c r="H3420" s="48"/>
      <c r="I3420" s="48"/>
      <c r="J3420" s="48"/>
      <c r="L3420" s="65"/>
    </row>
    <row r="3421" spans="5:12">
      <c r="E3421" s="49">
        <v>45060.565972210519</v>
      </c>
      <c r="F3421" s="56">
        <v>13.256888208862023</v>
      </c>
      <c r="G3421" s="48"/>
      <c r="H3421" s="48"/>
      <c r="I3421" s="48"/>
      <c r="J3421" s="48"/>
      <c r="L3421" s="65"/>
    </row>
    <row r="3422" spans="5:12">
      <c r="E3422" s="49">
        <v>45060.569444432738</v>
      </c>
      <c r="F3422" s="56">
        <v>13.256888208862023</v>
      </c>
      <c r="G3422" s="48"/>
      <c r="H3422" s="48"/>
      <c r="I3422" s="48"/>
      <c r="J3422" s="48"/>
      <c r="L3422" s="65"/>
    </row>
    <row r="3423" spans="5:12">
      <c r="E3423" s="49">
        <v>45060.572916654957</v>
      </c>
      <c r="F3423" s="56">
        <v>13.256888208862023</v>
      </c>
      <c r="G3423" s="48"/>
      <c r="H3423" s="48"/>
      <c r="I3423" s="48"/>
      <c r="J3423" s="48"/>
      <c r="L3423" s="65"/>
    </row>
    <row r="3424" spans="5:12">
      <c r="E3424" s="49">
        <v>45060.576388877176</v>
      </c>
      <c r="F3424" s="56">
        <v>13.256888208862023</v>
      </c>
      <c r="G3424" s="48"/>
      <c r="H3424" s="48"/>
      <c r="I3424" s="48"/>
      <c r="J3424" s="48"/>
      <c r="L3424" s="65"/>
    </row>
    <row r="3425" spans="5:12">
      <c r="E3425" s="49">
        <v>45060.579861099395</v>
      </c>
      <c r="F3425" s="56">
        <v>13.256888208862023</v>
      </c>
      <c r="G3425" s="48"/>
      <c r="H3425" s="48"/>
      <c r="I3425" s="48"/>
      <c r="J3425" s="48"/>
      <c r="L3425" s="65"/>
    </row>
    <row r="3426" spans="5:12">
      <c r="E3426" s="49">
        <v>45060.583333321614</v>
      </c>
      <c r="F3426" s="56">
        <v>13.256888208862023</v>
      </c>
      <c r="G3426" s="48"/>
      <c r="H3426" s="48"/>
      <c r="I3426" s="48"/>
      <c r="J3426" s="48"/>
      <c r="L3426" s="65"/>
    </row>
    <row r="3427" spans="5:12">
      <c r="E3427" s="49">
        <v>45060.586805543833</v>
      </c>
      <c r="F3427" s="56">
        <v>13.256888208862023</v>
      </c>
      <c r="G3427" s="48"/>
      <c r="H3427" s="48"/>
      <c r="I3427" s="48"/>
      <c r="J3427" s="48"/>
      <c r="L3427" s="65"/>
    </row>
    <row r="3428" spans="5:12">
      <c r="E3428" s="49">
        <v>45060.590277766052</v>
      </c>
      <c r="F3428" s="56">
        <v>13.256888208862023</v>
      </c>
      <c r="G3428" s="48"/>
      <c r="H3428" s="48"/>
      <c r="I3428" s="48"/>
      <c r="J3428" s="48"/>
      <c r="L3428" s="65"/>
    </row>
    <row r="3429" spans="5:12">
      <c r="E3429" s="49">
        <v>45060.593749988271</v>
      </c>
      <c r="F3429" s="56">
        <v>13.256888208862023</v>
      </c>
      <c r="G3429" s="48"/>
      <c r="H3429" s="48"/>
      <c r="I3429" s="48"/>
      <c r="J3429" s="48"/>
      <c r="L3429" s="65"/>
    </row>
    <row r="3430" spans="5:12">
      <c r="E3430" s="49">
        <v>45060.59722221049</v>
      </c>
      <c r="F3430" s="56">
        <v>13.256888208862023</v>
      </c>
      <c r="G3430" s="48"/>
      <c r="H3430" s="48"/>
      <c r="I3430" s="48"/>
      <c r="J3430" s="48"/>
      <c r="L3430" s="65"/>
    </row>
    <row r="3431" spans="5:12">
      <c r="E3431" s="49">
        <v>45060.600694432709</v>
      </c>
      <c r="F3431" s="56">
        <v>13.256888208862023</v>
      </c>
      <c r="G3431" s="48"/>
      <c r="H3431" s="48"/>
      <c r="I3431" s="48"/>
      <c r="J3431" s="48"/>
      <c r="L3431" s="65"/>
    </row>
    <row r="3432" spans="5:12">
      <c r="E3432" s="49">
        <v>45060.604166654928</v>
      </c>
      <c r="F3432" s="56">
        <v>13.256888208862023</v>
      </c>
      <c r="G3432" s="48"/>
      <c r="H3432" s="48"/>
      <c r="I3432" s="48"/>
      <c r="J3432" s="48"/>
      <c r="L3432" s="65"/>
    </row>
    <row r="3433" spans="5:12">
      <c r="E3433" s="49">
        <v>45060.607638877147</v>
      </c>
      <c r="F3433" s="56">
        <v>13.256888208862023</v>
      </c>
      <c r="G3433" s="48"/>
      <c r="H3433" s="48"/>
      <c r="I3433" s="48"/>
      <c r="J3433" s="48"/>
      <c r="L3433" s="65"/>
    </row>
    <row r="3434" spans="5:12">
      <c r="E3434" s="49">
        <v>45060.611111099366</v>
      </c>
      <c r="F3434" s="56">
        <v>13.256888208862023</v>
      </c>
      <c r="G3434" s="48"/>
      <c r="H3434" s="48"/>
      <c r="I3434" s="48"/>
      <c r="J3434" s="48"/>
      <c r="L3434" s="65"/>
    </row>
    <row r="3435" spans="5:12">
      <c r="E3435" s="49">
        <v>45060.614583321585</v>
      </c>
      <c r="F3435" s="56">
        <v>13.256888208862023</v>
      </c>
      <c r="G3435" s="48"/>
      <c r="H3435" s="48"/>
      <c r="I3435" s="48"/>
      <c r="J3435" s="48"/>
      <c r="L3435" s="65"/>
    </row>
    <row r="3436" spans="5:12">
      <c r="E3436" s="49">
        <v>45060.618055543804</v>
      </c>
      <c r="F3436" s="56">
        <v>13.256888208862023</v>
      </c>
      <c r="G3436" s="48"/>
      <c r="H3436" s="48"/>
      <c r="I3436" s="48"/>
      <c r="J3436" s="48"/>
      <c r="L3436" s="65"/>
    </row>
    <row r="3437" spans="5:12">
      <c r="E3437" s="49">
        <v>45060.621527766023</v>
      </c>
      <c r="F3437" s="56">
        <v>13.256888208862023</v>
      </c>
      <c r="G3437" s="48"/>
      <c r="H3437" s="48"/>
      <c r="I3437" s="48"/>
      <c r="J3437" s="48"/>
      <c r="L3437" s="65"/>
    </row>
    <row r="3438" spans="5:12">
      <c r="E3438" s="49">
        <v>45060.624999988242</v>
      </c>
      <c r="F3438" s="56">
        <v>13.256888208862023</v>
      </c>
      <c r="G3438" s="48"/>
      <c r="H3438" s="48"/>
      <c r="I3438" s="48"/>
      <c r="J3438" s="48"/>
      <c r="L3438" s="65"/>
    </row>
    <row r="3439" spans="5:12">
      <c r="E3439" s="49">
        <v>45060.628472210461</v>
      </c>
      <c r="F3439" s="56">
        <v>0</v>
      </c>
      <c r="G3439" s="48"/>
      <c r="H3439" s="48"/>
      <c r="I3439" s="48"/>
      <c r="J3439" s="48"/>
      <c r="L3439" s="65"/>
    </row>
    <row r="3440" spans="5:12">
      <c r="E3440" s="49">
        <v>45060.63194443268</v>
      </c>
      <c r="F3440" s="56">
        <v>0</v>
      </c>
      <c r="G3440" s="48"/>
      <c r="H3440" s="48"/>
      <c r="I3440" s="48"/>
      <c r="J3440" s="48"/>
      <c r="L3440" s="65"/>
    </row>
    <row r="3441" spans="5:12">
      <c r="E3441" s="49">
        <v>45060.635416654899</v>
      </c>
      <c r="F3441" s="56">
        <v>0</v>
      </c>
      <c r="G3441" s="48"/>
      <c r="H3441" s="48"/>
      <c r="I3441" s="48"/>
      <c r="J3441" s="48"/>
      <c r="L3441" s="65"/>
    </row>
    <row r="3442" spans="5:12">
      <c r="E3442" s="49">
        <v>45060.638888877118</v>
      </c>
      <c r="F3442" s="56">
        <v>0</v>
      </c>
      <c r="G3442" s="48"/>
      <c r="H3442" s="48"/>
      <c r="I3442" s="48"/>
      <c r="J3442" s="48"/>
      <c r="L3442" s="65"/>
    </row>
    <row r="3443" spans="5:12">
      <c r="E3443" s="49">
        <v>45060.642361099337</v>
      </c>
      <c r="F3443" s="56">
        <v>0</v>
      </c>
      <c r="G3443" s="48"/>
      <c r="H3443" s="48"/>
      <c r="I3443" s="48"/>
      <c r="J3443" s="48"/>
      <c r="L3443" s="65"/>
    </row>
    <row r="3444" spans="5:12">
      <c r="E3444" s="49">
        <v>45060.645833321556</v>
      </c>
      <c r="F3444" s="56">
        <v>0</v>
      </c>
      <c r="G3444" s="48"/>
      <c r="H3444" s="48"/>
      <c r="I3444" s="48"/>
      <c r="J3444" s="48"/>
      <c r="L3444" s="65"/>
    </row>
    <row r="3445" spans="5:12">
      <c r="E3445" s="49">
        <v>45060.649305543775</v>
      </c>
      <c r="F3445" s="56">
        <v>0</v>
      </c>
      <c r="G3445" s="48"/>
      <c r="H3445" s="48"/>
      <c r="I3445" s="48"/>
      <c r="J3445" s="48"/>
      <c r="L3445" s="65"/>
    </row>
    <row r="3446" spans="5:12">
      <c r="E3446" s="49">
        <v>45060.652777765994</v>
      </c>
      <c r="F3446" s="56">
        <v>0</v>
      </c>
      <c r="G3446" s="48"/>
      <c r="H3446" s="48"/>
      <c r="I3446" s="48"/>
      <c r="J3446" s="48"/>
      <c r="L3446" s="65"/>
    </row>
    <row r="3447" spans="5:12">
      <c r="E3447" s="49">
        <v>45060.656249988213</v>
      </c>
      <c r="F3447" s="56">
        <v>0</v>
      </c>
      <c r="G3447" s="48"/>
      <c r="H3447" s="48"/>
      <c r="I3447" s="48"/>
      <c r="J3447" s="48"/>
      <c r="L3447" s="65"/>
    </row>
    <row r="3448" spans="5:12">
      <c r="E3448" s="49">
        <v>45060.659722210432</v>
      </c>
      <c r="F3448" s="56">
        <v>0</v>
      </c>
      <c r="G3448" s="48"/>
      <c r="H3448" s="48"/>
      <c r="I3448" s="48"/>
      <c r="J3448" s="48"/>
      <c r="L3448" s="65"/>
    </row>
    <row r="3449" spans="5:12">
      <c r="E3449" s="49">
        <v>45060.663194432651</v>
      </c>
      <c r="F3449" s="56">
        <v>0</v>
      </c>
      <c r="G3449" s="48"/>
      <c r="H3449" s="48"/>
      <c r="I3449" s="48"/>
      <c r="J3449" s="48"/>
      <c r="L3449" s="65"/>
    </row>
    <row r="3450" spans="5:12">
      <c r="E3450" s="49">
        <v>45060.66666665487</v>
      </c>
      <c r="F3450" s="56">
        <v>0</v>
      </c>
      <c r="G3450" s="48"/>
      <c r="H3450" s="48"/>
      <c r="I3450" s="48"/>
      <c r="J3450" s="48"/>
      <c r="L3450" s="65"/>
    </row>
    <row r="3451" spans="5:12">
      <c r="E3451" s="49">
        <v>45060.670138877089</v>
      </c>
      <c r="F3451" s="56">
        <v>0</v>
      </c>
      <c r="G3451" s="48"/>
      <c r="H3451" s="48"/>
      <c r="I3451" s="48"/>
      <c r="J3451" s="48"/>
      <c r="L3451" s="65"/>
    </row>
    <row r="3452" spans="5:12">
      <c r="E3452" s="49">
        <v>45060.673611099308</v>
      </c>
      <c r="F3452" s="56">
        <v>0</v>
      </c>
      <c r="G3452" s="48"/>
      <c r="H3452" s="48"/>
      <c r="I3452" s="48"/>
      <c r="J3452" s="48"/>
      <c r="L3452" s="65"/>
    </row>
    <row r="3453" spans="5:12">
      <c r="E3453" s="49">
        <v>45060.677083321527</v>
      </c>
      <c r="F3453" s="56">
        <v>0</v>
      </c>
      <c r="G3453" s="48"/>
      <c r="H3453" s="48"/>
      <c r="I3453" s="48"/>
      <c r="J3453" s="48"/>
      <c r="L3453" s="65"/>
    </row>
    <row r="3454" spans="5:12">
      <c r="E3454" s="49">
        <v>45060.680555543746</v>
      </c>
      <c r="F3454" s="56">
        <v>0</v>
      </c>
      <c r="G3454" s="48"/>
      <c r="H3454" s="48"/>
      <c r="I3454" s="48"/>
      <c r="J3454" s="48"/>
      <c r="L3454" s="65"/>
    </row>
    <row r="3455" spans="5:12">
      <c r="E3455" s="49">
        <v>45060.684027765965</v>
      </c>
      <c r="F3455" s="56">
        <v>0</v>
      </c>
      <c r="G3455" s="48"/>
      <c r="H3455" s="48"/>
      <c r="I3455" s="48"/>
      <c r="J3455" s="48"/>
      <c r="L3455" s="65"/>
    </row>
    <row r="3456" spans="5:12">
      <c r="E3456" s="49">
        <v>45060.687499988184</v>
      </c>
      <c r="F3456" s="56">
        <v>0</v>
      </c>
      <c r="G3456" s="48"/>
      <c r="H3456" s="48"/>
      <c r="I3456" s="48"/>
      <c r="J3456" s="48"/>
      <c r="L3456" s="65"/>
    </row>
    <row r="3457" spans="5:12">
      <c r="E3457" s="49">
        <v>45060.690972210403</v>
      </c>
      <c r="F3457" s="56">
        <v>0</v>
      </c>
      <c r="G3457" s="48"/>
      <c r="H3457" s="48"/>
      <c r="I3457" s="48"/>
      <c r="J3457" s="48"/>
      <c r="L3457" s="65"/>
    </row>
    <row r="3458" spans="5:12">
      <c r="E3458" s="49">
        <v>45060.694444432622</v>
      </c>
      <c r="F3458" s="56">
        <v>0</v>
      </c>
      <c r="G3458" s="48"/>
      <c r="H3458" s="48"/>
      <c r="I3458" s="48"/>
      <c r="J3458" s="48"/>
      <c r="L3458" s="65"/>
    </row>
    <row r="3459" spans="5:12">
      <c r="E3459" s="49">
        <v>45060.697916654841</v>
      </c>
      <c r="F3459" s="56">
        <v>0</v>
      </c>
      <c r="G3459" s="48"/>
      <c r="H3459" s="48"/>
      <c r="I3459" s="48"/>
      <c r="J3459" s="48"/>
      <c r="L3459" s="65"/>
    </row>
    <row r="3460" spans="5:12">
      <c r="E3460" s="49">
        <v>45060.70138887706</v>
      </c>
      <c r="F3460" s="56">
        <v>0</v>
      </c>
      <c r="G3460" s="48"/>
      <c r="H3460" s="48"/>
      <c r="I3460" s="48"/>
      <c r="J3460" s="48"/>
      <c r="L3460" s="65"/>
    </row>
    <row r="3461" spans="5:12">
      <c r="E3461" s="49">
        <v>45060.704861099279</v>
      </c>
      <c r="F3461" s="56">
        <v>0</v>
      </c>
      <c r="G3461" s="48"/>
      <c r="H3461" s="48"/>
      <c r="I3461" s="48"/>
      <c r="J3461" s="48"/>
      <c r="L3461" s="65"/>
    </row>
    <row r="3462" spans="5:12">
      <c r="E3462" s="49">
        <v>45060.708333321498</v>
      </c>
      <c r="F3462" s="56">
        <v>0</v>
      </c>
      <c r="G3462" s="48"/>
      <c r="H3462" s="48"/>
      <c r="I3462" s="48"/>
      <c r="J3462" s="48"/>
      <c r="L3462" s="65"/>
    </row>
    <row r="3463" spans="5:12">
      <c r="E3463" s="49">
        <v>45060.711805543717</v>
      </c>
      <c r="F3463" s="56">
        <v>0</v>
      </c>
      <c r="G3463" s="48"/>
      <c r="H3463" s="48"/>
      <c r="I3463" s="48"/>
      <c r="J3463" s="48"/>
      <c r="L3463" s="65"/>
    </row>
    <row r="3464" spans="5:12">
      <c r="E3464" s="49">
        <v>45060.715277765936</v>
      </c>
      <c r="F3464" s="56">
        <v>0</v>
      </c>
      <c r="G3464" s="48"/>
      <c r="H3464" s="48"/>
      <c r="I3464" s="48"/>
      <c r="J3464" s="48"/>
      <c r="L3464" s="65"/>
    </row>
    <row r="3465" spans="5:12">
      <c r="E3465" s="49">
        <v>45060.718749988155</v>
      </c>
      <c r="F3465" s="56">
        <v>0</v>
      </c>
      <c r="G3465" s="48"/>
      <c r="H3465" s="48"/>
      <c r="I3465" s="48"/>
      <c r="J3465" s="48"/>
      <c r="L3465" s="65"/>
    </row>
    <row r="3466" spans="5:12">
      <c r="E3466" s="49">
        <v>45060.722222210374</v>
      </c>
      <c r="F3466" s="56">
        <v>0</v>
      </c>
      <c r="G3466" s="48"/>
      <c r="H3466" s="48"/>
      <c r="I3466" s="48"/>
      <c r="J3466" s="48"/>
      <c r="L3466" s="65"/>
    </row>
    <row r="3467" spans="5:12">
      <c r="E3467" s="49">
        <v>45060.725694432593</v>
      </c>
      <c r="F3467" s="56">
        <v>0</v>
      </c>
      <c r="G3467" s="48"/>
      <c r="H3467" s="48"/>
      <c r="I3467" s="48"/>
      <c r="J3467" s="48"/>
      <c r="L3467" s="65"/>
    </row>
    <row r="3468" spans="5:12">
      <c r="E3468" s="49">
        <v>45060.729166654812</v>
      </c>
      <c r="F3468" s="56">
        <v>0</v>
      </c>
      <c r="G3468" s="48"/>
      <c r="H3468" s="48"/>
      <c r="I3468" s="48"/>
      <c r="J3468" s="48"/>
      <c r="L3468" s="65"/>
    </row>
    <row r="3469" spans="5:12">
      <c r="E3469" s="49">
        <v>45060.732638877031</v>
      </c>
      <c r="F3469" s="56">
        <v>0</v>
      </c>
      <c r="G3469" s="48"/>
      <c r="H3469" s="48"/>
      <c r="I3469" s="48"/>
      <c r="J3469" s="48"/>
      <c r="L3469" s="65"/>
    </row>
    <row r="3470" spans="5:12">
      <c r="E3470" s="49">
        <v>45060.73611109925</v>
      </c>
      <c r="F3470" s="56">
        <v>0</v>
      </c>
      <c r="G3470" s="48"/>
      <c r="H3470" s="48"/>
      <c r="I3470" s="48"/>
      <c r="J3470" s="48"/>
      <c r="L3470" s="65"/>
    </row>
    <row r="3471" spans="5:12">
      <c r="E3471" s="49">
        <v>45060.739583321469</v>
      </c>
      <c r="F3471" s="56">
        <v>0</v>
      </c>
      <c r="G3471" s="48"/>
      <c r="H3471" s="48"/>
      <c r="I3471" s="48"/>
      <c r="J3471" s="48"/>
      <c r="L3471" s="65"/>
    </row>
    <row r="3472" spans="5:12">
      <c r="E3472" s="49">
        <v>45060.743055543688</v>
      </c>
      <c r="F3472" s="56">
        <v>0</v>
      </c>
      <c r="G3472" s="48"/>
      <c r="H3472" s="48"/>
      <c r="I3472" s="48"/>
      <c r="J3472" s="48"/>
      <c r="L3472" s="65"/>
    </row>
    <row r="3473" spans="5:12">
      <c r="E3473" s="49">
        <v>45060.746527765907</v>
      </c>
      <c r="F3473" s="56">
        <v>0</v>
      </c>
      <c r="G3473" s="48"/>
      <c r="H3473" s="48"/>
      <c r="I3473" s="48"/>
      <c r="J3473" s="48"/>
      <c r="L3473" s="65"/>
    </row>
    <row r="3474" spans="5:12">
      <c r="E3474" s="49">
        <v>45060.749999988126</v>
      </c>
      <c r="F3474" s="56">
        <v>0</v>
      </c>
      <c r="G3474" s="48"/>
      <c r="H3474" s="48"/>
      <c r="I3474" s="48"/>
      <c r="J3474" s="48"/>
      <c r="L3474" s="65"/>
    </row>
    <row r="3475" spans="5:12">
      <c r="E3475" s="49">
        <v>45060.753472210345</v>
      </c>
      <c r="F3475" s="56">
        <v>0</v>
      </c>
      <c r="G3475" s="48"/>
      <c r="H3475" s="48"/>
      <c r="I3475" s="48"/>
      <c r="J3475" s="48"/>
      <c r="L3475" s="65"/>
    </row>
    <row r="3476" spans="5:12">
      <c r="E3476" s="49">
        <v>45060.756944432564</v>
      </c>
      <c r="F3476" s="56">
        <v>0</v>
      </c>
      <c r="G3476" s="48"/>
      <c r="H3476" s="48"/>
      <c r="I3476" s="48"/>
      <c r="J3476" s="48"/>
      <c r="L3476" s="65"/>
    </row>
    <row r="3477" spans="5:12">
      <c r="E3477" s="49">
        <v>45060.760416654783</v>
      </c>
      <c r="F3477" s="56">
        <v>0</v>
      </c>
      <c r="G3477" s="48"/>
      <c r="H3477" s="48"/>
      <c r="I3477" s="48"/>
      <c r="J3477" s="48"/>
      <c r="L3477" s="65"/>
    </row>
    <row r="3478" spans="5:12">
      <c r="E3478" s="49">
        <v>45060.763888877002</v>
      </c>
      <c r="F3478" s="56">
        <v>0</v>
      </c>
      <c r="G3478" s="48"/>
      <c r="H3478" s="48"/>
      <c r="I3478" s="48"/>
      <c r="J3478" s="48"/>
      <c r="L3478" s="65"/>
    </row>
    <row r="3479" spans="5:12">
      <c r="E3479" s="49">
        <v>45060.767361099221</v>
      </c>
      <c r="F3479" s="56">
        <v>0</v>
      </c>
      <c r="G3479" s="48"/>
      <c r="H3479" s="48"/>
      <c r="I3479" s="48"/>
      <c r="J3479" s="48"/>
      <c r="L3479" s="65"/>
    </row>
    <row r="3480" spans="5:12">
      <c r="E3480" s="49">
        <v>45060.77083332144</v>
      </c>
      <c r="F3480" s="56">
        <v>0</v>
      </c>
      <c r="G3480" s="48"/>
      <c r="H3480" s="48"/>
      <c r="I3480" s="48"/>
      <c r="J3480" s="48"/>
      <c r="L3480" s="65"/>
    </row>
    <row r="3481" spans="5:12">
      <c r="E3481" s="49">
        <v>45060.774305543659</v>
      </c>
      <c r="F3481" s="56">
        <v>0</v>
      </c>
      <c r="G3481" s="48"/>
      <c r="H3481" s="48"/>
      <c r="I3481" s="48"/>
      <c r="J3481" s="48"/>
      <c r="L3481" s="65"/>
    </row>
    <row r="3482" spans="5:12">
      <c r="E3482" s="49">
        <v>45060.777777765878</v>
      </c>
      <c r="F3482" s="56">
        <v>0</v>
      </c>
      <c r="G3482" s="48"/>
      <c r="H3482" s="48"/>
      <c r="I3482" s="48"/>
      <c r="J3482" s="48"/>
      <c r="L3482" s="65"/>
    </row>
    <row r="3483" spans="5:12">
      <c r="E3483" s="49">
        <v>45060.781249988097</v>
      </c>
      <c r="F3483" s="56">
        <v>0</v>
      </c>
      <c r="G3483" s="48"/>
      <c r="H3483" s="48"/>
      <c r="I3483" s="48"/>
      <c r="J3483" s="48"/>
      <c r="L3483" s="65"/>
    </row>
    <row r="3484" spans="5:12">
      <c r="E3484" s="49">
        <v>45060.784722210316</v>
      </c>
      <c r="F3484" s="56">
        <v>0</v>
      </c>
      <c r="G3484" s="48"/>
      <c r="H3484" s="48"/>
      <c r="I3484" s="48"/>
      <c r="J3484" s="48"/>
      <c r="L3484" s="65"/>
    </row>
    <row r="3485" spans="5:12">
      <c r="E3485" s="49">
        <v>45060.788194432535</v>
      </c>
      <c r="F3485" s="56">
        <v>0</v>
      </c>
      <c r="G3485" s="48"/>
      <c r="H3485" s="48"/>
      <c r="I3485" s="48"/>
      <c r="J3485" s="48"/>
      <c r="L3485" s="65"/>
    </row>
    <row r="3486" spans="5:12">
      <c r="E3486" s="49">
        <v>45060.791666654753</v>
      </c>
      <c r="F3486" s="56">
        <v>0</v>
      </c>
      <c r="G3486" s="48"/>
      <c r="H3486" s="48"/>
      <c r="I3486" s="48"/>
      <c r="J3486" s="48"/>
      <c r="L3486" s="65"/>
    </row>
    <row r="3487" spans="5:12">
      <c r="E3487" s="49">
        <v>45060.795138876972</v>
      </c>
      <c r="F3487" s="56">
        <v>0</v>
      </c>
      <c r="G3487" s="48"/>
      <c r="H3487" s="48"/>
      <c r="I3487" s="48"/>
      <c r="J3487" s="48"/>
      <c r="L3487" s="65"/>
    </row>
    <row r="3488" spans="5:12">
      <c r="E3488" s="49">
        <v>45060.798611099191</v>
      </c>
      <c r="F3488" s="56">
        <v>0</v>
      </c>
      <c r="G3488" s="48"/>
      <c r="H3488" s="48"/>
      <c r="I3488" s="48"/>
      <c r="J3488" s="48"/>
      <c r="L3488" s="65"/>
    </row>
    <row r="3489" spans="5:12">
      <c r="E3489" s="49">
        <v>45060.80208332141</v>
      </c>
      <c r="F3489" s="56">
        <v>0</v>
      </c>
      <c r="G3489" s="48"/>
      <c r="H3489" s="48"/>
      <c r="I3489" s="48"/>
      <c r="J3489" s="48"/>
      <c r="L3489" s="65"/>
    </row>
    <row r="3490" spans="5:12">
      <c r="E3490" s="49">
        <v>45060.805555543629</v>
      </c>
      <c r="F3490" s="56">
        <v>0</v>
      </c>
      <c r="G3490" s="48"/>
      <c r="H3490" s="48"/>
      <c r="I3490" s="48"/>
      <c r="J3490" s="48"/>
      <c r="L3490" s="65"/>
    </row>
    <row r="3491" spans="5:12">
      <c r="E3491" s="49">
        <v>45060.809027765848</v>
      </c>
      <c r="F3491" s="56">
        <v>0</v>
      </c>
      <c r="G3491" s="48"/>
      <c r="H3491" s="48"/>
      <c r="I3491" s="48"/>
      <c r="J3491" s="48"/>
      <c r="L3491" s="65"/>
    </row>
    <row r="3492" spans="5:12">
      <c r="E3492" s="49">
        <v>45060.812499988067</v>
      </c>
      <c r="F3492" s="56">
        <v>0</v>
      </c>
      <c r="G3492" s="48"/>
      <c r="H3492" s="48"/>
      <c r="I3492" s="48"/>
      <c r="J3492" s="48"/>
      <c r="L3492" s="65"/>
    </row>
    <row r="3493" spans="5:12">
      <c r="E3493" s="49">
        <v>45060.815972210286</v>
      </c>
      <c r="F3493" s="56">
        <v>0</v>
      </c>
      <c r="G3493" s="48"/>
      <c r="H3493" s="48"/>
      <c r="I3493" s="48"/>
      <c r="J3493" s="48"/>
      <c r="L3493" s="65"/>
    </row>
    <row r="3494" spans="5:12">
      <c r="E3494" s="49">
        <v>45060.819444432505</v>
      </c>
      <c r="F3494" s="56">
        <v>0</v>
      </c>
      <c r="G3494" s="48"/>
      <c r="H3494" s="48"/>
      <c r="I3494" s="48"/>
      <c r="J3494" s="48"/>
      <c r="L3494" s="65"/>
    </row>
    <row r="3495" spans="5:12">
      <c r="E3495" s="49">
        <v>45060.822916654724</v>
      </c>
      <c r="F3495" s="56">
        <v>0</v>
      </c>
      <c r="G3495" s="48"/>
      <c r="H3495" s="48"/>
      <c r="I3495" s="48"/>
      <c r="J3495" s="48"/>
      <c r="L3495" s="65"/>
    </row>
    <row r="3496" spans="5:12">
      <c r="E3496" s="49">
        <v>45060.826388876943</v>
      </c>
      <c r="F3496" s="56">
        <v>0</v>
      </c>
      <c r="G3496" s="48"/>
      <c r="H3496" s="48"/>
      <c r="I3496" s="48"/>
      <c r="J3496" s="48"/>
      <c r="L3496" s="65"/>
    </row>
    <row r="3497" spans="5:12">
      <c r="E3497" s="49">
        <v>45060.829861099162</v>
      </c>
      <c r="F3497" s="56">
        <v>0</v>
      </c>
      <c r="G3497" s="48"/>
      <c r="H3497" s="48"/>
      <c r="I3497" s="48"/>
      <c r="J3497" s="48"/>
      <c r="L3497" s="65"/>
    </row>
    <row r="3498" spans="5:12">
      <c r="E3498" s="49">
        <v>45060.833333321381</v>
      </c>
      <c r="F3498" s="56">
        <v>0</v>
      </c>
      <c r="G3498" s="48"/>
      <c r="H3498" s="48"/>
      <c r="I3498" s="48"/>
      <c r="J3498" s="48"/>
      <c r="L3498" s="65"/>
    </row>
    <row r="3499" spans="5:12">
      <c r="E3499" s="49">
        <v>45060.8368055436</v>
      </c>
      <c r="F3499" s="56">
        <v>0</v>
      </c>
      <c r="G3499" s="48"/>
      <c r="H3499" s="48"/>
      <c r="I3499" s="48"/>
      <c r="J3499" s="48"/>
      <c r="L3499" s="65"/>
    </row>
    <row r="3500" spans="5:12">
      <c r="E3500" s="49">
        <v>45060.840277765819</v>
      </c>
      <c r="F3500" s="56">
        <v>0</v>
      </c>
      <c r="G3500" s="48"/>
      <c r="H3500" s="48"/>
      <c r="I3500" s="48"/>
      <c r="J3500" s="48"/>
      <c r="L3500" s="65"/>
    </row>
    <row r="3501" spans="5:12">
      <c r="E3501" s="49">
        <v>45060.843749988038</v>
      </c>
      <c r="F3501" s="56">
        <v>0</v>
      </c>
      <c r="G3501" s="48"/>
      <c r="H3501" s="48"/>
      <c r="I3501" s="48"/>
      <c r="J3501" s="48"/>
      <c r="L3501" s="65"/>
    </row>
    <row r="3502" spans="5:12">
      <c r="E3502" s="49">
        <v>45060.847222210257</v>
      </c>
      <c r="F3502" s="56">
        <v>0</v>
      </c>
      <c r="G3502" s="48"/>
      <c r="H3502" s="48"/>
      <c r="I3502" s="48"/>
      <c r="J3502" s="48"/>
      <c r="L3502" s="65"/>
    </row>
    <row r="3503" spans="5:12">
      <c r="E3503" s="49">
        <v>45060.850694432476</v>
      </c>
      <c r="F3503" s="56">
        <v>0</v>
      </c>
      <c r="G3503" s="48"/>
      <c r="H3503" s="48"/>
      <c r="I3503" s="48"/>
      <c r="J3503" s="48"/>
      <c r="L3503" s="65"/>
    </row>
    <row r="3504" spans="5:12">
      <c r="E3504" s="49">
        <v>45060.854166654695</v>
      </c>
      <c r="F3504" s="56">
        <v>0</v>
      </c>
      <c r="G3504" s="48"/>
      <c r="H3504" s="48"/>
      <c r="I3504" s="48"/>
      <c r="J3504" s="48"/>
      <c r="L3504" s="65"/>
    </row>
    <row r="3505" spans="5:12">
      <c r="E3505" s="49">
        <v>45060.857638876914</v>
      </c>
      <c r="F3505" s="56">
        <v>0</v>
      </c>
      <c r="G3505" s="48"/>
      <c r="H3505" s="48"/>
      <c r="I3505" s="48"/>
      <c r="J3505" s="48"/>
      <c r="L3505" s="65"/>
    </row>
    <row r="3506" spans="5:12">
      <c r="E3506" s="49">
        <v>45060.861111099133</v>
      </c>
      <c r="F3506" s="56">
        <v>0</v>
      </c>
      <c r="G3506" s="48"/>
      <c r="H3506" s="48"/>
      <c r="I3506" s="48"/>
      <c r="J3506" s="48"/>
      <c r="L3506" s="65"/>
    </row>
    <row r="3507" spans="5:12">
      <c r="E3507" s="49">
        <v>45060.864583321352</v>
      </c>
      <c r="F3507" s="56">
        <v>0</v>
      </c>
      <c r="G3507" s="48"/>
      <c r="H3507" s="48"/>
      <c r="I3507" s="48"/>
      <c r="J3507" s="48"/>
      <c r="L3507" s="65"/>
    </row>
    <row r="3508" spans="5:12">
      <c r="E3508" s="49">
        <v>45060.868055543571</v>
      </c>
      <c r="F3508" s="56">
        <v>0</v>
      </c>
      <c r="G3508" s="48"/>
      <c r="H3508" s="48"/>
      <c r="I3508" s="48"/>
      <c r="J3508" s="48"/>
      <c r="L3508" s="65"/>
    </row>
    <row r="3509" spans="5:12">
      <c r="E3509" s="49">
        <v>45060.87152776579</v>
      </c>
      <c r="F3509" s="56">
        <v>0</v>
      </c>
      <c r="G3509" s="48"/>
      <c r="H3509" s="48"/>
      <c r="I3509" s="48"/>
      <c r="J3509" s="48"/>
      <c r="L3509" s="65"/>
    </row>
    <row r="3510" spans="5:12">
      <c r="E3510" s="49">
        <v>45060.874999988009</v>
      </c>
      <c r="F3510" s="56">
        <v>5.0168424815286699</v>
      </c>
      <c r="G3510" s="48"/>
      <c r="H3510" s="48"/>
      <c r="I3510" s="48"/>
      <c r="J3510" s="48"/>
      <c r="L3510" s="65"/>
    </row>
    <row r="3511" spans="5:12">
      <c r="E3511" s="49">
        <v>45060.878472210228</v>
      </c>
      <c r="F3511" s="56">
        <v>5.0168424815286699</v>
      </c>
      <c r="G3511" s="48"/>
      <c r="H3511" s="48"/>
      <c r="I3511" s="48"/>
      <c r="J3511" s="48"/>
      <c r="L3511" s="65"/>
    </row>
    <row r="3512" spans="5:12">
      <c r="E3512" s="49">
        <v>45060.881944432447</v>
      </c>
      <c r="F3512" s="56">
        <v>5.0168424815286699</v>
      </c>
      <c r="G3512" s="48"/>
      <c r="H3512" s="48"/>
      <c r="I3512" s="48"/>
      <c r="J3512" s="48"/>
      <c r="L3512" s="65"/>
    </row>
    <row r="3513" spans="5:12">
      <c r="E3513" s="49">
        <v>45060.885416654666</v>
      </c>
      <c r="F3513" s="56">
        <v>5.0168424815286699</v>
      </c>
      <c r="G3513" s="48"/>
      <c r="H3513" s="48"/>
      <c r="I3513" s="48"/>
      <c r="J3513" s="48"/>
      <c r="L3513" s="65"/>
    </row>
    <row r="3514" spans="5:12">
      <c r="E3514" s="49">
        <v>45060.888888876885</v>
      </c>
      <c r="F3514" s="56">
        <v>5.0168424815286699</v>
      </c>
      <c r="G3514" s="48"/>
      <c r="H3514" s="48"/>
      <c r="I3514" s="48"/>
      <c r="J3514" s="48"/>
      <c r="L3514" s="65"/>
    </row>
    <row r="3515" spans="5:12">
      <c r="E3515" s="49">
        <v>45060.892361099104</v>
      </c>
      <c r="F3515" s="56">
        <v>5.0168424815286699</v>
      </c>
      <c r="G3515" s="48"/>
      <c r="H3515" s="48"/>
      <c r="I3515" s="48"/>
      <c r="J3515" s="48"/>
      <c r="L3515" s="65"/>
    </row>
    <row r="3516" spans="5:12">
      <c r="E3516" s="49">
        <v>45060.895833321323</v>
      </c>
      <c r="F3516" s="56">
        <v>5.0168424815286699</v>
      </c>
      <c r="G3516" s="48"/>
      <c r="H3516" s="48"/>
      <c r="I3516" s="48"/>
      <c r="J3516" s="48"/>
      <c r="L3516" s="65"/>
    </row>
    <row r="3517" spans="5:12">
      <c r="E3517" s="49">
        <v>45060.899305543542</v>
      </c>
      <c r="F3517" s="56">
        <v>5.0168424815286699</v>
      </c>
      <c r="G3517" s="48"/>
      <c r="H3517" s="48"/>
      <c r="I3517" s="48"/>
      <c r="J3517" s="48"/>
      <c r="L3517" s="65"/>
    </row>
    <row r="3518" spans="5:12">
      <c r="E3518" s="49">
        <v>45060.902777765761</v>
      </c>
      <c r="F3518" s="56">
        <v>5.0168424815286699</v>
      </c>
      <c r="G3518" s="48"/>
      <c r="H3518" s="48"/>
      <c r="I3518" s="48"/>
      <c r="J3518" s="48"/>
      <c r="L3518" s="65"/>
    </row>
    <row r="3519" spans="5:12">
      <c r="E3519" s="49">
        <v>45060.90624998798</v>
      </c>
      <c r="F3519" s="56">
        <v>5.0168424815286699</v>
      </c>
      <c r="G3519" s="48"/>
      <c r="H3519" s="48"/>
      <c r="I3519" s="48"/>
      <c r="J3519" s="48"/>
      <c r="L3519" s="65"/>
    </row>
    <row r="3520" spans="5:12">
      <c r="E3520" s="49">
        <v>45060.909722210199</v>
      </c>
      <c r="F3520" s="56">
        <v>5.0168424815286699</v>
      </c>
      <c r="G3520" s="48"/>
      <c r="H3520" s="48"/>
      <c r="I3520" s="48"/>
      <c r="J3520" s="48"/>
      <c r="L3520" s="65"/>
    </row>
    <row r="3521" spans="5:12">
      <c r="E3521" s="49">
        <v>45060.913194432418</v>
      </c>
      <c r="F3521" s="56">
        <v>5.0168424815286699</v>
      </c>
      <c r="G3521" s="48"/>
      <c r="H3521" s="48"/>
      <c r="I3521" s="48"/>
      <c r="J3521" s="48"/>
      <c r="L3521" s="65"/>
    </row>
    <row r="3522" spans="5:12">
      <c r="E3522" s="49">
        <v>45060.916666654637</v>
      </c>
      <c r="F3522" s="56">
        <v>5.0168424815286699</v>
      </c>
      <c r="G3522" s="48"/>
      <c r="H3522" s="48"/>
      <c r="I3522" s="48"/>
      <c r="J3522" s="48"/>
      <c r="L3522" s="65"/>
    </row>
    <row r="3523" spans="5:12">
      <c r="E3523" s="49">
        <v>45060.920138876856</v>
      </c>
      <c r="F3523" s="56">
        <v>5.0168424815286699</v>
      </c>
      <c r="G3523" s="48"/>
      <c r="H3523" s="48"/>
      <c r="I3523" s="48"/>
      <c r="J3523" s="48"/>
      <c r="L3523" s="65"/>
    </row>
    <row r="3524" spans="5:12">
      <c r="E3524" s="49">
        <v>45060.923611099075</v>
      </c>
      <c r="F3524" s="56">
        <v>5.0168424815286699</v>
      </c>
      <c r="G3524" s="48"/>
      <c r="H3524" s="48"/>
      <c r="I3524" s="48"/>
      <c r="J3524" s="48"/>
      <c r="L3524" s="65"/>
    </row>
    <row r="3525" spans="5:12">
      <c r="E3525" s="49">
        <v>45060.927083321294</v>
      </c>
      <c r="F3525" s="56">
        <v>5.0168424815286699</v>
      </c>
      <c r="G3525" s="48"/>
      <c r="H3525" s="48"/>
      <c r="I3525" s="48"/>
      <c r="J3525" s="48"/>
      <c r="L3525" s="65"/>
    </row>
    <row r="3526" spans="5:12">
      <c r="E3526" s="49">
        <v>45060.930555543513</v>
      </c>
      <c r="F3526" s="56">
        <v>5.0168424815286699</v>
      </c>
      <c r="G3526" s="48"/>
      <c r="H3526" s="48"/>
      <c r="I3526" s="48"/>
      <c r="J3526" s="48"/>
      <c r="L3526" s="65"/>
    </row>
    <row r="3527" spans="5:12">
      <c r="E3527" s="49">
        <v>45060.934027765732</v>
      </c>
      <c r="F3527" s="56">
        <v>5.0168424815286699</v>
      </c>
      <c r="G3527" s="48"/>
      <c r="H3527" s="48"/>
      <c r="I3527" s="48"/>
      <c r="J3527" s="48"/>
      <c r="L3527" s="65"/>
    </row>
    <row r="3528" spans="5:12">
      <c r="E3528" s="49">
        <v>45060.937499987951</v>
      </c>
      <c r="F3528" s="56">
        <v>5.0168424815286699</v>
      </c>
      <c r="G3528" s="48"/>
      <c r="H3528" s="48"/>
      <c r="I3528" s="48"/>
      <c r="J3528" s="48"/>
      <c r="L3528" s="65"/>
    </row>
    <row r="3529" spans="5:12">
      <c r="E3529" s="49">
        <v>45060.94097221017</v>
      </c>
      <c r="F3529" s="56">
        <v>5.0168424815286699</v>
      </c>
      <c r="G3529" s="48"/>
      <c r="H3529" s="48"/>
      <c r="I3529" s="48"/>
      <c r="J3529" s="48"/>
      <c r="L3529" s="65"/>
    </row>
    <row r="3530" spans="5:12">
      <c r="E3530" s="49">
        <v>45060.944444432389</v>
      </c>
      <c r="F3530" s="56">
        <v>5.0168424815286699</v>
      </c>
      <c r="G3530" s="48"/>
      <c r="H3530" s="48"/>
      <c r="I3530" s="48"/>
      <c r="J3530" s="48"/>
      <c r="L3530" s="65"/>
    </row>
    <row r="3531" spans="5:12">
      <c r="E3531" s="49">
        <v>45060.947916654608</v>
      </c>
      <c r="F3531" s="56">
        <v>5.0168424815286699</v>
      </c>
      <c r="G3531" s="48"/>
      <c r="H3531" s="48"/>
      <c r="I3531" s="48"/>
      <c r="J3531" s="48"/>
      <c r="L3531" s="65"/>
    </row>
    <row r="3532" spans="5:12">
      <c r="E3532" s="49">
        <v>45060.951388876827</v>
      </c>
      <c r="F3532" s="56">
        <v>5.0168424815286699</v>
      </c>
      <c r="G3532" s="48"/>
      <c r="H3532" s="48"/>
      <c r="I3532" s="48"/>
      <c r="J3532" s="48"/>
      <c r="L3532" s="65"/>
    </row>
    <row r="3533" spans="5:12">
      <c r="E3533" s="49">
        <v>45060.954861099046</v>
      </c>
      <c r="F3533" s="56">
        <v>5.0168424815286699</v>
      </c>
      <c r="G3533" s="48"/>
      <c r="H3533" s="48"/>
      <c r="I3533" s="48"/>
      <c r="J3533" s="48"/>
      <c r="L3533" s="65"/>
    </row>
    <row r="3534" spans="5:12">
      <c r="E3534" s="49">
        <v>45060.958333321265</v>
      </c>
      <c r="F3534" s="56">
        <v>5.0168424815286699</v>
      </c>
      <c r="G3534" s="48"/>
      <c r="H3534" s="48"/>
      <c r="I3534" s="48"/>
      <c r="J3534" s="48"/>
      <c r="L3534" s="65"/>
    </row>
    <row r="3535" spans="5:12">
      <c r="E3535" s="49">
        <v>45060.961805543484</v>
      </c>
      <c r="F3535" s="56">
        <v>5.0168424815286699</v>
      </c>
      <c r="G3535" s="48"/>
      <c r="H3535" s="48"/>
      <c r="I3535" s="48"/>
      <c r="J3535" s="48"/>
      <c r="L3535" s="65"/>
    </row>
    <row r="3536" spans="5:12">
      <c r="E3536" s="49">
        <v>45060.965277765703</v>
      </c>
      <c r="F3536" s="56">
        <v>5.0168424815286699</v>
      </c>
      <c r="G3536" s="48"/>
      <c r="H3536" s="48"/>
      <c r="I3536" s="48"/>
      <c r="J3536" s="48"/>
      <c r="L3536" s="65"/>
    </row>
    <row r="3537" spans="5:12">
      <c r="E3537" s="49">
        <v>45060.968749987922</v>
      </c>
      <c r="F3537" s="56">
        <v>5.0168424815286699</v>
      </c>
      <c r="G3537" s="48"/>
      <c r="H3537" s="48"/>
      <c r="I3537" s="48"/>
      <c r="J3537" s="48"/>
      <c r="L3537" s="65"/>
    </row>
    <row r="3538" spans="5:12">
      <c r="E3538" s="49">
        <v>45060.972222210141</v>
      </c>
      <c r="F3538" s="56">
        <v>5.0168424815286699</v>
      </c>
      <c r="G3538" s="48"/>
      <c r="H3538" s="48"/>
      <c r="I3538" s="48"/>
      <c r="J3538" s="48"/>
      <c r="L3538" s="65"/>
    </row>
    <row r="3539" spans="5:12">
      <c r="E3539" s="49">
        <v>45060.97569443236</v>
      </c>
      <c r="F3539" s="56">
        <v>5.0168424815286699</v>
      </c>
      <c r="G3539" s="48"/>
      <c r="H3539" s="48"/>
      <c r="I3539" s="48"/>
      <c r="J3539" s="48"/>
      <c r="L3539" s="65"/>
    </row>
    <row r="3540" spans="5:12">
      <c r="E3540" s="49">
        <v>45060.979166654579</v>
      </c>
      <c r="F3540" s="56">
        <v>5.0168424815286699</v>
      </c>
      <c r="G3540" s="48"/>
      <c r="H3540" s="48"/>
      <c r="I3540" s="48"/>
      <c r="J3540" s="48"/>
      <c r="L3540" s="65"/>
    </row>
    <row r="3541" spans="5:12">
      <c r="E3541" s="49">
        <v>45060.982638876798</v>
      </c>
      <c r="F3541" s="56">
        <v>5.0168424815286699</v>
      </c>
      <c r="G3541" s="48"/>
      <c r="H3541" s="48"/>
      <c r="I3541" s="48"/>
      <c r="J3541" s="48"/>
      <c r="L3541" s="65"/>
    </row>
    <row r="3542" spans="5:12">
      <c r="E3542" s="49">
        <v>45060.986111099017</v>
      </c>
      <c r="F3542" s="56">
        <v>5.0168424815286699</v>
      </c>
      <c r="G3542" s="48"/>
      <c r="H3542" s="48"/>
      <c r="I3542" s="48"/>
      <c r="J3542" s="48"/>
      <c r="L3542" s="65"/>
    </row>
    <row r="3543" spans="5:12">
      <c r="E3543" s="49">
        <v>45060.989583321236</v>
      </c>
      <c r="F3543" s="56">
        <v>5.0168424815286699</v>
      </c>
      <c r="G3543" s="48"/>
      <c r="H3543" s="48"/>
      <c r="I3543" s="48"/>
      <c r="J3543" s="48"/>
      <c r="L3543" s="65"/>
    </row>
    <row r="3544" spans="5:12">
      <c r="E3544" s="49">
        <v>45060.993055543455</v>
      </c>
      <c r="F3544" s="56">
        <v>5.0168424815286699</v>
      </c>
      <c r="G3544" s="48"/>
      <c r="H3544" s="48"/>
      <c r="I3544" s="48"/>
      <c r="J3544" s="48"/>
      <c r="L3544" s="65"/>
    </row>
    <row r="3545" spans="5:12">
      <c r="E3545" s="49">
        <v>45060.996527765674</v>
      </c>
      <c r="F3545" s="56">
        <v>5.0168424815286699</v>
      </c>
      <c r="G3545" s="48"/>
      <c r="H3545" s="48"/>
      <c r="I3545" s="48"/>
      <c r="J3545" s="48"/>
      <c r="L3545" s="65"/>
    </row>
    <row r="3546" spans="5:12">
      <c r="E3546" s="49">
        <v>45060.999999987893</v>
      </c>
      <c r="F3546" s="56">
        <v>5.0168424815286699</v>
      </c>
      <c r="G3546" s="48"/>
      <c r="H3546" s="48"/>
      <c r="I3546" s="48"/>
      <c r="J3546" s="48"/>
      <c r="L3546" s="65"/>
    </row>
    <row r="3547" spans="5:12">
      <c r="E3547" s="49">
        <v>45061.003472210112</v>
      </c>
      <c r="F3547" s="56">
        <v>5.0168424815286699</v>
      </c>
      <c r="G3547" s="48"/>
      <c r="H3547" s="48"/>
      <c r="I3547" s="48"/>
      <c r="J3547" s="48"/>
      <c r="L3547" s="65"/>
    </row>
    <row r="3548" spans="5:12">
      <c r="E3548" s="49">
        <v>45061.006944432331</v>
      </c>
      <c r="F3548" s="56">
        <v>5.0168424815286699</v>
      </c>
      <c r="G3548" s="48"/>
      <c r="H3548" s="48"/>
      <c r="I3548" s="48"/>
      <c r="J3548" s="48"/>
      <c r="L3548" s="65"/>
    </row>
    <row r="3549" spans="5:12">
      <c r="E3549" s="49">
        <v>45061.01041665455</v>
      </c>
      <c r="F3549" s="56">
        <v>5.0168424815286699</v>
      </c>
      <c r="G3549" s="48"/>
      <c r="H3549" s="48"/>
      <c r="I3549" s="48"/>
      <c r="J3549" s="48"/>
      <c r="L3549" s="65"/>
    </row>
    <row r="3550" spans="5:12">
      <c r="E3550" s="49">
        <v>45061.013888876769</v>
      </c>
      <c r="F3550" s="56">
        <v>5.0168424815286699</v>
      </c>
      <c r="G3550" s="48"/>
      <c r="H3550" s="48"/>
      <c r="I3550" s="48"/>
      <c r="J3550" s="48"/>
      <c r="L3550" s="65"/>
    </row>
    <row r="3551" spans="5:12">
      <c r="E3551" s="49">
        <v>45061.017361098988</v>
      </c>
      <c r="F3551" s="56">
        <v>5.0168424815286699</v>
      </c>
      <c r="G3551" s="48"/>
      <c r="H3551" s="48"/>
      <c r="I3551" s="48"/>
      <c r="J3551" s="48"/>
      <c r="L3551" s="65"/>
    </row>
    <row r="3552" spans="5:12">
      <c r="E3552" s="49">
        <v>45061.020833321207</v>
      </c>
      <c r="F3552" s="56">
        <v>5.0168424815286699</v>
      </c>
      <c r="G3552" s="48"/>
      <c r="H3552" s="48"/>
      <c r="I3552" s="48"/>
      <c r="J3552" s="48"/>
      <c r="L3552" s="65"/>
    </row>
    <row r="3553" spans="5:12">
      <c r="E3553" s="49">
        <v>45061.024305543426</v>
      </c>
      <c r="F3553" s="56">
        <v>5.0168424815286699</v>
      </c>
      <c r="G3553" s="48"/>
      <c r="H3553" s="48"/>
      <c r="I3553" s="48"/>
      <c r="J3553" s="48"/>
      <c r="L3553" s="65"/>
    </row>
    <row r="3554" spans="5:12">
      <c r="E3554" s="49">
        <v>45061.027777765645</v>
      </c>
      <c r="F3554" s="56">
        <v>5.0168424815286699</v>
      </c>
      <c r="G3554" s="48"/>
      <c r="H3554" s="48"/>
      <c r="I3554" s="48"/>
      <c r="J3554" s="48"/>
      <c r="L3554" s="65"/>
    </row>
    <row r="3555" spans="5:12">
      <c r="E3555" s="49">
        <v>45061.031249987864</v>
      </c>
      <c r="F3555" s="56">
        <v>5.0168424815286699</v>
      </c>
      <c r="G3555" s="48"/>
      <c r="H3555" s="48"/>
      <c r="I3555" s="48"/>
      <c r="J3555" s="48"/>
      <c r="L3555" s="65"/>
    </row>
    <row r="3556" spans="5:12">
      <c r="E3556" s="49">
        <v>45061.034722210083</v>
      </c>
      <c r="F3556" s="56">
        <v>5.0168424815286699</v>
      </c>
      <c r="G3556" s="48"/>
      <c r="H3556" s="48"/>
      <c r="I3556" s="48"/>
      <c r="J3556" s="48"/>
      <c r="L3556" s="65"/>
    </row>
    <row r="3557" spans="5:12">
      <c r="E3557" s="49">
        <v>45061.038194432302</v>
      </c>
      <c r="F3557" s="56">
        <v>5.0168424815286699</v>
      </c>
      <c r="G3557" s="48"/>
      <c r="H3557" s="48"/>
      <c r="I3557" s="48"/>
      <c r="J3557" s="48"/>
      <c r="L3557" s="65"/>
    </row>
    <row r="3558" spans="5:12">
      <c r="E3558" s="49">
        <v>45061.041666654521</v>
      </c>
      <c r="F3558" s="56">
        <v>5.0168424815286699</v>
      </c>
      <c r="G3558" s="48"/>
      <c r="H3558" s="48"/>
      <c r="I3558" s="48"/>
      <c r="J3558" s="48"/>
      <c r="L3558" s="65"/>
    </row>
    <row r="3559" spans="5:12">
      <c r="E3559" s="49">
        <v>45061.04513887674</v>
      </c>
      <c r="F3559" s="56">
        <v>5.0168424815286699</v>
      </c>
      <c r="G3559" s="48"/>
      <c r="H3559" s="48"/>
      <c r="I3559" s="48"/>
      <c r="J3559" s="48"/>
      <c r="L3559" s="65"/>
    </row>
    <row r="3560" spans="5:12">
      <c r="E3560" s="49">
        <v>45061.048611098959</v>
      </c>
      <c r="F3560" s="56">
        <v>5.0168424815286699</v>
      </c>
      <c r="G3560" s="48"/>
      <c r="H3560" s="48"/>
      <c r="I3560" s="48"/>
      <c r="J3560" s="48"/>
      <c r="L3560" s="65"/>
    </row>
    <row r="3561" spans="5:12">
      <c r="E3561" s="49">
        <v>45061.052083321178</v>
      </c>
      <c r="F3561" s="56">
        <v>5.0168424815286699</v>
      </c>
      <c r="G3561" s="48"/>
      <c r="H3561" s="48"/>
      <c r="I3561" s="48"/>
      <c r="J3561" s="48"/>
      <c r="L3561" s="65"/>
    </row>
    <row r="3562" spans="5:12">
      <c r="E3562" s="49">
        <v>45061.055555543397</v>
      </c>
      <c r="F3562" s="56">
        <v>5.0168424815286699</v>
      </c>
      <c r="G3562" s="48"/>
      <c r="H3562" s="48"/>
      <c r="I3562" s="48"/>
      <c r="J3562" s="48"/>
      <c r="L3562" s="65"/>
    </row>
    <row r="3563" spans="5:12">
      <c r="E3563" s="49">
        <v>45061.059027765616</v>
      </c>
      <c r="F3563" s="56">
        <v>5.0168424815286699</v>
      </c>
      <c r="G3563" s="48"/>
      <c r="H3563" s="48"/>
      <c r="I3563" s="48"/>
      <c r="J3563" s="48"/>
      <c r="L3563" s="65"/>
    </row>
    <row r="3564" spans="5:12">
      <c r="E3564" s="49">
        <v>45061.062499987835</v>
      </c>
      <c r="F3564" s="56">
        <v>5.0168424815286699</v>
      </c>
      <c r="G3564" s="48"/>
      <c r="H3564" s="48"/>
      <c r="I3564" s="48"/>
      <c r="J3564" s="48"/>
      <c r="L3564" s="65"/>
    </row>
    <row r="3565" spans="5:12">
      <c r="E3565" s="49">
        <v>45061.065972210054</v>
      </c>
      <c r="F3565" s="56">
        <v>5.0168424815286699</v>
      </c>
      <c r="G3565" s="48"/>
      <c r="H3565" s="48"/>
      <c r="I3565" s="48"/>
      <c r="J3565" s="48"/>
      <c r="L3565" s="65"/>
    </row>
    <row r="3566" spans="5:12">
      <c r="E3566" s="49">
        <v>45061.069444432273</v>
      </c>
      <c r="F3566" s="56">
        <v>5.0168424815286699</v>
      </c>
      <c r="G3566" s="48"/>
      <c r="H3566" s="48"/>
      <c r="I3566" s="48"/>
      <c r="J3566" s="48"/>
      <c r="L3566" s="65"/>
    </row>
    <row r="3567" spans="5:12">
      <c r="E3567" s="49">
        <v>45061.072916654492</v>
      </c>
      <c r="F3567" s="56">
        <v>5.0168424815286699</v>
      </c>
      <c r="G3567" s="48"/>
      <c r="H3567" s="48"/>
      <c r="I3567" s="48"/>
      <c r="J3567" s="48"/>
      <c r="L3567" s="65"/>
    </row>
    <row r="3568" spans="5:12">
      <c r="E3568" s="49">
        <v>45061.076388876711</v>
      </c>
      <c r="F3568" s="56">
        <v>5.0168424815286699</v>
      </c>
      <c r="G3568" s="48"/>
      <c r="H3568" s="48"/>
      <c r="I3568" s="48"/>
      <c r="J3568" s="48"/>
      <c r="L3568" s="65"/>
    </row>
    <row r="3569" spans="5:12">
      <c r="E3569" s="49">
        <v>45061.07986109893</v>
      </c>
      <c r="F3569" s="56">
        <v>5.0168424815286699</v>
      </c>
      <c r="G3569" s="48"/>
      <c r="H3569" s="48"/>
      <c r="I3569" s="48"/>
      <c r="J3569" s="48"/>
      <c r="L3569" s="65"/>
    </row>
    <row r="3570" spans="5:12">
      <c r="E3570" s="49">
        <v>45061.083333321149</v>
      </c>
      <c r="F3570" s="56">
        <v>5.0168424815286699</v>
      </c>
      <c r="G3570" s="48"/>
      <c r="H3570" s="48"/>
      <c r="I3570" s="48"/>
      <c r="J3570" s="48"/>
      <c r="L3570" s="65"/>
    </row>
    <row r="3571" spans="5:12">
      <c r="E3571" s="49">
        <v>45061.086805543368</v>
      </c>
      <c r="F3571" s="56">
        <v>5.0168424815286699</v>
      </c>
      <c r="G3571" s="48"/>
      <c r="H3571" s="48"/>
      <c r="I3571" s="48"/>
      <c r="J3571" s="48"/>
      <c r="L3571" s="65"/>
    </row>
    <row r="3572" spans="5:12">
      <c r="E3572" s="49">
        <v>45061.090277765587</v>
      </c>
      <c r="F3572" s="56">
        <v>5.0168424815286699</v>
      </c>
      <c r="G3572" s="48"/>
      <c r="H3572" s="48"/>
      <c r="I3572" s="48"/>
      <c r="J3572" s="48"/>
      <c r="L3572" s="65"/>
    </row>
    <row r="3573" spans="5:12">
      <c r="E3573" s="49">
        <v>45061.093749987805</v>
      </c>
      <c r="F3573" s="56">
        <v>5.0168424815286699</v>
      </c>
      <c r="G3573" s="48"/>
      <c r="H3573" s="48"/>
      <c r="I3573" s="48"/>
      <c r="J3573" s="48"/>
      <c r="L3573" s="65"/>
    </row>
    <row r="3574" spans="5:12">
      <c r="E3574" s="49">
        <v>45061.097222210024</v>
      </c>
      <c r="F3574" s="56">
        <v>5.0168424815286699</v>
      </c>
      <c r="G3574" s="48"/>
      <c r="H3574" s="48"/>
      <c r="I3574" s="48"/>
      <c r="J3574" s="48"/>
      <c r="L3574" s="65"/>
    </row>
    <row r="3575" spans="5:12">
      <c r="E3575" s="49">
        <v>45061.100694432243</v>
      </c>
      <c r="F3575" s="56">
        <v>5.0168424815286699</v>
      </c>
      <c r="G3575" s="48"/>
      <c r="H3575" s="48"/>
      <c r="I3575" s="48"/>
      <c r="J3575" s="48"/>
      <c r="L3575" s="65"/>
    </row>
    <row r="3576" spans="5:12">
      <c r="E3576" s="49">
        <v>45061.104166654462</v>
      </c>
      <c r="F3576" s="56">
        <v>5.0168424815286699</v>
      </c>
      <c r="G3576" s="48"/>
      <c r="H3576" s="48"/>
      <c r="I3576" s="48"/>
      <c r="J3576" s="48"/>
      <c r="L3576" s="65"/>
    </row>
    <row r="3577" spans="5:12">
      <c r="E3577" s="49">
        <v>45061.107638876681</v>
      </c>
      <c r="F3577" s="56">
        <v>5.0168424815286699</v>
      </c>
      <c r="G3577" s="48"/>
      <c r="H3577" s="48"/>
      <c r="I3577" s="48"/>
      <c r="J3577" s="48"/>
      <c r="L3577" s="65"/>
    </row>
    <row r="3578" spans="5:12">
      <c r="E3578" s="49">
        <v>45061.1111110989</v>
      </c>
      <c r="F3578" s="56">
        <v>5.0168424815286699</v>
      </c>
      <c r="G3578" s="48"/>
      <c r="H3578" s="48"/>
      <c r="I3578" s="48"/>
      <c r="J3578" s="48"/>
      <c r="L3578" s="65"/>
    </row>
    <row r="3579" spans="5:12">
      <c r="E3579" s="49">
        <v>45061.114583321119</v>
      </c>
      <c r="F3579" s="56">
        <v>5.0168424815286699</v>
      </c>
      <c r="G3579" s="48"/>
      <c r="H3579" s="48"/>
      <c r="I3579" s="48"/>
      <c r="J3579" s="48"/>
      <c r="L3579" s="65"/>
    </row>
    <row r="3580" spans="5:12">
      <c r="E3580" s="49">
        <v>45061.118055543338</v>
      </c>
      <c r="F3580" s="56">
        <v>5.0168424815286699</v>
      </c>
      <c r="G3580" s="48"/>
      <c r="H3580" s="48"/>
      <c r="I3580" s="48"/>
      <c r="J3580" s="48"/>
      <c r="L3580" s="65"/>
    </row>
    <row r="3581" spans="5:12">
      <c r="E3581" s="49">
        <v>45061.121527765557</v>
      </c>
      <c r="F3581" s="56">
        <v>5.0168424815286699</v>
      </c>
      <c r="G3581" s="48"/>
      <c r="H3581" s="48"/>
      <c r="I3581" s="48"/>
      <c r="J3581" s="48"/>
      <c r="L3581" s="65"/>
    </row>
    <row r="3582" spans="5:12">
      <c r="E3582" s="49">
        <v>45061.124999987776</v>
      </c>
      <c r="F3582" s="56">
        <v>5.0168424815286699</v>
      </c>
      <c r="G3582" s="48"/>
      <c r="H3582" s="48"/>
      <c r="I3582" s="48"/>
      <c r="J3582" s="48"/>
      <c r="L3582" s="65"/>
    </row>
    <row r="3583" spans="5:12">
      <c r="E3583" s="49">
        <v>45061.128472209995</v>
      </c>
      <c r="F3583" s="56">
        <v>5.0168424815286699</v>
      </c>
      <c r="G3583" s="48"/>
      <c r="H3583" s="48"/>
      <c r="I3583" s="48"/>
      <c r="J3583" s="48"/>
      <c r="L3583" s="65"/>
    </row>
    <row r="3584" spans="5:12">
      <c r="E3584" s="49">
        <v>45061.131944432214</v>
      </c>
      <c r="F3584" s="56">
        <v>5.0168424815286699</v>
      </c>
      <c r="G3584" s="48"/>
      <c r="H3584" s="48"/>
      <c r="I3584" s="48"/>
      <c r="J3584" s="48"/>
      <c r="L3584" s="65"/>
    </row>
    <row r="3585" spans="5:12">
      <c r="E3585" s="49">
        <v>45061.135416654433</v>
      </c>
      <c r="F3585" s="56">
        <v>5.0168424815286699</v>
      </c>
      <c r="G3585" s="48"/>
      <c r="H3585" s="48"/>
      <c r="I3585" s="48"/>
      <c r="J3585" s="48"/>
      <c r="L3585" s="65"/>
    </row>
    <row r="3586" spans="5:12">
      <c r="E3586" s="49">
        <v>45061.138888876652</v>
      </c>
      <c r="F3586" s="56">
        <v>5.0168424815286699</v>
      </c>
      <c r="G3586" s="48"/>
      <c r="H3586" s="48"/>
      <c r="I3586" s="48"/>
      <c r="J3586" s="48"/>
      <c r="L3586" s="65"/>
    </row>
    <row r="3587" spans="5:12">
      <c r="E3587" s="49">
        <v>45061.142361098871</v>
      </c>
      <c r="F3587" s="56">
        <v>5.0168424815286699</v>
      </c>
      <c r="G3587" s="48"/>
      <c r="H3587" s="48"/>
      <c r="I3587" s="48"/>
      <c r="J3587" s="48"/>
      <c r="L3587" s="65"/>
    </row>
    <row r="3588" spans="5:12">
      <c r="E3588" s="49">
        <v>45061.14583332109</v>
      </c>
      <c r="F3588" s="56">
        <v>5.0168424815286699</v>
      </c>
      <c r="G3588" s="48"/>
      <c r="H3588" s="48"/>
      <c r="I3588" s="48"/>
      <c r="J3588" s="48"/>
      <c r="L3588" s="65"/>
    </row>
    <row r="3589" spans="5:12">
      <c r="E3589" s="49">
        <v>45061.149305543309</v>
      </c>
      <c r="F3589" s="56">
        <v>5.0168424815286699</v>
      </c>
      <c r="G3589" s="48"/>
      <c r="H3589" s="48"/>
      <c r="I3589" s="48"/>
      <c r="J3589" s="48"/>
      <c r="L3589" s="65"/>
    </row>
    <row r="3590" spans="5:12">
      <c r="E3590" s="49">
        <v>45061.152777765528</v>
      </c>
      <c r="F3590" s="56">
        <v>5.0168424815286699</v>
      </c>
      <c r="G3590" s="48"/>
      <c r="H3590" s="48"/>
      <c r="I3590" s="48"/>
      <c r="J3590" s="48"/>
      <c r="L3590" s="65"/>
    </row>
    <row r="3591" spans="5:12">
      <c r="E3591" s="49">
        <v>45061.156249987747</v>
      </c>
      <c r="F3591" s="56">
        <v>5.0168424815286699</v>
      </c>
      <c r="G3591" s="48"/>
      <c r="H3591" s="48"/>
      <c r="I3591" s="48"/>
      <c r="J3591" s="48"/>
      <c r="L3591" s="65"/>
    </row>
    <row r="3592" spans="5:12">
      <c r="E3592" s="49">
        <v>45061.159722209966</v>
      </c>
      <c r="F3592" s="56">
        <v>5.0168424815286699</v>
      </c>
      <c r="G3592" s="48"/>
      <c r="H3592" s="48"/>
      <c r="I3592" s="48"/>
      <c r="J3592" s="48"/>
      <c r="L3592" s="65"/>
    </row>
    <row r="3593" spans="5:12">
      <c r="E3593" s="49">
        <v>45061.163194432185</v>
      </c>
      <c r="F3593" s="56">
        <v>5.0168424815286699</v>
      </c>
      <c r="G3593" s="48"/>
      <c r="H3593" s="48"/>
      <c r="I3593" s="48"/>
      <c r="J3593" s="48"/>
      <c r="L3593" s="65"/>
    </row>
    <row r="3594" spans="5:12">
      <c r="E3594" s="49">
        <v>45061.166666654404</v>
      </c>
      <c r="F3594" s="56">
        <v>5.0168424815286699</v>
      </c>
      <c r="G3594" s="48"/>
      <c r="H3594" s="48"/>
      <c r="I3594" s="48"/>
      <c r="J3594" s="48"/>
      <c r="L3594" s="65"/>
    </row>
    <row r="3595" spans="5:12">
      <c r="E3595" s="49">
        <v>45061.170138876623</v>
      </c>
      <c r="F3595" s="56">
        <v>5.0168424815286699</v>
      </c>
      <c r="G3595" s="48"/>
      <c r="H3595" s="48"/>
      <c r="I3595" s="48"/>
      <c r="J3595" s="48"/>
      <c r="L3595" s="65"/>
    </row>
    <row r="3596" spans="5:12">
      <c r="E3596" s="49">
        <v>45061.173611098842</v>
      </c>
      <c r="F3596" s="56">
        <v>5.0168424815286699</v>
      </c>
      <c r="G3596" s="48"/>
      <c r="H3596" s="48"/>
      <c r="I3596" s="48"/>
      <c r="J3596" s="48"/>
      <c r="L3596" s="65"/>
    </row>
    <row r="3597" spans="5:12">
      <c r="E3597" s="49">
        <v>45061.177083321061</v>
      </c>
      <c r="F3597" s="56">
        <v>5.0168424815286699</v>
      </c>
      <c r="G3597" s="48"/>
      <c r="H3597" s="48"/>
      <c r="I3597" s="48"/>
      <c r="J3597" s="48"/>
      <c r="L3597" s="65"/>
    </row>
    <row r="3598" spans="5:12">
      <c r="E3598" s="49">
        <v>45061.18055554328</v>
      </c>
      <c r="F3598" s="56">
        <v>5.0168424815286699</v>
      </c>
      <c r="G3598" s="48"/>
      <c r="H3598" s="48"/>
      <c r="I3598" s="48"/>
      <c r="J3598" s="48"/>
      <c r="L3598" s="65"/>
    </row>
    <row r="3599" spans="5:12">
      <c r="E3599" s="49">
        <v>45061.184027765499</v>
      </c>
      <c r="F3599" s="56">
        <v>5.0168424815286699</v>
      </c>
      <c r="G3599" s="48"/>
      <c r="H3599" s="48"/>
      <c r="I3599" s="48"/>
      <c r="J3599" s="48"/>
      <c r="L3599" s="65"/>
    </row>
    <row r="3600" spans="5:12">
      <c r="E3600" s="49">
        <v>45061.187499987718</v>
      </c>
      <c r="F3600" s="56">
        <v>5.0168424815286699</v>
      </c>
      <c r="G3600" s="48"/>
      <c r="H3600" s="48"/>
      <c r="I3600" s="48"/>
      <c r="J3600" s="48"/>
      <c r="L3600" s="65"/>
    </row>
    <row r="3601" spans="5:12">
      <c r="E3601" s="49">
        <v>45061.190972209937</v>
      </c>
      <c r="F3601" s="56">
        <v>5.0168424815286699</v>
      </c>
      <c r="G3601" s="48"/>
      <c r="H3601" s="48"/>
      <c r="I3601" s="48"/>
      <c r="J3601" s="48"/>
      <c r="L3601" s="65"/>
    </row>
    <row r="3602" spans="5:12">
      <c r="E3602" s="49">
        <v>45061.194444432156</v>
      </c>
      <c r="F3602" s="56">
        <v>5.0168424815286699</v>
      </c>
      <c r="G3602" s="48"/>
      <c r="H3602" s="48"/>
      <c r="I3602" s="48"/>
      <c r="J3602" s="48"/>
      <c r="L3602" s="65"/>
    </row>
    <row r="3603" spans="5:12">
      <c r="E3603" s="49">
        <v>45061.197916654375</v>
      </c>
      <c r="F3603" s="56">
        <v>5.0168424815286699</v>
      </c>
      <c r="G3603" s="48"/>
      <c r="H3603" s="48"/>
      <c r="I3603" s="48"/>
      <c r="J3603" s="48"/>
      <c r="L3603" s="65"/>
    </row>
    <row r="3604" spans="5:12">
      <c r="E3604" s="49">
        <v>45061.201388876594</v>
      </c>
      <c r="F3604" s="56">
        <v>5.0168424815286699</v>
      </c>
      <c r="G3604" s="48"/>
      <c r="H3604" s="48"/>
      <c r="I3604" s="48"/>
      <c r="J3604" s="48"/>
      <c r="L3604" s="65"/>
    </row>
    <row r="3605" spans="5:12">
      <c r="E3605" s="49">
        <v>45061.204861098813</v>
      </c>
      <c r="F3605" s="56">
        <v>5.0168424815286699</v>
      </c>
      <c r="G3605" s="48"/>
      <c r="H3605" s="48"/>
      <c r="I3605" s="48"/>
      <c r="J3605" s="48"/>
      <c r="L3605" s="65"/>
    </row>
    <row r="3606" spans="5:12">
      <c r="E3606" s="49">
        <v>45061.208333321032</v>
      </c>
      <c r="F3606" s="56">
        <v>5.0168424815286699</v>
      </c>
      <c r="G3606" s="48"/>
      <c r="H3606" s="48"/>
      <c r="I3606" s="48"/>
      <c r="J3606" s="48"/>
      <c r="L3606" s="65"/>
    </row>
    <row r="3607" spans="5:12">
      <c r="E3607" s="49">
        <v>45061.211805543251</v>
      </c>
      <c r="F3607" s="56">
        <v>5.0168424815286699</v>
      </c>
      <c r="G3607" s="48"/>
      <c r="H3607" s="48"/>
      <c r="I3607" s="48"/>
      <c r="J3607" s="48"/>
      <c r="L3607" s="65"/>
    </row>
    <row r="3608" spans="5:12">
      <c r="E3608" s="49">
        <v>45061.21527776547</v>
      </c>
      <c r="F3608" s="56">
        <v>5.0168424815286699</v>
      </c>
      <c r="G3608" s="48"/>
      <c r="H3608" s="48"/>
      <c r="I3608" s="48"/>
      <c r="J3608" s="48"/>
      <c r="L3608" s="65"/>
    </row>
    <row r="3609" spans="5:12">
      <c r="E3609" s="49">
        <v>45061.218749987689</v>
      </c>
      <c r="F3609" s="56">
        <v>5.0168424815286699</v>
      </c>
      <c r="G3609" s="48"/>
      <c r="H3609" s="48"/>
      <c r="I3609" s="48"/>
      <c r="J3609" s="48"/>
      <c r="L3609" s="65"/>
    </row>
    <row r="3610" spans="5:12">
      <c r="E3610" s="49">
        <v>45061.222222209908</v>
      </c>
      <c r="F3610" s="56">
        <v>5.0168424815286699</v>
      </c>
      <c r="G3610" s="48"/>
      <c r="H3610" s="48"/>
      <c r="I3610" s="48"/>
      <c r="J3610" s="48"/>
      <c r="L3610" s="65"/>
    </row>
    <row r="3611" spans="5:12">
      <c r="E3611" s="49">
        <v>45061.225694432127</v>
      </c>
      <c r="F3611" s="56">
        <v>5.0168424815286699</v>
      </c>
      <c r="G3611" s="48"/>
      <c r="H3611" s="48"/>
      <c r="I3611" s="48"/>
      <c r="J3611" s="48"/>
      <c r="L3611" s="65"/>
    </row>
    <row r="3612" spans="5:12">
      <c r="E3612" s="49">
        <v>45061.229166654346</v>
      </c>
      <c r="F3612" s="56">
        <v>5.0168424815286699</v>
      </c>
      <c r="G3612" s="48"/>
      <c r="H3612" s="48"/>
      <c r="I3612" s="48"/>
      <c r="J3612" s="48"/>
      <c r="L3612" s="65"/>
    </row>
    <row r="3613" spans="5:12">
      <c r="E3613" s="49">
        <v>45061.232638876565</v>
      </c>
      <c r="F3613" s="56">
        <v>5.0168424815286699</v>
      </c>
      <c r="G3613" s="48"/>
      <c r="H3613" s="48"/>
      <c r="I3613" s="48"/>
      <c r="J3613" s="48"/>
      <c r="L3613" s="65"/>
    </row>
    <row r="3614" spans="5:12">
      <c r="E3614" s="49">
        <v>45061.236111098784</v>
      </c>
      <c r="F3614" s="56">
        <v>5.0168424815286699</v>
      </c>
      <c r="G3614" s="48"/>
      <c r="H3614" s="48"/>
      <c r="I3614" s="48"/>
      <c r="J3614" s="48"/>
      <c r="L3614" s="65"/>
    </row>
    <row r="3615" spans="5:12">
      <c r="E3615" s="49">
        <v>45061.239583321003</v>
      </c>
      <c r="F3615" s="56">
        <v>5.0168424815286699</v>
      </c>
      <c r="G3615" s="48"/>
      <c r="H3615" s="48"/>
      <c r="I3615" s="48"/>
      <c r="J3615" s="48"/>
      <c r="L3615" s="65"/>
    </row>
    <row r="3616" spans="5:12">
      <c r="E3616" s="49">
        <v>45061.243055543222</v>
      </c>
      <c r="F3616" s="56">
        <v>5.0168424815286699</v>
      </c>
      <c r="G3616" s="48"/>
      <c r="H3616" s="48"/>
      <c r="I3616" s="48"/>
      <c r="J3616" s="48"/>
      <c r="L3616" s="65"/>
    </row>
    <row r="3617" spans="5:12">
      <c r="E3617" s="49">
        <v>45061.246527765441</v>
      </c>
      <c r="F3617" s="56">
        <v>5.0168424815286699</v>
      </c>
      <c r="G3617" s="48"/>
      <c r="H3617" s="48"/>
      <c r="I3617" s="48"/>
      <c r="J3617" s="48"/>
      <c r="L3617" s="65"/>
    </row>
    <row r="3618" spans="5:12">
      <c r="E3618" s="49">
        <v>45061.24999998766</v>
      </c>
      <c r="F3618" s="56">
        <v>5.0168424815286699</v>
      </c>
      <c r="G3618" s="48"/>
      <c r="H3618" s="48"/>
      <c r="I3618" s="48"/>
      <c r="J3618" s="48"/>
      <c r="L3618" s="65"/>
    </row>
    <row r="3619" spans="5:12">
      <c r="E3619" s="49">
        <v>45061.253472209879</v>
      </c>
      <c r="F3619" s="56">
        <v>5.0168424815286699</v>
      </c>
      <c r="G3619" s="48"/>
      <c r="H3619" s="48"/>
      <c r="I3619" s="48"/>
      <c r="J3619" s="48"/>
      <c r="L3619" s="65"/>
    </row>
    <row r="3620" spans="5:12">
      <c r="E3620" s="49">
        <v>45061.256944432098</v>
      </c>
      <c r="F3620" s="56">
        <v>5.0168424815286699</v>
      </c>
      <c r="G3620" s="48"/>
      <c r="H3620" s="48"/>
      <c r="I3620" s="48"/>
      <c r="J3620" s="48"/>
      <c r="L3620" s="65"/>
    </row>
    <row r="3621" spans="5:12">
      <c r="E3621" s="49">
        <v>45061.260416654317</v>
      </c>
      <c r="F3621" s="56">
        <v>5.0168424815286699</v>
      </c>
      <c r="G3621" s="48"/>
      <c r="H3621" s="48"/>
      <c r="I3621" s="48"/>
      <c r="J3621" s="48"/>
      <c r="L3621" s="65"/>
    </row>
    <row r="3622" spans="5:12">
      <c r="E3622" s="49">
        <v>45061.263888876536</v>
      </c>
      <c r="F3622" s="56">
        <v>5.0168424815286699</v>
      </c>
      <c r="G3622" s="48"/>
      <c r="H3622" s="48"/>
      <c r="I3622" s="48"/>
      <c r="J3622" s="48"/>
      <c r="L3622" s="65"/>
    </row>
    <row r="3623" spans="5:12">
      <c r="E3623" s="49">
        <v>45061.267361098755</v>
      </c>
      <c r="F3623" s="56">
        <v>5.0168424815286699</v>
      </c>
      <c r="G3623" s="48"/>
      <c r="H3623" s="48"/>
      <c r="I3623" s="48"/>
      <c r="J3623" s="48"/>
      <c r="L3623" s="65"/>
    </row>
    <row r="3624" spans="5:12">
      <c r="E3624" s="49">
        <v>45061.270833320974</v>
      </c>
      <c r="F3624" s="56">
        <v>5.0168424815286699</v>
      </c>
      <c r="G3624" s="48"/>
      <c r="H3624" s="48"/>
      <c r="I3624" s="48"/>
      <c r="J3624" s="48"/>
      <c r="L3624" s="65"/>
    </row>
    <row r="3625" spans="5:12">
      <c r="E3625" s="49">
        <v>45061.274305543193</v>
      </c>
      <c r="F3625" s="56">
        <v>5.0168424815286699</v>
      </c>
      <c r="G3625" s="48"/>
      <c r="H3625" s="48"/>
      <c r="I3625" s="48"/>
      <c r="J3625" s="48"/>
      <c r="L3625" s="65"/>
    </row>
    <row r="3626" spans="5:12">
      <c r="E3626" s="49">
        <v>45061.277777765412</v>
      </c>
      <c r="F3626" s="56">
        <v>5.0168424815286699</v>
      </c>
      <c r="G3626" s="48"/>
      <c r="H3626" s="48"/>
      <c r="I3626" s="48"/>
      <c r="J3626" s="48"/>
      <c r="L3626" s="65"/>
    </row>
    <row r="3627" spans="5:12">
      <c r="E3627" s="49">
        <v>45061.281249987631</v>
      </c>
      <c r="F3627" s="56">
        <v>5.0168424815286699</v>
      </c>
      <c r="G3627" s="48"/>
      <c r="H3627" s="48"/>
      <c r="I3627" s="48"/>
      <c r="J3627" s="48"/>
      <c r="L3627" s="65"/>
    </row>
    <row r="3628" spans="5:12">
      <c r="E3628" s="49">
        <v>45061.28472220985</v>
      </c>
      <c r="F3628" s="56">
        <v>5.0168424815286699</v>
      </c>
      <c r="G3628" s="48"/>
      <c r="H3628" s="48"/>
      <c r="I3628" s="48"/>
      <c r="J3628" s="48"/>
      <c r="L3628" s="65"/>
    </row>
    <row r="3629" spans="5:12">
      <c r="E3629" s="49">
        <v>45061.288194432069</v>
      </c>
      <c r="F3629" s="56">
        <v>5.0168424815286699</v>
      </c>
      <c r="G3629" s="48"/>
      <c r="H3629" s="48"/>
      <c r="I3629" s="48"/>
      <c r="J3629" s="48"/>
      <c r="L3629" s="65"/>
    </row>
    <row r="3630" spans="5:12">
      <c r="E3630" s="49">
        <v>45061.291666654288</v>
      </c>
      <c r="F3630" s="56">
        <v>5.0168424815286699</v>
      </c>
      <c r="G3630" s="48"/>
      <c r="H3630" s="48"/>
      <c r="I3630" s="48"/>
      <c r="J3630" s="48"/>
      <c r="L3630" s="65"/>
    </row>
    <row r="3631" spans="5:12">
      <c r="E3631" s="49">
        <v>45061.295138876507</v>
      </c>
      <c r="F3631" s="56">
        <v>5.0168424815286699</v>
      </c>
      <c r="G3631" s="48"/>
      <c r="H3631" s="48"/>
      <c r="I3631" s="48"/>
      <c r="J3631" s="48"/>
      <c r="L3631" s="65"/>
    </row>
    <row r="3632" spans="5:12">
      <c r="E3632" s="49">
        <v>45061.298611098726</v>
      </c>
      <c r="F3632" s="56">
        <v>5.0168424815286699</v>
      </c>
      <c r="G3632" s="48"/>
      <c r="H3632" s="48"/>
      <c r="I3632" s="48"/>
      <c r="J3632" s="48"/>
      <c r="L3632" s="65"/>
    </row>
    <row r="3633" spans="5:12">
      <c r="E3633" s="49">
        <v>45061.302083320945</v>
      </c>
      <c r="F3633" s="56">
        <v>5.0168424815286699</v>
      </c>
      <c r="G3633" s="48"/>
      <c r="H3633" s="48"/>
      <c r="I3633" s="48"/>
      <c r="J3633" s="48"/>
      <c r="L3633" s="65"/>
    </row>
    <row r="3634" spans="5:12">
      <c r="E3634" s="49">
        <v>45061.305555543164</v>
      </c>
      <c r="F3634" s="56">
        <v>5.0168424815286699</v>
      </c>
      <c r="G3634" s="48"/>
      <c r="H3634" s="48"/>
      <c r="I3634" s="48"/>
      <c r="J3634" s="48"/>
      <c r="L3634" s="65"/>
    </row>
    <row r="3635" spans="5:12">
      <c r="E3635" s="49">
        <v>45061.309027765383</v>
      </c>
      <c r="F3635" s="56">
        <v>5.0168424815286699</v>
      </c>
      <c r="G3635" s="48"/>
      <c r="H3635" s="48"/>
      <c r="I3635" s="48"/>
      <c r="J3635" s="48"/>
      <c r="L3635" s="65"/>
    </row>
    <row r="3636" spans="5:12">
      <c r="E3636" s="49">
        <v>45061.312499987602</v>
      </c>
      <c r="F3636" s="56">
        <v>5.0168424815286699</v>
      </c>
      <c r="G3636" s="48"/>
      <c r="H3636" s="48"/>
      <c r="I3636" s="48"/>
      <c r="J3636" s="48"/>
      <c r="L3636" s="65"/>
    </row>
    <row r="3637" spans="5:12">
      <c r="E3637" s="49">
        <v>45061.315972209821</v>
      </c>
      <c r="F3637" s="56">
        <v>5.0168424815286699</v>
      </c>
      <c r="G3637" s="48"/>
      <c r="H3637" s="48"/>
      <c r="I3637" s="48"/>
      <c r="J3637" s="48"/>
      <c r="L3637" s="65"/>
    </row>
    <row r="3638" spans="5:12">
      <c r="E3638" s="49">
        <v>45061.31944443204</v>
      </c>
      <c r="F3638" s="56">
        <v>5.0168424815286699</v>
      </c>
      <c r="G3638" s="48"/>
      <c r="H3638" s="48"/>
      <c r="I3638" s="48"/>
      <c r="J3638" s="48"/>
      <c r="L3638" s="65"/>
    </row>
    <row r="3639" spans="5:12">
      <c r="E3639" s="49">
        <v>45061.322916654259</v>
      </c>
      <c r="F3639" s="56">
        <v>5.0168424815286699</v>
      </c>
      <c r="G3639" s="48"/>
      <c r="H3639" s="48"/>
      <c r="I3639" s="48"/>
      <c r="J3639" s="48"/>
      <c r="L3639" s="65"/>
    </row>
    <row r="3640" spans="5:12">
      <c r="E3640" s="49">
        <v>45061.326388876478</v>
      </c>
      <c r="F3640" s="56">
        <v>5.0168424815286699</v>
      </c>
      <c r="G3640" s="48"/>
      <c r="H3640" s="48"/>
      <c r="I3640" s="48"/>
      <c r="J3640" s="48"/>
      <c r="L3640" s="65"/>
    </row>
    <row r="3641" spans="5:12">
      <c r="E3641" s="49">
        <v>45061.329861098697</v>
      </c>
      <c r="F3641" s="56">
        <v>5.0168424815286699</v>
      </c>
      <c r="G3641" s="48"/>
      <c r="H3641" s="48"/>
      <c r="I3641" s="48"/>
      <c r="J3641" s="48"/>
      <c r="L3641" s="65"/>
    </row>
    <row r="3642" spans="5:12">
      <c r="E3642" s="49">
        <v>45061.333333320916</v>
      </c>
      <c r="F3642" s="56">
        <v>5.0168424815286699</v>
      </c>
      <c r="G3642" s="48"/>
      <c r="H3642" s="48"/>
      <c r="I3642" s="48"/>
      <c r="J3642" s="48"/>
      <c r="L3642" s="65"/>
    </row>
    <row r="3643" spans="5:12">
      <c r="E3643" s="49">
        <v>45061.336805543135</v>
      </c>
      <c r="F3643" s="56">
        <v>5.0168424815286699</v>
      </c>
      <c r="G3643" s="48"/>
      <c r="H3643" s="48"/>
      <c r="I3643" s="48"/>
      <c r="J3643" s="48"/>
      <c r="L3643" s="65"/>
    </row>
    <row r="3644" spans="5:12">
      <c r="E3644" s="49">
        <v>45061.340277765354</v>
      </c>
      <c r="F3644" s="56">
        <v>5.0168424815286699</v>
      </c>
      <c r="G3644" s="48"/>
      <c r="H3644" s="48"/>
      <c r="I3644" s="48"/>
      <c r="J3644" s="48"/>
      <c r="L3644" s="65"/>
    </row>
    <row r="3645" spans="5:12">
      <c r="E3645" s="49">
        <v>45061.343749987573</v>
      </c>
      <c r="F3645" s="56">
        <v>5.0168424815286699</v>
      </c>
      <c r="G3645" s="48"/>
      <c r="H3645" s="48"/>
      <c r="I3645" s="48"/>
      <c r="J3645" s="48"/>
      <c r="L3645" s="65"/>
    </row>
    <row r="3646" spans="5:12">
      <c r="E3646" s="49">
        <v>45061.347222209792</v>
      </c>
      <c r="F3646" s="56">
        <v>5.0168424815286699</v>
      </c>
      <c r="G3646" s="48"/>
      <c r="H3646" s="48"/>
      <c r="I3646" s="48"/>
      <c r="J3646" s="48"/>
      <c r="L3646" s="65"/>
    </row>
    <row r="3647" spans="5:12">
      <c r="E3647" s="49">
        <v>45061.350694432011</v>
      </c>
      <c r="F3647" s="56">
        <v>5.0168424815286699</v>
      </c>
      <c r="G3647" s="48"/>
      <c r="H3647" s="48"/>
      <c r="I3647" s="48"/>
      <c r="J3647" s="48"/>
      <c r="L3647" s="65"/>
    </row>
    <row r="3648" spans="5:12">
      <c r="E3648" s="49">
        <v>45061.35416665423</v>
      </c>
      <c r="F3648" s="56">
        <v>5.0168424815286699</v>
      </c>
      <c r="G3648" s="48"/>
      <c r="H3648" s="48"/>
      <c r="I3648" s="48"/>
      <c r="J3648" s="48"/>
      <c r="L3648" s="65"/>
    </row>
    <row r="3649" spans="5:12">
      <c r="E3649" s="49">
        <v>45061.357638876449</v>
      </c>
      <c r="F3649" s="56">
        <v>5.0168424815286699</v>
      </c>
      <c r="G3649" s="48"/>
      <c r="H3649" s="48"/>
      <c r="I3649" s="48"/>
      <c r="J3649" s="48"/>
      <c r="L3649" s="65"/>
    </row>
    <row r="3650" spans="5:12">
      <c r="E3650" s="49">
        <v>45061.361111098668</v>
      </c>
      <c r="F3650" s="56">
        <v>5.0168424815286699</v>
      </c>
      <c r="G3650" s="48"/>
      <c r="H3650" s="48"/>
      <c r="I3650" s="48"/>
      <c r="J3650" s="48"/>
      <c r="L3650" s="65"/>
    </row>
    <row r="3651" spans="5:12">
      <c r="E3651" s="49">
        <v>45061.364583320887</v>
      </c>
      <c r="F3651" s="56">
        <v>5.0168424815286699</v>
      </c>
      <c r="G3651" s="48"/>
      <c r="H3651" s="48"/>
      <c r="I3651" s="48"/>
      <c r="J3651" s="48"/>
      <c r="L3651" s="65"/>
    </row>
    <row r="3652" spans="5:12">
      <c r="E3652" s="49">
        <v>45061.368055543106</v>
      </c>
      <c r="F3652" s="56">
        <v>5.0168424815286699</v>
      </c>
      <c r="G3652" s="48"/>
      <c r="H3652" s="48"/>
      <c r="I3652" s="48"/>
      <c r="J3652" s="48"/>
      <c r="L3652" s="65"/>
    </row>
    <row r="3653" spans="5:12">
      <c r="E3653" s="49">
        <v>45061.371527765325</v>
      </c>
      <c r="F3653" s="56">
        <v>5.0168424815286699</v>
      </c>
      <c r="G3653" s="48"/>
      <c r="H3653" s="48"/>
      <c r="I3653" s="48"/>
      <c r="J3653" s="48"/>
      <c r="L3653" s="65"/>
    </row>
    <row r="3654" spans="5:12">
      <c r="E3654" s="49">
        <v>45061.374999987544</v>
      </c>
      <c r="F3654" s="56">
        <v>5.0168424815286699</v>
      </c>
      <c r="G3654" s="48"/>
      <c r="H3654" s="48"/>
      <c r="I3654" s="48"/>
      <c r="J3654" s="48"/>
      <c r="L3654" s="65"/>
    </row>
    <row r="3655" spans="5:12">
      <c r="E3655" s="49">
        <v>45061.378472209763</v>
      </c>
      <c r="F3655" s="56">
        <v>5.0168424815286699</v>
      </c>
      <c r="G3655" s="48"/>
      <c r="H3655" s="48"/>
      <c r="I3655" s="48"/>
      <c r="J3655" s="48"/>
      <c r="L3655" s="65"/>
    </row>
    <row r="3656" spans="5:12">
      <c r="E3656" s="49">
        <v>45061.381944431982</v>
      </c>
      <c r="F3656" s="56">
        <v>5.0168424815286699</v>
      </c>
      <c r="G3656" s="48"/>
      <c r="H3656" s="48"/>
      <c r="I3656" s="48"/>
      <c r="J3656" s="48"/>
      <c r="L3656" s="65"/>
    </row>
    <row r="3657" spans="5:12">
      <c r="E3657" s="49">
        <v>45061.385416654201</v>
      </c>
      <c r="F3657" s="56">
        <v>5.0168424815286699</v>
      </c>
      <c r="G3657" s="48"/>
      <c r="H3657" s="48"/>
      <c r="I3657" s="48"/>
      <c r="J3657" s="48"/>
      <c r="L3657" s="65"/>
    </row>
    <row r="3658" spans="5:12">
      <c r="E3658" s="49">
        <v>45061.38888887642</v>
      </c>
      <c r="F3658" s="56">
        <v>5.0168424815286699</v>
      </c>
      <c r="G3658" s="48"/>
      <c r="H3658" s="48"/>
      <c r="I3658" s="48"/>
      <c r="J3658" s="48"/>
      <c r="L3658" s="65"/>
    </row>
    <row r="3659" spans="5:12">
      <c r="E3659" s="49">
        <v>45061.392361098639</v>
      </c>
      <c r="F3659" s="56">
        <v>5.0168424815286699</v>
      </c>
      <c r="G3659" s="48"/>
      <c r="H3659" s="48"/>
      <c r="I3659" s="48"/>
      <c r="J3659" s="48"/>
      <c r="L3659" s="65"/>
    </row>
    <row r="3660" spans="5:12">
      <c r="E3660" s="49">
        <v>45061.395833320857</v>
      </c>
      <c r="F3660" s="56">
        <v>5.0168424815286699</v>
      </c>
      <c r="G3660" s="48"/>
      <c r="H3660" s="48"/>
      <c r="I3660" s="48"/>
      <c r="J3660" s="48"/>
      <c r="L3660" s="65"/>
    </row>
    <row r="3661" spans="5:12">
      <c r="E3661" s="49">
        <v>45061.399305543076</v>
      </c>
      <c r="F3661" s="56">
        <v>5.0168424815286699</v>
      </c>
      <c r="G3661" s="48"/>
      <c r="H3661" s="48"/>
      <c r="I3661" s="48"/>
      <c r="J3661" s="48"/>
      <c r="L3661" s="65"/>
    </row>
    <row r="3662" spans="5:12">
      <c r="E3662" s="49">
        <v>45061.402777765295</v>
      </c>
      <c r="F3662" s="56">
        <v>5.0168424815286699</v>
      </c>
      <c r="G3662" s="48"/>
      <c r="H3662" s="48"/>
      <c r="I3662" s="48"/>
      <c r="J3662" s="48"/>
      <c r="L3662" s="65"/>
    </row>
    <row r="3663" spans="5:12">
      <c r="E3663" s="49">
        <v>45061.406249987514</v>
      </c>
      <c r="F3663" s="56">
        <v>5.0168424815286699</v>
      </c>
      <c r="G3663" s="48"/>
      <c r="H3663" s="48"/>
      <c r="I3663" s="48"/>
      <c r="J3663" s="48"/>
      <c r="L3663" s="65"/>
    </row>
    <row r="3664" spans="5:12">
      <c r="E3664" s="49">
        <v>45061.409722209733</v>
      </c>
      <c r="F3664" s="56">
        <v>5.0168424815286699</v>
      </c>
      <c r="G3664" s="48"/>
      <c r="H3664" s="48"/>
      <c r="I3664" s="48"/>
      <c r="J3664" s="48"/>
      <c r="L3664" s="65"/>
    </row>
    <row r="3665" spans="5:12">
      <c r="E3665" s="49">
        <v>45061.413194431952</v>
      </c>
      <c r="F3665" s="56">
        <v>5.0168424815286699</v>
      </c>
      <c r="G3665" s="48"/>
      <c r="H3665" s="48"/>
      <c r="I3665" s="48"/>
      <c r="J3665" s="48"/>
      <c r="L3665" s="65"/>
    </row>
    <row r="3666" spans="5:12">
      <c r="E3666" s="49">
        <v>45061.416666654171</v>
      </c>
      <c r="F3666" s="56">
        <v>5.0168424815286699</v>
      </c>
      <c r="G3666" s="48"/>
      <c r="H3666" s="48"/>
      <c r="I3666" s="48"/>
      <c r="J3666" s="48"/>
      <c r="L3666" s="65"/>
    </row>
    <row r="3667" spans="5:12">
      <c r="E3667" s="49">
        <v>45061.42013887639</v>
      </c>
      <c r="F3667" s="56">
        <v>5.0168424815286699</v>
      </c>
      <c r="G3667" s="48"/>
      <c r="H3667" s="48"/>
      <c r="I3667" s="48"/>
      <c r="J3667" s="48"/>
      <c r="L3667" s="65"/>
    </row>
    <row r="3668" spans="5:12">
      <c r="E3668" s="49">
        <v>45061.423611098609</v>
      </c>
      <c r="F3668" s="56">
        <v>5.0168424815286699</v>
      </c>
      <c r="G3668" s="48"/>
      <c r="H3668" s="48"/>
      <c r="I3668" s="48"/>
      <c r="J3668" s="48"/>
      <c r="L3668" s="65"/>
    </row>
    <row r="3669" spans="5:12">
      <c r="E3669" s="49">
        <v>45061.427083320828</v>
      </c>
      <c r="F3669" s="56">
        <v>5.0168424815286699</v>
      </c>
      <c r="G3669" s="48"/>
      <c r="H3669" s="48"/>
      <c r="I3669" s="48"/>
      <c r="J3669" s="48"/>
      <c r="L3669" s="65"/>
    </row>
    <row r="3670" spans="5:12">
      <c r="E3670" s="49">
        <v>45061.430555543047</v>
      </c>
      <c r="F3670" s="56">
        <v>5.0168424815286699</v>
      </c>
      <c r="G3670" s="48"/>
      <c r="H3670" s="48"/>
      <c r="I3670" s="48"/>
      <c r="J3670" s="48"/>
      <c r="L3670" s="65"/>
    </row>
    <row r="3671" spans="5:12">
      <c r="E3671" s="49">
        <v>45061.434027765266</v>
      </c>
      <c r="F3671" s="56">
        <v>5.0168424815286699</v>
      </c>
      <c r="G3671" s="48"/>
      <c r="H3671" s="48"/>
      <c r="I3671" s="48"/>
      <c r="J3671" s="48"/>
      <c r="L3671" s="65"/>
    </row>
    <row r="3672" spans="5:12">
      <c r="E3672" s="49">
        <v>45061.437499987485</v>
      </c>
      <c r="F3672" s="56">
        <v>5.0168424815286699</v>
      </c>
      <c r="G3672" s="48"/>
      <c r="H3672" s="48"/>
      <c r="I3672" s="48"/>
      <c r="J3672" s="48"/>
      <c r="L3672" s="65"/>
    </row>
    <row r="3673" spans="5:12">
      <c r="E3673" s="49">
        <v>45061.440972209704</v>
      </c>
      <c r="F3673" s="56">
        <v>5.0168424815286699</v>
      </c>
      <c r="G3673" s="48"/>
      <c r="H3673" s="48"/>
      <c r="I3673" s="48"/>
      <c r="J3673" s="48"/>
      <c r="L3673" s="65"/>
    </row>
    <row r="3674" spans="5:12">
      <c r="E3674" s="49">
        <v>45061.444444431923</v>
      </c>
      <c r="F3674" s="56">
        <v>5.0168424815286699</v>
      </c>
      <c r="G3674" s="48"/>
      <c r="H3674" s="48"/>
      <c r="I3674" s="48"/>
      <c r="J3674" s="48"/>
      <c r="L3674" s="65"/>
    </row>
    <row r="3675" spans="5:12">
      <c r="E3675" s="49">
        <v>45061.447916654142</v>
      </c>
      <c r="F3675" s="56">
        <v>5.0168424815286699</v>
      </c>
      <c r="G3675" s="48"/>
      <c r="H3675" s="48"/>
      <c r="I3675" s="48"/>
      <c r="J3675" s="48"/>
      <c r="L3675" s="65"/>
    </row>
    <row r="3676" spans="5:12">
      <c r="E3676" s="49">
        <v>45061.451388876361</v>
      </c>
      <c r="F3676" s="56">
        <v>5.0168424815286699</v>
      </c>
      <c r="G3676" s="48"/>
      <c r="H3676" s="48"/>
      <c r="I3676" s="48"/>
      <c r="J3676" s="48"/>
      <c r="L3676" s="65"/>
    </row>
    <row r="3677" spans="5:12">
      <c r="E3677" s="49">
        <v>45061.45486109858</v>
      </c>
      <c r="F3677" s="56">
        <v>5.0168424815286699</v>
      </c>
      <c r="G3677" s="48"/>
      <c r="H3677" s="48"/>
      <c r="I3677" s="48"/>
      <c r="J3677" s="48"/>
      <c r="L3677" s="65"/>
    </row>
    <row r="3678" spans="5:12">
      <c r="E3678" s="49">
        <v>45061.458333320799</v>
      </c>
      <c r="F3678" s="56">
        <v>5.0168424815286699</v>
      </c>
      <c r="G3678" s="48"/>
      <c r="H3678" s="48"/>
      <c r="I3678" s="48"/>
      <c r="J3678" s="48"/>
      <c r="L3678" s="65"/>
    </row>
    <row r="3679" spans="5:12">
      <c r="E3679" s="49">
        <v>45061.461805543018</v>
      </c>
      <c r="F3679" s="56">
        <v>5.0168424815286699</v>
      </c>
      <c r="G3679" s="48"/>
      <c r="H3679" s="48"/>
      <c r="I3679" s="48"/>
      <c r="J3679" s="48"/>
      <c r="L3679" s="65"/>
    </row>
    <row r="3680" spans="5:12">
      <c r="E3680" s="49">
        <v>45061.465277765237</v>
      </c>
      <c r="F3680" s="56">
        <v>5.0168424815286699</v>
      </c>
      <c r="G3680" s="48"/>
      <c r="H3680" s="48"/>
      <c r="I3680" s="48"/>
      <c r="J3680" s="48"/>
      <c r="L3680" s="65"/>
    </row>
    <row r="3681" spans="5:12">
      <c r="E3681" s="49">
        <v>45061.468749987456</v>
      </c>
      <c r="F3681" s="56">
        <v>5.0168424815286699</v>
      </c>
      <c r="G3681" s="48"/>
      <c r="H3681" s="48"/>
      <c r="I3681" s="48"/>
      <c r="J3681" s="48"/>
      <c r="L3681" s="65"/>
    </row>
    <row r="3682" spans="5:12">
      <c r="E3682" s="49">
        <v>45061.472222209675</v>
      </c>
      <c r="F3682" s="56">
        <v>5.0168424815286699</v>
      </c>
      <c r="G3682" s="48"/>
      <c r="H3682" s="48"/>
      <c r="I3682" s="48"/>
      <c r="J3682" s="48"/>
      <c r="L3682" s="65"/>
    </row>
    <row r="3683" spans="5:12">
      <c r="E3683" s="49">
        <v>45061.475694431894</v>
      </c>
      <c r="F3683" s="56">
        <v>5.0168424815286699</v>
      </c>
      <c r="G3683" s="48"/>
      <c r="H3683" s="48"/>
      <c r="I3683" s="48"/>
      <c r="J3683" s="48"/>
      <c r="L3683" s="65"/>
    </row>
    <row r="3684" spans="5:12">
      <c r="E3684" s="49">
        <v>45061.479166654113</v>
      </c>
      <c r="F3684" s="56">
        <v>5.0168424815286699</v>
      </c>
      <c r="G3684" s="48"/>
      <c r="H3684" s="48"/>
      <c r="I3684" s="48"/>
      <c r="J3684" s="48"/>
      <c r="L3684" s="65"/>
    </row>
    <row r="3685" spans="5:12">
      <c r="E3685" s="49">
        <v>45061.482638876332</v>
      </c>
      <c r="F3685" s="56">
        <v>5.0168424815286699</v>
      </c>
      <c r="G3685" s="48"/>
      <c r="H3685" s="48"/>
      <c r="I3685" s="48"/>
      <c r="J3685" s="48"/>
      <c r="L3685" s="65"/>
    </row>
    <row r="3686" spans="5:12">
      <c r="E3686" s="49">
        <v>45061.486111098551</v>
      </c>
      <c r="F3686" s="56">
        <v>5.0168424815286699</v>
      </c>
      <c r="G3686" s="48"/>
      <c r="H3686" s="48"/>
      <c r="I3686" s="48"/>
      <c r="J3686" s="48"/>
      <c r="L3686" s="65"/>
    </row>
    <row r="3687" spans="5:12">
      <c r="E3687" s="49">
        <v>45061.48958332077</v>
      </c>
      <c r="F3687" s="56">
        <v>5.0168424815286699</v>
      </c>
      <c r="G3687" s="48"/>
      <c r="H3687" s="48"/>
      <c r="I3687" s="48"/>
      <c r="J3687" s="48"/>
      <c r="L3687" s="65"/>
    </row>
    <row r="3688" spans="5:12">
      <c r="E3688" s="49">
        <v>45061.493055542989</v>
      </c>
      <c r="F3688" s="56">
        <v>5.0168424815286699</v>
      </c>
      <c r="G3688" s="48"/>
      <c r="H3688" s="48"/>
      <c r="I3688" s="48"/>
      <c r="J3688" s="48"/>
      <c r="L3688" s="65"/>
    </row>
    <row r="3689" spans="5:12">
      <c r="E3689" s="49">
        <v>45061.496527765208</v>
      </c>
      <c r="F3689" s="56">
        <v>5.0168424815286699</v>
      </c>
      <c r="G3689" s="48"/>
      <c r="H3689" s="48"/>
      <c r="I3689" s="48"/>
      <c r="J3689" s="48"/>
      <c r="L3689" s="65"/>
    </row>
    <row r="3690" spans="5:12">
      <c r="E3690" s="49">
        <v>45061.499999987427</v>
      </c>
      <c r="F3690" s="56">
        <v>5.0168424815286699</v>
      </c>
      <c r="G3690" s="48"/>
      <c r="H3690" s="48"/>
      <c r="I3690" s="48"/>
      <c r="J3690" s="48"/>
      <c r="L3690" s="65"/>
    </row>
    <row r="3691" spans="5:12">
      <c r="E3691" s="49">
        <v>45061.503472209646</v>
      </c>
      <c r="F3691" s="56">
        <v>5.0168424815286699</v>
      </c>
      <c r="G3691" s="48"/>
      <c r="H3691" s="48"/>
      <c r="I3691" s="48"/>
      <c r="J3691" s="48"/>
      <c r="L3691" s="65"/>
    </row>
    <row r="3692" spans="5:12">
      <c r="E3692" s="49">
        <v>45061.506944431865</v>
      </c>
      <c r="F3692" s="56">
        <v>5.0168424815286699</v>
      </c>
      <c r="G3692" s="48"/>
      <c r="H3692" s="48"/>
      <c r="I3692" s="48"/>
      <c r="J3692" s="48"/>
      <c r="L3692" s="65"/>
    </row>
    <row r="3693" spans="5:12">
      <c r="E3693" s="49">
        <v>45061.510416654084</v>
      </c>
      <c r="F3693" s="56">
        <v>5.0168424815286699</v>
      </c>
      <c r="G3693" s="48"/>
      <c r="H3693" s="48"/>
      <c r="I3693" s="48"/>
      <c r="J3693" s="48"/>
      <c r="L3693" s="65"/>
    </row>
    <row r="3694" spans="5:12">
      <c r="E3694" s="49">
        <v>45061.513888876303</v>
      </c>
      <c r="F3694" s="56">
        <v>5.0168424815286699</v>
      </c>
      <c r="G3694" s="48"/>
      <c r="H3694" s="48"/>
      <c r="I3694" s="48"/>
      <c r="J3694" s="48"/>
      <c r="L3694" s="65"/>
    </row>
    <row r="3695" spans="5:12">
      <c r="E3695" s="49">
        <v>45061.517361098522</v>
      </c>
      <c r="F3695" s="56">
        <v>5.0168424815286699</v>
      </c>
      <c r="G3695" s="48"/>
      <c r="H3695" s="48"/>
      <c r="I3695" s="48"/>
      <c r="J3695" s="48"/>
      <c r="L3695" s="65"/>
    </row>
    <row r="3696" spans="5:12">
      <c r="E3696" s="49">
        <v>45061.520833320741</v>
      </c>
      <c r="F3696" s="56">
        <v>5.0168424815286699</v>
      </c>
      <c r="G3696" s="48"/>
      <c r="H3696" s="48"/>
      <c r="I3696" s="48"/>
      <c r="J3696" s="48"/>
      <c r="L3696" s="65"/>
    </row>
    <row r="3697" spans="5:12">
      <c r="E3697" s="49">
        <v>45061.52430554296</v>
      </c>
      <c r="F3697" s="56">
        <v>5.0168424815286699</v>
      </c>
      <c r="G3697" s="48"/>
      <c r="H3697" s="48"/>
      <c r="I3697" s="48"/>
      <c r="J3697" s="48"/>
      <c r="L3697" s="65"/>
    </row>
    <row r="3698" spans="5:12">
      <c r="E3698" s="49">
        <v>45061.527777765179</v>
      </c>
      <c r="F3698" s="56">
        <v>5.0168424815286699</v>
      </c>
      <c r="G3698" s="48"/>
      <c r="H3698" s="48"/>
      <c r="I3698" s="48"/>
      <c r="J3698" s="48"/>
      <c r="L3698" s="65"/>
    </row>
    <row r="3699" spans="5:12">
      <c r="E3699" s="49">
        <v>45061.531249987398</v>
      </c>
      <c r="F3699" s="56">
        <v>5.0168424815286699</v>
      </c>
      <c r="G3699" s="48"/>
      <c r="H3699" s="48"/>
      <c r="I3699" s="48"/>
      <c r="J3699" s="48"/>
      <c r="L3699" s="65"/>
    </row>
    <row r="3700" spans="5:12">
      <c r="E3700" s="49">
        <v>45061.534722209617</v>
      </c>
      <c r="F3700" s="56">
        <v>5.0168424815286699</v>
      </c>
      <c r="G3700" s="48"/>
      <c r="H3700" s="48"/>
      <c r="I3700" s="48"/>
      <c r="J3700" s="48"/>
      <c r="L3700" s="65"/>
    </row>
    <row r="3701" spans="5:12">
      <c r="E3701" s="49">
        <v>45061.538194431836</v>
      </c>
      <c r="F3701" s="56">
        <v>5.0168424815286699</v>
      </c>
      <c r="G3701" s="48"/>
      <c r="H3701" s="48"/>
      <c r="I3701" s="48"/>
      <c r="J3701" s="48"/>
      <c r="L3701" s="65"/>
    </row>
    <row r="3702" spans="5:12">
      <c r="E3702" s="49">
        <v>45061.541666654055</v>
      </c>
      <c r="F3702" s="56">
        <v>5.0168424815286699</v>
      </c>
      <c r="G3702" s="48"/>
      <c r="H3702" s="48"/>
      <c r="I3702" s="48"/>
      <c r="J3702" s="48"/>
      <c r="L3702" s="65"/>
    </row>
    <row r="3703" spans="5:12">
      <c r="E3703" s="49">
        <v>45061.545138876274</v>
      </c>
      <c r="F3703" s="56">
        <v>5.0168424815286699</v>
      </c>
      <c r="G3703" s="48"/>
      <c r="H3703" s="48"/>
      <c r="I3703" s="48"/>
      <c r="J3703" s="48"/>
      <c r="L3703" s="65"/>
    </row>
    <row r="3704" spans="5:12">
      <c r="E3704" s="49">
        <v>45061.548611098493</v>
      </c>
      <c r="F3704" s="56">
        <v>5.0168424815286699</v>
      </c>
      <c r="G3704" s="48"/>
      <c r="H3704" s="48"/>
      <c r="I3704" s="48"/>
      <c r="J3704" s="48"/>
      <c r="L3704" s="65"/>
    </row>
    <row r="3705" spans="5:12">
      <c r="E3705" s="49">
        <v>45061.552083320712</v>
      </c>
      <c r="F3705" s="56">
        <v>5.0168424815286699</v>
      </c>
      <c r="G3705" s="48"/>
      <c r="H3705" s="48"/>
      <c r="I3705" s="48"/>
      <c r="J3705" s="48"/>
      <c r="L3705" s="65"/>
    </row>
    <row r="3706" spans="5:12">
      <c r="E3706" s="49">
        <v>45061.555555542931</v>
      </c>
      <c r="F3706" s="56">
        <v>5.0168424815286699</v>
      </c>
      <c r="G3706" s="48"/>
      <c r="H3706" s="48"/>
      <c r="I3706" s="48"/>
      <c r="J3706" s="48"/>
      <c r="L3706" s="65"/>
    </row>
    <row r="3707" spans="5:12">
      <c r="E3707" s="49">
        <v>45061.55902776515</v>
      </c>
      <c r="F3707" s="56">
        <v>5.0168424815286699</v>
      </c>
      <c r="G3707" s="48"/>
      <c r="H3707" s="48"/>
      <c r="I3707" s="48"/>
      <c r="J3707" s="48"/>
      <c r="L3707" s="65"/>
    </row>
    <row r="3708" spans="5:12">
      <c r="E3708" s="49">
        <v>45061.562499987369</v>
      </c>
      <c r="F3708" s="56">
        <v>5.0168424815286699</v>
      </c>
      <c r="G3708" s="48"/>
      <c r="H3708" s="48"/>
      <c r="I3708" s="48"/>
      <c r="J3708" s="48"/>
      <c r="L3708" s="65"/>
    </row>
    <row r="3709" spans="5:12">
      <c r="E3709" s="49">
        <v>45061.565972209588</v>
      </c>
      <c r="F3709" s="56">
        <v>5.0168424815286699</v>
      </c>
      <c r="G3709" s="48"/>
      <c r="H3709" s="48"/>
      <c r="I3709" s="48"/>
      <c r="J3709" s="48"/>
      <c r="L3709" s="65"/>
    </row>
    <row r="3710" spans="5:12">
      <c r="E3710" s="49">
        <v>45061.569444431807</v>
      </c>
      <c r="F3710" s="56">
        <v>5.0168424815286699</v>
      </c>
      <c r="G3710" s="48"/>
      <c r="H3710" s="48"/>
      <c r="I3710" s="48"/>
      <c r="J3710" s="48"/>
      <c r="L3710" s="65"/>
    </row>
    <row r="3711" spans="5:12">
      <c r="E3711" s="49">
        <v>45061.572916654026</v>
      </c>
      <c r="F3711" s="56">
        <v>5.0168424815286699</v>
      </c>
      <c r="G3711" s="48"/>
      <c r="H3711" s="48"/>
      <c r="I3711" s="48"/>
      <c r="J3711" s="48"/>
      <c r="L3711" s="65"/>
    </row>
    <row r="3712" spans="5:12">
      <c r="E3712" s="49">
        <v>45061.576388876245</v>
      </c>
      <c r="F3712" s="56">
        <v>5.0168424815286699</v>
      </c>
      <c r="G3712" s="48"/>
      <c r="H3712" s="48"/>
      <c r="I3712" s="48"/>
      <c r="J3712" s="48"/>
      <c r="L3712" s="65"/>
    </row>
    <row r="3713" spans="5:12">
      <c r="E3713" s="49">
        <v>45061.579861098464</v>
      </c>
      <c r="F3713" s="56">
        <v>5.0168424815286699</v>
      </c>
      <c r="G3713" s="48"/>
      <c r="H3713" s="48"/>
      <c r="I3713" s="48"/>
      <c r="J3713" s="48"/>
      <c r="L3713" s="65"/>
    </row>
    <row r="3714" spans="5:12">
      <c r="E3714" s="49">
        <v>45061.583333320683</v>
      </c>
      <c r="F3714" s="56">
        <v>5.0168424815286699</v>
      </c>
      <c r="G3714" s="48"/>
      <c r="H3714" s="48"/>
      <c r="I3714" s="48"/>
      <c r="J3714" s="48"/>
      <c r="L3714" s="65"/>
    </row>
    <row r="3715" spans="5:12">
      <c r="E3715" s="49">
        <v>45061.586805542902</v>
      </c>
      <c r="F3715" s="56">
        <v>5.0168424815286699</v>
      </c>
      <c r="G3715" s="48"/>
      <c r="H3715" s="48"/>
      <c r="I3715" s="48"/>
      <c r="J3715" s="48"/>
      <c r="L3715" s="65"/>
    </row>
    <row r="3716" spans="5:12">
      <c r="E3716" s="49">
        <v>45061.590277765121</v>
      </c>
      <c r="F3716" s="56">
        <v>5.0168424815286699</v>
      </c>
      <c r="G3716" s="48"/>
      <c r="H3716" s="48"/>
      <c r="I3716" s="48"/>
      <c r="J3716" s="48"/>
      <c r="L3716" s="65"/>
    </row>
    <row r="3717" spans="5:12">
      <c r="E3717" s="49">
        <v>45061.59374998734</v>
      </c>
      <c r="F3717" s="56">
        <v>5.0168424815286699</v>
      </c>
      <c r="G3717" s="48"/>
      <c r="H3717" s="48"/>
      <c r="I3717" s="48"/>
      <c r="J3717" s="48"/>
      <c r="L3717" s="65"/>
    </row>
    <row r="3718" spans="5:12">
      <c r="E3718" s="49">
        <v>45061.597222209559</v>
      </c>
      <c r="F3718" s="56">
        <v>5.0168424815286699</v>
      </c>
      <c r="G3718" s="48"/>
      <c r="H3718" s="48"/>
      <c r="I3718" s="48"/>
      <c r="J3718" s="48"/>
      <c r="L3718" s="65"/>
    </row>
    <row r="3719" spans="5:12">
      <c r="E3719" s="49">
        <v>45061.600694431778</v>
      </c>
      <c r="F3719" s="56">
        <v>5.0168424815286699</v>
      </c>
      <c r="G3719" s="48"/>
      <c r="H3719" s="48"/>
      <c r="I3719" s="48"/>
      <c r="J3719" s="48"/>
      <c r="L3719" s="65"/>
    </row>
    <row r="3720" spans="5:12">
      <c r="E3720" s="49">
        <v>45061.604166653997</v>
      </c>
      <c r="F3720" s="56">
        <v>5.0168424815286699</v>
      </c>
      <c r="G3720" s="48"/>
      <c r="H3720" s="48"/>
      <c r="I3720" s="48"/>
      <c r="J3720" s="48"/>
      <c r="L3720" s="65"/>
    </row>
    <row r="3721" spans="5:12">
      <c r="E3721" s="49">
        <v>45061.607638876216</v>
      </c>
      <c r="F3721" s="56">
        <v>5.0168424815286699</v>
      </c>
      <c r="G3721" s="48"/>
      <c r="H3721" s="48"/>
      <c r="I3721" s="48"/>
      <c r="J3721" s="48"/>
      <c r="L3721" s="65"/>
    </row>
    <row r="3722" spans="5:12">
      <c r="E3722" s="49">
        <v>45061.611111098435</v>
      </c>
      <c r="F3722" s="56">
        <v>5.0168424815286699</v>
      </c>
      <c r="G3722" s="48"/>
      <c r="H3722" s="48"/>
      <c r="I3722" s="48"/>
      <c r="J3722" s="48"/>
      <c r="L3722" s="65"/>
    </row>
    <row r="3723" spans="5:12">
      <c r="E3723" s="49">
        <v>45061.614583320654</v>
      </c>
      <c r="F3723" s="56">
        <v>5.0168424815286699</v>
      </c>
      <c r="G3723" s="48"/>
      <c r="H3723" s="48"/>
      <c r="I3723" s="48"/>
      <c r="J3723" s="48"/>
      <c r="L3723" s="65"/>
    </row>
    <row r="3724" spans="5:12">
      <c r="E3724" s="49">
        <v>45061.618055542873</v>
      </c>
      <c r="F3724" s="56">
        <v>5.0168424815286699</v>
      </c>
      <c r="G3724" s="48"/>
      <c r="H3724" s="48"/>
      <c r="I3724" s="48"/>
      <c r="J3724" s="48"/>
      <c r="L3724" s="65"/>
    </row>
    <row r="3725" spans="5:12">
      <c r="E3725" s="49">
        <v>45061.621527765092</v>
      </c>
      <c r="F3725" s="56">
        <v>5.0168424815286699</v>
      </c>
      <c r="G3725" s="48"/>
      <c r="H3725" s="48"/>
      <c r="I3725" s="48"/>
      <c r="J3725" s="48"/>
      <c r="L3725" s="65"/>
    </row>
    <row r="3726" spans="5:12">
      <c r="E3726" s="49">
        <v>45061.624999987311</v>
      </c>
      <c r="F3726" s="56">
        <v>5.0168424815286699</v>
      </c>
      <c r="G3726" s="48"/>
      <c r="H3726" s="48"/>
      <c r="I3726" s="48"/>
      <c r="J3726" s="48"/>
      <c r="L3726" s="65"/>
    </row>
    <row r="3727" spans="5:12">
      <c r="E3727" s="49">
        <v>45061.62847220953</v>
      </c>
      <c r="F3727" s="56">
        <v>0</v>
      </c>
      <c r="G3727" s="48"/>
      <c r="H3727" s="48"/>
      <c r="I3727" s="48"/>
      <c r="J3727" s="48"/>
      <c r="L3727" s="65"/>
    </row>
    <row r="3728" spans="5:12">
      <c r="E3728" s="49">
        <v>45061.631944431749</v>
      </c>
      <c r="F3728" s="56">
        <v>0</v>
      </c>
      <c r="G3728" s="48"/>
      <c r="H3728" s="48"/>
      <c r="I3728" s="48"/>
      <c r="J3728" s="48"/>
      <c r="L3728" s="65"/>
    </row>
    <row r="3729" spans="5:12">
      <c r="E3729" s="49">
        <v>45061.635416653968</v>
      </c>
      <c r="F3729" s="56">
        <v>0</v>
      </c>
      <c r="G3729" s="48"/>
      <c r="H3729" s="48"/>
      <c r="I3729" s="48"/>
      <c r="J3729" s="48"/>
      <c r="L3729" s="65"/>
    </row>
    <row r="3730" spans="5:12">
      <c r="E3730" s="49">
        <v>45061.638888876187</v>
      </c>
      <c r="F3730" s="56">
        <v>0</v>
      </c>
      <c r="G3730" s="48"/>
      <c r="H3730" s="48"/>
      <c r="I3730" s="48"/>
      <c r="J3730" s="48"/>
      <c r="L3730" s="65"/>
    </row>
    <row r="3731" spans="5:12">
      <c r="E3731" s="49">
        <v>45061.642361098406</v>
      </c>
      <c r="F3731" s="56">
        <v>0</v>
      </c>
      <c r="G3731" s="48"/>
      <c r="H3731" s="48"/>
      <c r="I3731" s="48"/>
      <c r="J3731" s="48"/>
      <c r="L3731" s="65"/>
    </row>
    <row r="3732" spans="5:12">
      <c r="E3732" s="49">
        <v>45061.645833320625</v>
      </c>
      <c r="F3732" s="56">
        <v>0</v>
      </c>
      <c r="G3732" s="48"/>
      <c r="H3732" s="48"/>
      <c r="I3732" s="48"/>
      <c r="J3732" s="48"/>
      <c r="L3732" s="65"/>
    </row>
    <row r="3733" spans="5:12">
      <c r="E3733" s="49">
        <v>45061.649305542844</v>
      </c>
      <c r="F3733" s="56">
        <v>0</v>
      </c>
      <c r="G3733" s="48"/>
      <c r="H3733" s="48"/>
      <c r="I3733" s="48"/>
      <c r="J3733" s="48"/>
      <c r="L3733" s="65"/>
    </row>
    <row r="3734" spans="5:12">
      <c r="E3734" s="49">
        <v>45061.652777765063</v>
      </c>
      <c r="F3734" s="56">
        <v>0</v>
      </c>
      <c r="G3734" s="48"/>
      <c r="H3734" s="48"/>
      <c r="I3734" s="48"/>
      <c r="J3734" s="48"/>
      <c r="L3734" s="65"/>
    </row>
    <row r="3735" spans="5:12">
      <c r="E3735" s="49">
        <v>45061.656249987282</v>
      </c>
      <c r="F3735" s="56">
        <v>0</v>
      </c>
      <c r="G3735" s="48"/>
      <c r="H3735" s="48"/>
      <c r="I3735" s="48"/>
      <c r="J3735" s="48"/>
      <c r="L3735" s="65"/>
    </row>
    <row r="3736" spans="5:12">
      <c r="E3736" s="49">
        <v>45061.659722209501</v>
      </c>
      <c r="F3736" s="56">
        <v>0</v>
      </c>
      <c r="G3736" s="48"/>
      <c r="H3736" s="48"/>
      <c r="I3736" s="48"/>
      <c r="J3736" s="48"/>
      <c r="L3736" s="65"/>
    </row>
    <row r="3737" spans="5:12">
      <c r="E3737" s="49">
        <v>45061.66319443172</v>
      </c>
      <c r="F3737" s="56">
        <v>0</v>
      </c>
      <c r="G3737" s="48"/>
      <c r="H3737" s="48"/>
      <c r="I3737" s="48"/>
      <c r="J3737" s="48"/>
      <c r="L3737" s="65"/>
    </row>
    <row r="3738" spans="5:12">
      <c r="E3738" s="49">
        <v>45061.666666653939</v>
      </c>
      <c r="F3738" s="56">
        <v>0</v>
      </c>
      <c r="G3738" s="48"/>
      <c r="H3738" s="48"/>
      <c r="I3738" s="48"/>
      <c r="J3738" s="48"/>
      <c r="L3738" s="65"/>
    </row>
    <row r="3739" spans="5:12">
      <c r="E3739" s="49">
        <v>45061.670138876158</v>
      </c>
      <c r="F3739" s="56">
        <v>0</v>
      </c>
      <c r="G3739" s="48"/>
      <c r="H3739" s="48"/>
      <c r="I3739" s="48"/>
      <c r="J3739" s="48"/>
      <c r="L3739" s="65"/>
    </row>
    <row r="3740" spans="5:12">
      <c r="E3740" s="49">
        <v>45061.673611098377</v>
      </c>
      <c r="F3740" s="56">
        <v>0</v>
      </c>
      <c r="G3740" s="48"/>
      <c r="H3740" s="48"/>
      <c r="I3740" s="48"/>
      <c r="J3740" s="48"/>
      <c r="L3740" s="65"/>
    </row>
    <row r="3741" spans="5:12">
      <c r="E3741" s="49">
        <v>45061.677083320596</v>
      </c>
      <c r="F3741" s="56">
        <v>0</v>
      </c>
      <c r="G3741" s="48"/>
      <c r="H3741" s="48"/>
      <c r="I3741" s="48"/>
      <c r="J3741" s="48"/>
      <c r="L3741" s="65"/>
    </row>
    <row r="3742" spans="5:12">
      <c r="E3742" s="49">
        <v>45061.680555542815</v>
      </c>
      <c r="F3742" s="56">
        <v>0</v>
      </c>
      <c r="G3742" s="48"/>
      <c r="H3742" s="48"/>
      <c r="I3742" s="48"/>
      <c r="J3742" s="48"/>
      <c r="L3742" s="65"/>
    </row>
    <row r="3743" spans="5:12">
      <c r="E3743" s="49">
        <v>45061.684027765034</v>
      </c>
      <c r="F3743" s="56">
        <v>0</v>
      </c>
      <c r="G3743" s="48"/>
      <c r="H3743" s="48"/>
      <c r="I3743" s="48"/>
      <c r="J3743" s="48"/>
      <c r="L3743" s="65"/>
    </row>
    <row r="3744" spans="5:12">
      <c r="E3744" s="49">
        <v>45061.687499987253</v>
      </c>
      <c r="F3744" s="56">
        <v>0</v>
      </c>
      <c r="G3744" s="48"/>
      <c r="H3744" s="48"/>
      <c r="I3744" s="48"/>
      <c r="J3744" s="48"/>
      <c r="L3744" s="65"/>
    </row>
    <row r="3745" spans="5:12">
      <c r="E3745" s="49">
        <v>45061.690972209472</v>
      </c>
      <c r="F3745" s="56">
        <v>0</v>
      </c>
      <c r="G3745" s="48"/>
      <c r="H3745" s="48"/>
      <c r="I3745" s="48"/>
      <c r="J3745" s="48"/>
      <c r="L3745" s="65"/>
    </row>
    <row r="3746" spans="5:12">
      <c r="E3746" s="49">
        <v>45061.69444443169</v>
      </c>
      <c r="F3746" s="56">
        <v>0</v>
      </c>
      <c r="G3746" s="48"/>
      <c r="H3746" s="48"/>
      <c r="I3746" s="48"/>
      <c r="J3746" s="48"/>
      <c r="L3746" s="65"/>
    </row>
    <row r="3747" spans="5:12">
      <c r="E3747" s="49">
        <v>45061.697916653909</v>
      </c>
      <c r="F3747" s="56">
        <v>0</v>
      </c>
      <c r="G3747" s="48"/>
      <c r="H3747" s="48"/>
      <c r="I3747" s="48"/>
      <c r="J3747" s="48"/>
      <c r="L3747" s="65"/>
    </row>
    <row r="3748" spans="5:12">
      <c r="E3748" s="49">
        <v>45061.701388876128</v>
      </c>
      <c r="F3748" s="56">
        <v>0</v>
      </c>
      <c r="G3748" s="48"/>
      <c r="H3748" s="48"/>
      <c r="I3748" s="48"/>
      <c r="J3748" s="48"/>
      <c r="L3748" s="65"/>
    </row>
    <row r="3749" spans="5:12">
      <c r="E3749" s="49">
        <v>45061.704861098347</v>
      </c>
      <c r="F3749" s="56">
        <v>0</v>
      </c>
      <c r="G3749" s="48"/>
      <c r="H3749" s="48"/>
      <c r="I3749" s="48"/>
      <c r="J3749" s="48"/>
      <c r="L3749" s="65"/>
    </row>
    <row r="3750" spans="5:12">
      <c r="E3750" s="49">
        <v>45061.708333320566</v>
      </c>
      <c r="F3750" s="56">
        <v>0</v>
      </c>
      <c r="G3750" s="48"/>
      <c r="H3750" s="48"/>
      <c r="I3750" s="48"/>
      <c r="J3750" s="48"/>
      <c r="L3750" s="65"/>
    </row>
    <row r="3751" spans="5:12">
      <c r="E3751" s="49">
        <v>45061.711805542785</v>
      </c>
      <c r="F3751" s="56">
        <v>0</v>
      </c>
      <c r="G3751" s="48"/>
      <c r="H3751" s="48"/>
      <c r="I3751" s="48"/>
      <c r="J3751" s="48"/>
      <c r="L3751" s="65"/>
    </row>
    <row r="3752" spans="5:12">
      <c r="E3752" s="49">
        <v>45061.715277765004</v>
      </c>
      <c r="F3752" s="56">
        <v>0</v>
      </c>
      <c r="G3752" s="48"/>
      <c r="H3752" s="48"/>
      <c r="I3752" s="48"/>
      <c r="J3752" s="48"/>
      <c r="L3752" s="65"/>
    </row>
    <row r="3753" spans="5:12">
      <c r="E3753" s="49">
        <v>45061.718749987223</v>
      </c>
      <c r="F3753" s="56">
        <v>0</v>
      </c>
      <c r="G3753" s="48"/>
      <c r="H3753" s="48"/>
      <c r="I3753" s="48"/>
      <c r="J3753" s="48"/>
      <c r="L3753" s="65"/>
    </row>
    <row r="3754" spans="5:12">
      <c r="E3754" s="49">
        <v>45061.722222209442</v>
      </c>
      <c r="F3754" s="56">
        <v>0</v>
      </c>
      <c r="G3754" s="48"/>
      <c r="H3754" s="48"/>
      <c r="I3754" s="48"/>
      <c r="J3754" s="48"/>
      <c r="L3754" s="65"/>
    </row>
    <row r="3755" spans="5:12">
      <c r="E3755" s="49">
        <v>45061.725694431661</v>
      </c>
      <c r="F3755" s="56">
        <v>0</v>
      </c>
      <c r="G3755" s="48"/>
      <c r="H3755" s="48"/>
      <c r="I3755" s="48"/>
      <c r="J3755" s="48"/>
      <c r="L3755" s="65"/>
    </row>
    <row r="3756" spans="5:12">
      <c r="E3756" s="49">
        <v>45061.72916665388</v>
      </c>
      <c r="F3756" s="56">
        <v>0</v>
      </c>
      <c r="G3756" s="48"/>
      <c r="H3756" s="48"/>
      <c r="I3756" s="48"/>
      <c r="J3756" s="48"/>
      <c r="L3756" s="65"/>
    </row>
    <row r="3757" spans="5:12">
      <c r="E3757" s="49">
        <v>45061.732638876099</v>
      </c>
      <c r="F3757" s="56">
        <v>0</v>
      </c>
      <c r="G3757" s="48"/>
      <c r="H3757" s="48"/>
      <c r="I3757" s="48"/>
      <c r="J3757" s="48"/>
      <c r="L3757" s="65"/>
    </row>
    <row r="3758" spans="5:12">
      <c r="E3758" s="49">
        <v>45061.736111098318</v>
      </c>
      <c r="F3758" s="56">
        <v>0</v>
      </c>
      <c r="G3758" s="48"/>
      <c r="H3758" s="48"/>
      <c r="I3758" s="48"/>
      <c r="J3758" s="48"/>
      <c r="L3758" s="65"/>
    </row>
    <row r="3759" spans="5:12">
      <c r="E3759" s="49">
        <v>45061.739583320537</v>
      </c>
      <c r="F3759" s="56">
        <v>0</v>
      </c>
      <c r="G3759" s="48"/>
      <c r="H3759" s="48"/>
      <c r="I3759" s="48"/>
      <c r="J3759" s="48"/>
      <c r="L3759" s="65"/>
    </row>
    <row r="3760" spans="5:12">
      <c r="E3760" s="49">
        <v>45061.743055542756</v>
      </c>
      <c r="F3760" s="56">
        <v>0</v>
      </c>
      <c r="G3760" s="48"/>
      <c r="H3760" s="48"/>
      <c r="I3760" s="48"/>
      <c r="J3760" s="48"/>
      <c r="L3760" s="65"/>
    </row>
    <row r="3761" spans="5:12">
      <c r="E3761" s="49">
        <v>45061.746527764975</v>
      </c>
      <c r="F3761" s="56">
        <v>0</v>
      </c>
      <c r="G3761" s="48"/>
      <c r="H3761" s="48"/>
      <c r="I3761" s="48"/>
      <c r="J3761" s="48"/>
      <c r="L3761" s="65"/>
    </row>
    <row r="3762" spans="5:12">
      <c r="E3762" s="49">
        <v>45061.749999987194</v>
      </c>
      <c r="F3762" s="56">
        <v>0</v>
      </c>
      <c r="G3762" s="48"/>
      <c r="H3762" s="48"/>
      <c r="I3762" s="48"/>
      <c r="J3762" s="48"/>
      <c r="L3762" s="65"/>
    </row>
    <row r="3763" spans="5:12">
      <c r="E3763" s="49">
        <v>45061.753472209413</v>
      </c>
      <c r="F3763" s="56">
        <v>0</v>
      </c>
      <c r="G3763" s="48"/>
      <c r="H3763" s="48"/>
      <c r="I3763" s="48"/>
      <c r="J3763" s="48"/>
      <c r="L3763" s="65"/>
    </row>
    <row r="3764" spans="5:12">
      <c r="E3764" s="49">
        <v>45061.756944431632</v>
      </c>
      <c r="F3764" s="56">
        <v>0</v>
      </c>
      <c r="G3764" s="48"/>
      <c r="H3764" s="48"/>
      <c r="I3764" s="48"/>
      <c r="J3764" s="48"/>
      <c r="L3764" s="65"/>
    </row>
    <row r="3765" spans="5:12">
      <c r="E3765" s="49">
        <v>45061.760416653851</v>
      </c>
      <c r="F3765" s="56">
        <v>0</v>
      </c>
      <c r="G3765" s="48"/>
      <c r="H3765" s="48"/>
      <c r="I3765" s="48"/>
      <c r="J3765" s="48"/>
      <c r="L3765" s="65"/>
    </row>
    <row r="3766" spans="5:12">
      <c r="E3766" s="49">
        <v>45061.76388887607</v>
      </c>
      <c r="F3766" s="56">
        <v>0</v>
      </c>
      <c r="G3766" s="48"/>
      <c r="H3766" s="48"/>
      <c r="I3766" s="48"/>
      <c r="J3766" s="48"/>
      <c r="L3766" s="65"/>
    </row>
    <row r="3767" spans="5:12">
      <c r="E3767" s="49">
        <v>45061.767361098289</v>
      </c>
      <c r="F3767" s="56">
        <v>0</v>
      </c>
      <c r="G3767" s="48"/>
      <c r="H3767" s="48"/>
      <c r="I3767" s="48"/>
      <c r="J3767" s="48"/>
      <c r="L3767" s="65"/>
    </row>
    <row r="3768" spans="5:12">
      <c r="E3768" s="49">
        <v>45061.770833320508</v>
      </c>
      <c r="F3768" s="56">
        <v>0</v>
      </c>
      <c r="G3768" s="48"/>
      <c r="H3768" s="48"/>
      <c r="I3768" s="48"/>
      <c r="J3768" s="48"/>
      <c r="L3768" s="65"/>
    </row>
    <row r="3769" spans="5:12">
      <c r="E3769" s="49">
        <v>45061.774305542727</v>
      </c>
      <c r="F3769" s="56">
        <v>0</v>
      </c>
      <c r="G3769" s="48"/>
      <c r="H3769" s="48"/>
      <c r="I3769" s="48"/>
      <c r="J3769" s="48"/>
      <c r="L3769" s="65"/>
    </row>
    <row r="3770" spans="5:12">
      <c r="E3770" s="49">
        <v>45061.777777764946</v>
      </c>
      <c r="F3770" s="56">
        <v>0</v>
      </c>
      <c r="G3770" s="48"/>
      <c r="H3770" s="48"/>
      <c r="I3770" s="48"/>
      <c r="J3770" s="48"/>
      <c r="L3770" s="65"/>
    </row>
    <row r="3771" spans="5:12">
      <c r="E3771" s="49">
        <v>45061.781249987165</v>
      </c>
      <c r="F3771" s="56">
        <v>0</v>
      </c>
      <c r="G3771" s="48"/>
      <c r="H3771" s="48"/>
      <c r="I3771" s="48"/>
      <c r="J3771" s="48"/>
      <c r="L3771" s="65"/>
    </row>
    <row r="3772" spans="5:12">
      <c r="E3772" s="49">
        <v>45061.784722209384</v>
      </c>
      <c r="F3772" s="56">
        <v>0</v>
      </c>
      <c r="G3772" s="48"/>
      <c r="H3772" s="48"/>
      <c r="I3772" s="48"/>
      <c r="J3772" s="48"/>
      <c r="L3772" s="65"/>
    </row>
    <row r="3773" spans="5:12">
      <c r="E3773" s="49">
        <v>45061.788194431603</v>
      </c>
      <c r="F3773" s="56">
        <v>0</v>
      </c>
      <c r="G3773" s="48"/>
      <c r="H3773" s="48"/>
      <c r="I3773" s="48"/>
      <c r="J3773" s="48"/>
      <c r="L3773" s="65"/>
    </row>
    <row r="3774" spans="5:12">
      <c r="E3774" s="49">
        <v>45061.791666653822</v>
      </c>
      <c r="F3774" s="56">
        <v>0</v>
      </c>
      <c r="G3774" s="48"/>
      <c r="H3774" s="48"/>
      <c r="I3774" s="48"/>
      <c r="J3774" s="48"/>
      <c r="L3774" s="65"/>
    </row>
    <row r="3775" spans="5:12">
      <c r="E3775" s="49">
        <v>45061.795138876041</v>
      </c>
      <c r="F3775" s="56">
        <v>0</v>
      </c>
      <c r="G3775" s="48"/>
      <c r="H3775" s="48"/>
      <c r="I3775" s="48"/>
      <c r="J3775" s="48"/>
      <c r="L3775" s="65"/>
    </row>
    <row r="3776" spans="5:12">
      <c r="E3776" s="49">
        <v>45061.79861109826</v>
      </c>
      <c r="F3776" s="56">
        <v>0</v>
      </c>
      <c r="G3776" s="48"/>
      <c r="H3776" s="48"/>
      <c r="I3776" s="48"/>
      <c r="J3776" s="48"/>
      <c r="L3776" s="65"/>
    </row>
    <row r="3777" spans="5:12">
      <c r="E3777" s="49">
        <v>45061.802083320479</v>
      </c>
      <c r="F3777" s="56">
        <v>0</v>
      </c>
      <c r="G3777" s="48"/>
      <c r="H3777" s="48"/>
      <c r="I3777" s="48"/>
      <c r="J3777" s="48"/>
      <c r="L3777" s="65"/>
    </row>
    <row r="3778" spans="5:12">
      <c r="E3778" s="49">
        <v>45061.805555542698</v>
      </c>
      <c r="F3778" s="56">
        <v>0</v>
      </c>
      <c r="G3778" s="48"/>
      <c r="H3778" s="48"/>
      <c r="I3778" s="48"/>
      <c r="J3778" s="48"/>
      <c r="L3778" s="65"/>
    </row>
    <row r="3779" spans="5:12">
      <c r="E3779" s="49">
        <v>45061.809027764917</v>
      </c>
      <c r="F3779" s="56">
        <v>0</v>
      </c>
      <c r="G3779" s="48"/>
      <c r="H3779" s="48"/>
      <c r="I3779" s="48"/>
      <c r="J3779" s="48"/>
      <c r="L3779" s="65"/>
    </row>
    <row r="3780" spans="5:12">
      <c r="E3780" s="49">
        <v>45061.812499987136</v>
      </c>
      <c r="F3780" s="56">
        <v>0</v>
      </c>
      <c r="G3780" s="48"/>
      <c r="H3780" s="48"/>
      <c r="I3780" s="48"/>
      <c r="J3780" s="48"/>
      <c r="L3780" s="65"/>
    </row>
    <row r="3781" spans="5:12">
      <c r="E3781" s="49">
        <v>45061.815972209355</v>
      </c>
      <c r="F3781" s="56">
        <v>0</v>
      </c>
      <c r="G3781" s="48"/>
      <c r="H3781" s="48"/>
      <c r="I3781" s="48"/>
      <c r="J3781" s="48"/>
      <c r="L3781" s="65"/>
    </row>
    <row r="3782" spans="5:12">
      <c r="E3782" s="49">
        <v>45061.819444431574</v>
      </c>
      <c r="F3782" s="56">
        <v>0</v>
      </c>
      <c r="G3782" s="48"/>
      <c r="H3782" s="48"/>
      <c r="I3782" s="48"/>
      <c r="J3782" s="48"/>
      <c r="L3782" s="65"/>
    </row>
    <row r="3783" spans="5:12">
      <c r="E3783" s="49">
        <v>45061.822916653793</v>
      </c>
      <c r="F3783" s="56">
        <v>0</v>
      </c>
      <c r="G3783" s="48"/>
      <c r="H3783" s="48"/>
      <c r="I3783" s="48"/>
      <c r="J3783" s="48"/>
      <c r="L3783" s="65"/>
    </row>
    <row r="3784" spans="5:12">
      <c r="E3784" s="49">
        <v>45061.826388876012</v>
      </c>
      <c r="F3784" s="56">
        <v>0</v>
      </c>
      <c r="G3784" s="48"/>
      <c r="H3784" s="48"/>
      <c r="I3784" s="48"/>
      <c r="J3784" s="48"/>
      <c r="L3784" s="65"/>
    </row>
    <row r="3785" spans="5:12">
      <c r="E3785" s="49">
        <v>45061.829861098231</v>
      </c>
      <c r="F3785" s="56">
        <v>0</v>
      </c>
      <c r="G3785" s="48"/>
      <c r="H3785" s="48"/>
      <c r="I3785" s="48"/>
      <c r="J3785" s="48"/>
      <c r="L3785" s="65"/>
    </row>
    <row r="3786" spans="5:12">
      <c r="E3786" s="49">
        <v>45061.83333332045</v>
      </c>
      <c r="F3786" s="56">
        <v>0</v>
      </c>
      <c r="G3786" s="48"/>
      <c r="H3786" s="48"/>
      <c r="I3786" s="48"/>
      <c r="J3786" s="48"/>
      <c r="L3786" s="65"/>
    </row>
    <row r="3787" spans="5:12">
      <c r="E3787" s="49">
        <v>45061.836805542669</v>
      </c>
      <c r="F3787" s="56">
        <v>0</v>
      </c>
      <c r="G3787" s="48"/>
      <c r="H3787" s="48"/>
      <c r="I3787" s="48"/>
      <c r="J3787" s="48"/>
      <c r="L3787" s="65"/>
    </row>
    <row r="3788" spans="5:12">
      <c r="E3788" s="49">
        <v>45061.840277764888</v>
      </c>
      <c r="F3788" s="56">
        <v>0</v>
      </c>
      <c r="G3788" s="48"/>
      <c r="H3788" s="48"/>
      <c r="I3788" s="48"/>
      <c r="J3788" s="48"/>
      <c r="L3788" s="65"/>
    </row>
    <row r="3789" spans="5:12">
      <c r="E3789" s="49">
        <v>45061.843749987107</v>
      </c>
      <c r="F3789" s="56">
        <v>0</v>
      </c>
      <c r="G3789" s="48"/>
      <c r="H3789" s="48"/>
      <c r="I3789" s="48"/>
      <c r="J3789" s="48"/>
      <c r="L3789" s="65"/>
    </row>
    <row r="3790" spans="5:12">
      <c r="E3790" s="49">
        <v>45061.847222209326</v>
      </c>
      <c r="F3790" s="56">
        <v>0</v>
      </c>
      <c r="G3790" s="48"/>
      <c r="H3790" s="48"/>
      <c r="I3790" s="48"/>
      <c r="J3790" s="48"/>
      <c r="L3790" s="65"/>
    </row>
    <row r="3791" spans="5:12">
      <c r="E3791" s="49">
        <v>45061.850694431545</v>
      </c>
      <c r="F3791" s="56">
        <v>0</v>
      </c>
      <c r="G3791" s="48"/>
      <c r="H3791" s="48"/>
      <c r="I3791" s="48"/>
      <c r="J3791" s="48"/>
      <c r="L3791" s="65"/>
    </row>
    <row r="3792" spans="5:12">
      <c r="E3792" s="49">
        <v>45061.854166653764</v>
      </c>
      <c r="F3792" s="56">
        <v>0</v>
      </c>
      <c r="G3792" s="48"/>
      <c r="H3792" s="48"/>
      <c r="I3792" s="48"/>
      <c r="J3792" s="48"/>
      <c r="L3792" s="65"/>
    </row>
    <row r="3793" spans="5:12">
      <c r="E3793" s="49">
        <v>45061.857638875983</v>
      </c>
      <c r="F3793" s="56">
        <v>0</v>
      </c>
      <c r="G3793" s="48"/>
      <c r="H3793" s="48"/>
      <c r="I3793" s="48"/>
      <c r="J3793" s="48"/>
      <c r="L3793" s="65"/>
    </row>
    <row r="3794" spans="5:12">
      <c r="E3794" s="49">
        <v>45061.861111098202</v>
      </c>
      <c r="F3794" s="56">
        <v>0</v>
      </c>
      <c r="G3794" s="48"/>
      <c r="H3794" s="48"/>
      <c r="I3794" s="48"/>
      <c r="J3794" s="48"/>
      <c r="L3794" s="65"/>
    </row>
    <row r="3795" spans="5:12">
      <c r="E3795" s="49">
        <v>45061.864583320421</v>
      </c>
      <c r="F3795" s="56">
        <v>0</v>
      </c>
      <c r="G3795" s="48"/>
      <c r="H3795" s="48"/>
      <c r="I3795" s="48"/>
      <c r="J3795" s="48"/>
      <c r="L3795" s="65"/>
    </row>
    <row r="3796" spans="5:12">
      <c r="E3796" s="49">
        <v>45061.86805554264</v>
      </c>
      <c r="F3796" s="56">
        <v>0</v>
      </c>
      <c r="G3796" s="48"/>
      <c r="H3796" s="48"/>
      <c r="I3796" s="48"/>
      <c r="J3796" s="48"/>
      <c r="L3796" s="65"/>
    </row>
    <row r="3797" spans="5:12">
      <c r="E3797" s="49">
        <v>45061.871527764859</v>
      </c>
      <c r="F3797" s="56">
        <v>0</v>
      </c>
      <c r="G3797" s="48"/>
      <c r="H3797" s="48"/>
      <c r="I3797" s="48"/>
      <c r="J3797" s="48"/>
      <c r="L3797" s="65"/>
    </row>
    <row r="3798" spans="5:12">
      <c r="E3798" s="49">
        <v>45061.874999987078</v>
      </c>
      <c r="F3798" s="56">
        <v>0</v>
      </c>
      <c r="G3798" s="48"/>
      <c r="H3798" s="48"/>
      <c r="I3798" s="48"/>
      <c r="J3798" s="48"/>
      <c r="L3798" s="65"/>
    </row>
    <row r="3799" spans="5:12">
      <c r="E3799" s="49">
        <v>45061.878472209297</v>
      </c>
      <c r="F3799" s="56">
        <v>0</v>
      </c>
      <c r="G3799" s="48"/>
      <c r="H3799" s="48"/>
      <c r="I3799" s="48"/>
      <c r="J3799" s="48"/>
      <c r="L3799" s="65"/>
    </row>
    <row r="3800" spans="5:12">
      <c r="E3800" s="49">
        <v>45061.881944431516</v>
      </c>
      <c r="F3800" s="56">
        <v>0</v>
      </c>
      <c r="G3800" s="48"/>
      <c r="H3800" s="48"/>
      <c r="I3800" s="48"/>
      <c r="J3800" s="48"/>
      <c r="L3800" s="65"/>
    </row>
    <row r="3801" spans="5:12">
      <c r="E3801" s="49">
        <v>45061.885416653735</v>
      </c>
      <c r="F3801" s="56">
        <v>0</v>
      </c>
      <c r="G3801" s="48"/>
      <c r="H3801" s="48"/>
      <c r="I3801" s="48"/>
      <c r="J3801" s="48"/>
      <c r="L3801" s="65"/>
    </row>
    <row r="3802" spans="5:12">
      <c r="E3802" s="49">
        <v>45061.888888875954</v>
      </c>
      <c r="F3802" s="56">
        <v>0</v>
      </c>
      <c r="G3802" s="48"/>
      <c r="H3802" s="48"/>
      <c r="I3802" s="48"/>
      <c r="J3802" s="48"/>
      <c r="L3802" s="65"/>
    </row>
    <row r="3803" spans="5:12">
      <c r="E3803" s="49">
        <v>45061.892361098173</v>
      </c>
      <c r="F3803" s="56">
        <v>0</v>
      </c>
      <c r="G3803" s="48"/>
      <c r="H3803" s="48"/>
      <c r="I3803" s="48"/>
      <c r="J3803" s="48"/>
      <c r="L3803" s="65"/>
    </row>
    <row r="3804" spans="5:12">
      <c r="E3804" s="49">
        <v>45061.895833320392</v>
      </c>
      <c r="F3804" s="56">
        <v>0</v>
      </c>
      <c r="G3804" s="48"/>
      <c r="H3804" s="48"/>
      <c r="I3804" s="48"/>
      <c r="J3804" s="48"/>
      <c r="L3804" s="65"/>
    </row>
    <row r="3805" spans="5:12">
      <c r="E3805" s="49">
        <v>45061.899305542611</v>
      </c>
      <c r="F3805" s="56">
        <v>0</v>
      </c>
      <c r="G3805" s="48"/>
      <c r="H3805" s="48"/>
      <c r="I3805" s="48"/>
      <c r="J3805" s="48"/>
      <c r="L3805" s="65"/>
    </row>
    <row r="3806" spans="5:12">
      <c r="E3806" s="49">
        <v>45061.90277776483</v>
      </c>
      <c r="F3806" s="56">
        <v>0</v>
      </c>
      <c r="G3806" s="48"/>
      <c r="H3806" s="48"/>
      <c r="I3806" s="48"/>
      <c r="J3806" s="48"/>
      <c r="L3806" s="65"/>
    </row>
    <row r="3807" spans="5:12">
      <c r="E3807" s="49">
        <v>45061.906249987049</v>
      </c>
      <c r="F3807" s="56">
        <v>0</v>
      </c>
      <c r="G3807" s="48"/>
      <c r="H3807" s="48"/>
      <c r="I3807" s="48"/>
      <c r="J3807" s="48"/>
      <c r="L3807" s="65"/>
    </row>
    <row r="3808" spans="5:12">
      <c r="E3808" s="49">
        <v>45061.909722209268</v>
      </c>
      <c r="F3808" s="56">
        <v>0</v>
      </c>
      <c r="G3808" s="48"/>
      <c r="H3808" s="48"/>
      <c r="I3808" s="48"/>
      <c r="J3808" s="48"/>
      <c r="L3808" s="65"/>
    </row>
    <row r="3809" spans="5:12">
      <c r="E3809" s="49">
        <v>45061.913194431487</v>
      </c>
      <c r="F3809" s="56">
        <v>0</v>
      </c>
      <c r="G3809" s="48"/>
      <c r="H3809" s="48"/>
      <c r="I3809" s="48"/>
      <c r="J3809" s="48"/>
      <c r="L3809" s="65"/>
    </row>
    <row r="3810" spans="5:12">
      <c r="E3810" s="49">
        <v>45061.916666653706</v>
      </c>
      <c r="F3810" s="56">
        <v>0</v>
      </c>
      <c r="G3810" s="48"/>
      <c r="H3810" s="48"/>
      <c r="I3810" s="48"/>
      <c r="J3810" s="48"/>
      <c r="L3810" s="65"/>
    </row>
    <row r="3811" spans="5:12">
      <c r="E3811" s="49">
        <v>45061.920138875925</v>
      </c>
      <c r="F3811" s="56">
        <v>0</v>
      </c>
      <c r="G3811" s="48"/>
      <c r="H3811" s="48"/>
      <c r="I3811" s="48"/>
      <c r="J3811" s="48"/>
      <c r="L3811" s="65"/>
    </row>
    <row r="3812" spans="5:12">
      <c r="E3812" s="49">
        <v>45061.923611098144</v>
      </c>
      <c r="F3812" s="56">
        <v>0</v>
      </c>
      <c r="G3812" s="48"/>
      <c r="H3812" s="48"/>
      <c r="I3812" s="48"/>
      <c r="J3812" s="48"/>
      <c r="L3812" s="65"/>
    </row>
    <row r="3813" spans="5:12">
      <c r="E3813" s="49">
        <v>45061.927083320363</v>
      </c>
      <c r="F3813" s="56">
        <v>0</v>
      </c>
      <c r="G3813" s="48"/>
      <c r="H3813" s="48"/>
      <c r="I3813" s="48"/>
      <c r="J3813" s="48"/>
      <c r="L3813" s="65"/>
    </row>
    <row r="3814" spans="5:12">
      <c r="E3814" s="49">
        <v>45061.930555542582</v>
      </c>
      <c r="F3814" s="56">
        <v>0</v>
      </c>
      <c r="G3814" s="48"/>
      <c r="H3814" s="48"/>
      <c r="I3814" s="48"/>
      <c r="J3814" s="48"/>
      <c r="L3814" s="65"/>
    </row>
    <row r="3815" spans="5:12">
      <c r="E3815" s="49">
        <v>45061.934027764801</v>
      </c>
      <c r="F3815" s="56">
        <v>0</v>
      </c>
      <c r="G3815" s="48"/>
      <c r="H3815" s="48"/>
      <c r="I3815" s="48"/>
      <c r="J3815" s="48"/>
      <c r="L3815" s="65"/>
    </row>
    <row r="3816" spans="5:12">
      <c r="E3816" s="49">
        <v>45061.93749998702</v>
      </c>
      <c r="F3816" s="56">
        <v>0</v>
      </c>
      <c r="G3816" s="48"/>
      <c r="H3816" s="48"/>
      <c r="I3816" s="48"/>
      <c r="J3816" s="48"/>
      <c r="L3816" s="65"/>
    </row>
    <row r="3817" spans="5:12">
      <c r="E3817" s="49">
        <v>45061.940972209239</v>
      </c>
      <c r="F3817" s="56">
        <v>0</v>
      </c>
      <c r="G3817" s="48"/>
      <c r="H3817" s="48"/>
      <c r="I3817" s="48"/>
      <c r="J3817" s="48"/>
      <c r="L3817" s="65"/>
    </row>
    <row r="3818" spans="5:12">
      <c r="E3818" s="49">
        <v>45061.944444431458</v>
      </c>
      <c r="F3818" s="56">
        <v>0</v>
      </c>
      <c r="G3818" s="48"/>
      <c r="H3818" s="48"/>
      <c r="I3818" s="48"/>
      <c r="J3818" s="48"/>
      <c r="L3818" s="65"/>
    </row>
    <row r="3819" spans="5:12">
      <c r="E3819" s="49">
        <v>45061.947916653677</v>
      </c>
      <c r="F3819" s="56">
        <v>0</v>
      </c>
      <c r="G3819" s="48"/>
      <c r="H3819" s="48"/>
      <c r="I3819" s="48"/>
      <c r="J3819" s="48"/>
      <c r="L3819" s="65"/>
    </row>
    <row r="3820" spans="5:12">
      <c r="E3820" s="49">
        <v>45061.951388875896</v>
      </c>
      <c r="F3820" s="56">
        <v>0</v>
      </c>
      <c r="G3820" s="48"/>
      <c r="H3820" s="48"/>
      <c r="I3820" s="48"/>
      <c r="J3820" s="48"/>
      <c r="L3820" s="65"/>
    </row>
    <row r="3821" spans="5:12">
      <c r="E3821" s="49">
        <v>45061.954861098115</v>
      </c>
      <c r="F3821" s="56">
        <v>0</v>
      </c>
      <c r="G3821" s="48"/>
      <c r="H3821" s="48"/>
      <c r="I3821" s="48"/>
      <c r="J3821" s="48"/>
      <c r="L3821" s="65"/>
    </row>
    <row r="3822" spans="5:12">
      <c r="E3822" s="49">
        <v>45061.958333320334</v>
      </c>
      <c r="F3822" s="56">
        <v>0</v>
      </c>
      <c r="G3822" s="48"/>
      <c r="H3822" s="48"/>
      <c r="I3822" s="48"/>
      <c r="J3822" s="48"/>
      <c r="L3822" s="65"/>
    </row>
    <row r="3823" spans="5:12">
      <c r="E3823" s="49">
        <v>45061.961805542553</v>
      </c>
      <c r="F3823" s="56">
        <v>0</v>
      </c>
      <c r="G3823" s="48"/>
      <c r="H3823" s="48"/>
      <c r="I3823" s="48"/>
      <c r="J3823" s="48"/>
      <c r="L3823" s="65"/>
    </row>
    <row r="3824" spans="5:12">
      <c r="E3824" s="49">
        <v>45061.965277764772</v>
      </c>
      <c r="F3824" s="56">
        <v>0</v>
      </c>
      <c r="G3824" s="48"/>
      <c r="H3824" s="48"/>
      <c r="I3824" s="48"/>
      <c r="J3824" s="48"/>
      <c r="L3824" s="65"/>
    </row>
    <row r="3825" spans="5:12">
      <c r="E3825" s="49">
        <v>45061.968749986991</v>
      </c>
      <c r="F3825" s="56">
        <v>0</v>
      </c>
      <c r="G3825" s="48"/>
      <c r="H3825" s="48"/>
      <c r="I3825" s="48"/>
      <c r="J3825" s="48"/>
      <c r="L3825" s="65"/>
    </row>
    <row r="3826" spans="5:12">
      <c r="E3826" s="49">
        <v>45061.97222220921</v>
      </c>
      <c r="F3826" s="56">
        <v>0</v>
      </c>
      <c r="G3826" s="48"/>
      <c r="H3826" s="48"/>
      <c r="I3826" s="48"/>
      <c r="J3826" s="48"/>
      <c r="L3826" s="65"/>
    </row>
    <row r="3827" spans="5:12">
      <c r="E3827" s="49">
        <v>45061.975694431429</v>
      </c>
      <c r="F3827" s="56">
        <v>0</v>
      </c>
      <c r="G3827" s="48"/>
      <c r="H3827" s="48"/>
      <c r="I3827" s="48"/>
      <c r="J3827" s="48"/>
      <c r="L3827" s="65"/>
    </row>
    <row r="3828" spans="5:12">
      <c r="E3828" s="49">
        <v>45061.979166653648</v>
      </c>
      <c r="F3828" s="56">
        <v>0</v>
      </c>
      <c r="G3828" s="48"/>
      <c r="H3828" s="48"/>
      <c r="I3828" s="48"/>
      <c r="J3828" s="48"/>
      <c r="L3828" s="65"/>
    </row>
    <row r="3829" spans="5:12">
      <c r="E3829" s="49">
        <v>45061.982638875867</v>
      </c>
      <c r="F3829" s="56">
        <v>0</v>
      </c>
      <c r="G3829" s="48"/>
      <c r="H3829" s="48"/>
      <c r="I3829" s="48"/>
      <c r="J3829" s="48"/>
      <c r="L3829" s="65"/>
    </row>
    <row r="3830" spans="5:12">
      <c r="E3830" s="49">
        <v>45061.986111098086</v>
      </c>
      <c r="F3830" s="56">
        <v>0</v>
      </c>
      <c r="G3830" s="48"/>
      <c r="H3830" s="48"/>
      <c r="I3830" s="48"/>
      <c r="J3830" s="48"/>
      <c r="L3830" s="65"/>
    </row>
    <row r="3831" spans="5:12">
      <c r="E3831" s="49">
        <v>45061.989583320305</v>
      </c>
      <c r="F3831" s="56">
        <v>0</v>
      </c>
      <c r="G3831" s="48"/>
      <c r="H3831" s="48"/>
      <c r="I3831" s="48"/>
      <c r="J3831" s="48"/>
      <c r="L3831" s="65"/>
    </row>
    <row r="3832" spans="5:12">
      <c r="E3832" s="49">
        <v>45061.993055542524</v>
      </c>
      <c r="F3832" s="56">
        <v>0</v>
      </c>
      <c r="G3832" s="48"/>
      <c r="H3832" s="48"/>
      <c r="I3832" s="48"/>
      <c r="J3832" s="48"/>
      <c r="L3832" s="65"/>
    </row>
    <row r="3833" spans="5:12">
      <c r="E3833" s="49">
        <v>45061.996527764742</v>
      </c>
      <c r="F3833" s="56">
        <v>0</v>
      </c>
      <c r="G3833" s="48"/>
      <c r="H3833" s="48"/>
      <c r="I3833" s="48"/>
      <c r="J3833" s="48"/>
      <c r="L3833" s="65"/>
    </row>
    <row r="3834" spans="5:12">
      <c r="E3834" s="49">
        <v>45061.999999986961</v>
      </c>
      <c r="F3834" s="56">
        <v>0</v>
      </c>
      <c r="G3834" s="48"/>
      <c r="H3834" s="48"/>
      <c r="I3834" s="48"/>
      <c r="J3834" s="48"/>
      <c r="L3834" s="65"/>
    </row>
    <row r="3835" spans="5:12">
      <c r="E3835" s="49">
        <v>45062.00347220918</v>
      </c>
      <c r="F3835" s="56">
        <v>0</v>
      </c>
      <c r="G3835" s="48"/>
      <c r="H3835" s="48"/>
      <c r="I3835" s="48"/>
      <c r="J3835" s="48"/>
      <c r="L3835" s="65"/>
    </row>
    <row r="3836" spans="5:12">
      <c r="E3836" s="49">
        <v>45062.006944431399</v>
      </c>
      <c r="F3836" s="56">
        <v>0</v>
      </c>
      <c r="G3836" s="48"/>
      <c r="H3836" s="48"/>
      <c r="I3836" s="48"/>
      <c r="J3836" s="48"/>
      <c r="L3836" s="65"/>
    </row>
    <row r="3837" spans="5:12">
      <c r="E3837" s="49">
        <v>45062.010416653618</v>
      </c>
      <c r="F3837" s="56">
        <v>0</v>
      </c>
      <c r="G3837" s="48"/>
      <c r="H3837" s="48"/>
      <c r="I3837" s="48"/>
      <c r="J3837" s="48"/>
      <c r="L3837" s="65"/>
    </row>
    <row r="3838" spans="5:12">
      <c r="E3838" s="49">
        <v>45062.013888875837</v>
      </c>
      <c r="F3838" s="56">
        <v>0</v>
      </c>
      <c r="G3838" s="48"/>
      <c r="H3838" s="48"/>
      <c r="I3838" s="48"/>
      <c r="J3838" s="48"/>
      <c r="L3838" s="65"/>
    </row>
    <row r="3839" spans="5:12">
      <c r="E3839" s="49">
        <v>45062.017361098056</v>
      </c>
      <c r="F3839" s="56">
        <v>0</v>
      </c>
      <c r="G3839" s="48"/>
      <c r="H3839" s="48"/>
      <c r="I3839" s="48"/>
      <c r="J3839" s="48"/>
      <c r="L3839" s="65"/>
    </row>
    <row r="3840" spans="5:12">
      <c r="E3840" s="49">
        <v>45062.020833320275</v>
      </c>
      <c r="F3840" s="56">
        <v>0</v>
      </c>
      <c r="G3840" s="48"/>
      <c r="H3840" s="48"/>
      <c r="I3840" s="48"/>
      <c r="J3840" s="48"/>
      <c r="L3840" s="65"/>
    </row>
    <row r="3841" spans="5:12">
      <c r="E3841" s="49">
        <v>45062.024305542494</v>
      </c>
      <c r="F3841" s="56">
        <v>0</v>
      </c>
      <c r="G3841" s="48"/>
      <c r="H3841" s="48"/>
      <c r="I3841" s="48"/>
      <c r="J3841" s="48"/>
      <c r="L3841" s="65"/>
    </row>
    <row r="3842" spans="5:12">
      <c r="E3842" s="49">
        <v>45062.027777764713</v>
      </c>
      <c r="F3842" s="56">
        <v>0</v>
      </c>
      <c r="G3842" s="48"/>
      <c r="H3842" s="48"/>
      <c r="I3842" s="48"/>
      <c r="J3842" s="48"/>
      <c r="L3842" s="65"/>
    </row>
    <row r="3843" spans="5:12">
      <c r="E3843" s="49">
        <v>45062.031249986932</v>
      </c>
      <c r="F3843" s="56">
        <v>0</v>
      </c>
      <c r="G3843" s="48"/>
      <c r="H3843" s="48"/>
      <c r="I3843" s="48"/>
      <c r="J3843" s="48"/>
      <c r="L3843" s="65"/>
    </row>
    <row r="3844" spans="5:12">
      <c r="E3844" s="49">
        <v>45062.034722209151</v>
      </c>
      <c r="F3844" s="56">
        <v>0</v>
      </c>
      <c r="G3844" s="48"/>
      <c r="H3844" s="48"/>
      <c r="I3844" s="48"/>
      <c r="J3844" s="48"/>
      <c r="L3844" s="65"/>
    </row>
    <row r="3845" spans="5:12">
      <c r="E3845" s="49">
        <v>45062.03819443137</v>
      </c>
      <c r="F3845" s="56">
        <v>0</v>
      </c>
      <c r="G3845" s="48"/>
      <c r="H3845" s="48"/>
      <c r="I3845" s="48"/>
      <c r="J3845" s="48"/>
      <c r="L3845" s="65"/>
    </row>
    <row r="3846" spans="5:12">
      <c r="E3846" s="49">
        <v>45062.041666653589</v>
      </c>
      <c r="F3846" s="56">
        <v>0</v>
      </c>
      <c r="G3846" s="48"/>
      <c r="H3846" s="48"/>
      <c r="I3846" s="48"/>
      <c r="J3846" s="48"/>
      <c r="L3846" s="65"/>
    </row>
    <row r="3847" spans="5:12">
      <c r="E3847" s="49">
        <v>45062.045138875808</v>
      </c>
      <c r="F3847" s="56">
        <v>0</v>
      </c>
      <c r="G3847" s="48"/>
      <c r="H3847" s="48"/>
      <c r="I3847" s="48"/>
      <c r="J3847" s="48"/>
      <c r="L3847" s="65"/>
    </row>
    <row r="3848" spans="5:12">
      <c r="E3848" s="49">
        <v>45062.048611098027</v>
      </c>
      <c r="F3848" s="56">
        <v>0</v>
      </c>
      <c r="G3848" s="48"/>
      <c r="H3848" s="48"/>
      <c r="I3848" s="48"/>
      <c r="J3848" s="48"/>
      <c r="L3848" s="65"/>
    </row>
    <row r="3849" spans="5:12">
      <c r="E3849" s="49">
        <v>45062.052083320246</v>
      </c>
      <c r="F3849" s="56">
        <v>0</v>
      </c>
      <c r="G3849" s="48"/>
      <c r="H3849" s="48"/>
      <c r="I3849" s="48"/>
      <c r="J3849" s="48"/>
      <c r="L3849" s="65"/>
    </row>
    <row r="3850" spans="5:12">
      <c r="E3850" s="49">
        <v>45062.055555542465</v>
      </c>
      <c r="F3850" s="56">
        <v>0</v>
      </c>
      <c r="G3850" s="48"/>
      <c r="H3850" s="48"/>
      <c r="I3850" s="48"/>
      <c r="J3850" s="48"/>
      <c r="L3850" s="65"/>
    </row>
    <row r="3851" spans="5:12">
      <c r="E3851" s="49">
        <v>45062.059027764684</v>
      </c>
      <c r="F3851" s="56">
        <v>0</v>
      </c>
      <c r="G3851" s="48"/>
      <c r="H3851" s="48"/>
      <c r="I3851" s="48"/>
      <c r="J3851" s="48"/>
      <c r="L3851" s="65"/>
    </row>
    <row r="3852" spans="5:12">
      <c r="E3852" s="49">
        <v>45062.062499986903</v>
      </c>
      <c r="F3852" s="56">
        <v>0</v>
      </c>
      <c r="G3852" s="48"/>
      <c r="H3852" s="48"/>
      <c r="I3852" s="48"/>
      <c r="J3852" s="48"/>
      <c r="L3852" s="65"/>
    </row>
    <row r="3853" spans="5:12">
      <c r="E3853" s="49">
        <v>45062.065972209122</v>
      </c>
      <c r="F3853" s="56">
        <v>0</v>
      </c>
      <c r="G3853" s="48"/>
      <c r="H3853" s="48"/>
      <c r="I3853" s="48"/>
      <c r="J3853" s="48"/>
      <c r="L3853" s="65"/>
    </row>
    <row r="3854" spans="5:12">
      <c r="E3854" s="49">
        <v>45062.069444431341</v>
      </c>
      <c r="F3854" s="56">
        <v>0</v>
      </c>
      <c r="G3854" s="48"/>
      <c r="H3854" s="48"/>
      <c r="I3854" s="48"/>
      <c r="J3854" s="48"/>
      <c r="L3854" s="65"/>
    </row>
    <row r="3855" spans="5:12">
      <c r="E3855" s="49">
        <v>45062.07291665356</v>
      </c>
      <c r="F3855" s="56">
        <v>0</v>
      </c>
      <c r="G3855" s="48"/>
      <c r="H3855" s="48"/>
      <c r="I3855" s="48"/>
      <c r="J3855" s="48"/>
      <c r="L3855" s="65"/>
    </row>
    <row r="3856" spans="5:12">
      <c r="E3856" s="49">
        <v>45062.076388875779</v>
      </c>
      <c r="F3856" s="56">
        <v>0</v>
      </c>
      <c r="G3856" s="48"/>
      <c r="H3856" s="48"/>
      <c r="I3856" s="48"/>
      <c r="J3856" s="48"/>
      <c r="L3856" s="65"/>
    </row>
    <row r="3857" spans="5:12">
      <c r="E3857" s="49">
        <v>45062.079861097998</v>
      </c>
      <c r="F3857" s="56">
        <v>0</v>
      </c>
      <c r="G3857" s="48"/>
      <c r="H3857" s="48"/>
      <c r="I3857" s="48"/>
      <c r="J3857" s="48"/>
      <c r="L3857" s="65"/>
    </row>
    <row r="3858" spans="5:12">
      <c r="E3858" s="49">
        <v>45062.083333320217</v>
      </c>
      <c r="F3858" s="56">
        <v>0</v>
      </c>
      <c r="G3858" s="48"/>
      <c r="H3858" s="48"/>
      <c r="I3858" s="48"/>
      <c r="J3858" s="48"/>
      <c r="L3858" s="65"/>
    </row>
    <row r="3859" spans="5:12">
      <c r="E3859" s="49">
        <v>45062.086805542436</v>
      </c>
      <c r="F3859" s="56">
        <v>0</v>
      </c>
      <c r="G3859" s="48"/>
      <c r="H3859" s="48"/>
      <c r="I3859" s="48"/>
      <c r="J3859" s="48"/>
      <c r="L3859" s="65"/>
    </row>
    <row r="3860" spans="5:12">
      <c r="E3860" s="49">
        <v>45062.090277764655</v>
      </c>
      <c r="F3860" s="56">
        <v>0</v>
      </c>
      <c r="G3860" s="48"/>
      <c r="H3860" s="48"/>
      <c r="I3860" s="48"/>
      <c r="J3860" s="48"/>
      <c r="L3860" s="65"/>
    </row>
    <row r="3861" spans="5:12">
      <c r="E3861" s="49">
        <v>45062.093749986874</v>
      </c>
      <c r="F3861" s="56">
        <v>0</v>
      </c>
      <c r="G3861" s="48"/>
      <c r="H3861" s="48"/>
      <c r="I3861" s="48"/>
      <c r="J3861" s="48"/>
      <c r="L3861" s="65"/>
    </row>
    <row r="3862" spans="5:12">
      <c r="E3862" s="49">
        <v>45062.097222209093</v>
      </c>
      <c r="F3862" s="56">
        <v>0</v>
      </c>
      <c r="G3862" s="48"/>
      <c r="H3862" s="48"/>
      <c r="I3862" s="48"/>
      <c r="J3862" s="48"/>
      <c r="L3862" s="65"/>
    </row>
    <row r="3863" spans="5:12">
      <c r="E3863" s="49">
        <v>45062.100694431312</v>
      </c>
      <c r="F3863" s="56">
        <v>0</v>
      </c>
      <c r="G3863" s="48"/>
      <c r="H3863" s="48"/>
      <c r="I3863" s="48"/>
      <c r="J3863" s="48"/>
      <c r="L3863" s="65"/>
    </row>
    <row r="3864" spans="5:12">
      <c r="E3864" s="49">
        <v>45062.104166653531</v>
      </c>
      <c r="F3864" s="56">
        <v>0</v>
      </c>
      <c r="G3864" s="48"/>
      <c r="H3864" s="48"/>
      <c r="I3864" s="48"/>
      <c r="J3864" s="48"/>
      <c r="L3864" s="65"/>
    </row>
    <row r="3865" spans="5:12">
      <c r="E3865" s="49">
        <v>45062.10763887575</v>
      </c>
      <c r="F3865" s="56">
        <v>0</v>
      </c>
      <c r="G3865" s="48"/>
      <c r="H3865" s="48"/>
      <c r="I3865" s="48"/>
      <c r="J3865" s="48"/>
      <c r="L3865" s="65"/>
    </row>
    <row r="3866" spans="5:12">
      <c r="E3866" s="49">
        <v>45062.111111097969</v>
      </c>
      <c r="F3866" s="56">
        <v>0</v>
      </c>
      <c r="G3866" s="48"/>
      <c r="H3866" s="48"/>
      <c r="I3866" s="48"/>
      <c r="J3866" s="48"/>
      <c r="L3866" s="65"/>
    </row>
    <row r="3867" spans="5:12">
      <c r="E3867" s="49">
        <v>45062.114583320188</v>
      </c>
      <c r="F3867" s="56">
        <v>0</v>
      </c>
      <c r="G3867" s="48"/>
      <c r="H3867" s="48"/>
      <c r="I3867" s="48"/>
      <c r="J3867" s="48"/>
      <c r="L3867" s="65"/>
    </row>
    <row r="3868" spans="5:12">
      <c r="E3868" s="49">
        <v>45062.118055542407</v>
      </c>
      <c r="F3868" s="56">
        <v>0</v>
      </c>
      <c r="G3868" s="48"/>
      <c r="H3868" s="48"/>
      <c r="I3868" s="48"/>
      <c r="J3868" s="48"/>
      <c r="L3868" s="65"/>
    </row>
    <row r="3869" spans="5:12">
      <c r="E3869" s="49">
        <v>45062.121527764626</v>
      </c>
      <c r="F3869" s="56">
        <v>0</v>
      </c>
      <c r="G3869" s="48"/>
      <c r="H3869" s="48"/>
      <c r="I3869" s="48"/>
      <c r="J3869" s="48"/>
      <c r="L3869" s="65"/>
    </row>
    <row r="3870" spans="5:12">
      <c r="E3870" s="49">
        <v>45062.124999986845</v>
      </c>
      <c r="F3870" s="56">
        <v>0</v>
      </c>
      <c r="G3870" s="48"/>
      <c r="H3870" s="48"/>
      <c r="I3870" s="48"/>
      <c r="J3870" s="48"/>
      <c r="L3870" s="65"/>
    </row>
    <row r="3871" spans="5:12">
      <c r="E3871" s="49">
        <v>45062.128472209064</v>
      </c>
      <c r="F3871" s="56">
        <v>0</v>
      </c>
      <c r="G3871" s="48"/>
      <c r="H3871" s="48"/>
      <c r="I3871" s="48"/>
      <c r="J3871" s="48"/>
      <c r="L3871" s="65"/>
    </row>
    <row r="3872" spans="5:12">
      <c r="E3872" s="49">
        <v>45062.131944431283</v>
      </c>
      <c r="F3872" s="56">
        <v>0</v>
      </c>
      <c r="G3872" s="48"/>
      <c r="H3872" s="48"/>
      <c r="I3872" s="48"/>
      <c r="J3872" s="48"/>
      <c r="L3872" s="65"/>
    </row>
    <row r="3873" spans="5:12">
      <c r="E3873" s="49">
        <v>45062.135416653502</v>
      </c>
      <c r="F3873" s="56">
        <v>0</v>
      </c>
      <c r="G3873" s="48"/>
      <c r="H3873" s="48"/>
      <c r="I3873" s="48"/>
      <c r="J3873" s="48"/>
      <c r="L3873" s="65"/>
    </row>
    <row r="3874" spans="5:12">
      <c r="E3874" s="49">
        <v>45062.138888875721</v>
      </c>
      <c r="F3874" s="56">
        <v>0</v>
      </c>
      <c r="G3874" s="48"/>
      <c r="H3874" s="48"/>
      <c r="I3874" s="48"/>
      <c r="J3874" s="48"/>
      <c r="L3874" s="65"/>
    </row>
    <row r="3875" spans="5:12">
      <c r="E3875" s="49">
        <v>45062.14236109794</v>
      </c>
      <c r="F3875" s="56">
        <v>0</v>
      </c>
      <c r="G3875" s="48"/>
      <c r="H3875" s="48"/>
      <c r="I3875" s="48"/>
      <c r="J3875" s="48"/>
      <c r="L3875" s="65"/>
    </row>
    <row r="3876" spans="5:12">
      <c r="E3876" s="49">
        <v>45062.145833320159</v>
      </c>
      <c r="F3876" s="56">
        <v>0</v>
      </c>
      <c r="G3876" s="48"/>
      <c r="H3876" s="48"/>
      <c r="I3876" s="48"/>
      <c r="J3876" s="48"/>
      <c r="L3876" s="65"/>
    </row>
    <row r="3877" spans="5:12">
      <c r="E3877" s="49">
        <v>45062.149305542378</v>
      </c>
      <c r="F3877" s="56">
        <v>0</v>
      </c>
      <c r="G3877" s="48"/>
      <c r="H3877" s="48"/>
      <c r="I3877" s="48"/>
      <c r="J3877" s="48"/>
      <c r="L3877" s="65"/>
    </row>
    <row r="3878" spans="5:12">
      <c r="E3878" s="49">
        <v>45062.152777764597</v>
      </c>
      <c r="F3878" s="56">
        <v>0</v>
      </c>
      <c r="G3878" s="48"/>
      <c r="H3878" s="48"/>
      <c r="I3878" s="48"/>
      <c r="J3878" s="48"/>
      <c r="L3878" s="65"/>
    </row>
    <row r="3879" spans="5:12">
      <c r="E3879" s="49">
        <v>45062.156249986816</v>
      </c>
      <c r="F3879" s="56">
        <v>0</v>
      </c>
      <c r="G3879" s="48"/>
      <c r="H3879" s="48"/>
      <c r="I3879" s="48"/>
      <c r="J3879" s="48"/>
      <c r="L3879" s="65"/>
    </row>
    <row r="3880" spans="5:12">
      <c r="E3880" s="49">
        <v>45062.159722209035</v>
      </c>
      <c r="F3880" s="56">
        <v>0</v>
      </c>
      <c r="G3880" s="48"/>
      <c r="H3880" s="48"/>
      <c r="I3880" s="48"/>
      <c r="J3880" s="48"/>
      <c r="L3880" s="65"/>
    </row>
    <row r="3881" spans="5:12">
      <c r="E3881" s="49">
        <v>45062.163194431254</v>
      </c>
      <c r="F3881" s="56">
        <v>0</v>
      </c>
      <c r="G3881" s="48"/>
      <c r="H3881" s="48"/>
      <c r="I3881" s="48"/>
      <c r="J3881" s="48"/>
      <c r="L3881" s="65"/>
    </row>
    <row r="3882" spans="5:12">
      <c r="E3882" s="49">
        <v>45062.166666653473</v>
      </c>
      <c r="F3882" s="56">
        <v>0</v>
      </c>
      <c r="G3882" s="48"/>
      <c r="H3882" s="48"/>
      <c r="I3882" s="48"/>
      <c r="J3882" s="48"/>
      <c r="L3882" s="65"/>
    </row>
    <row r="3883" spans="5:12">
      <c r="E3883" s="49">
        <v>45062.170138875692</v>
      </c>
      <c r="F3883" s="56">
        <v>0</v>
      </c>
      <c r="G3883" s="48"/>
      <c r="H3883" s="48"/>
      <c r="I3883" s="48"/>
      <c r="J3883" s="48"/>
      <c r="L3883" s="65"/>
    </row>
    <row r="3884" spans="5:12">
      <c r="E3884" s="49">
        <v>45062.173611097911</v>
      </c>
      <c r="F3884" s="56">
        <v>0</v>
      </c>
      <c r="G3884" s="48"/>
      <c r="H3884" s="48"/>
      <c r="I3884" s="48"/>
      <c r="J3884" s="48"/>
      <c r="L3884" s="65"/>
    </row>
    <row r="3885" spans="5:12">
      <c r="E3885" s="49">
        <v>45062.17708332013</v>
      </c>
      <c r="F3885" s="56">
        <v>0</v>
      </c>
      <c r="G3885" s="48"/>
      <c r="H3885" s="48"/>
      <c r="I3885" s="48"/>
      <c r="J3885" s="48"/>
      <c r="L3885" s="65"/>
    </row>
    <row r="3886" spans="5:12">
      <c r="E3886" s="49">
        <v>45062.180555542349</v>
      </c>
      <c r="F3886" s="56">
        <v>0</v>
      </c>
      <c r="G3886" s="48"/>
      <c r="H3886" s="48"/>
      <c r="I3886" s="48"/>
      <c r="J3886" s="48"/>
      <c r="L3886" s="65"/>
    </row>
    <row r="3887" spans="5:12">
      <c r="E3887" s="49">
        <v>45062.184027764568</v>
      </c>
      <c r="F3887" s="56">
        <v>0</v>
      </c>
      <c r="G3887" s="48"/>
      <c r="H3887" s="48"/>
      <c r="I3887" s="48"/>
      <c r="J3887" s="48"/>
      <c r="L3887" s="65"/>
    </row>
    <row r="3888" spans="5:12">
      <c r="E3888" s="49">
        <v>45062.187499986787</v>
      </c>
      <c r="F3888" s="56">
        <v>0</v>
      </c>
      <c r="G3888" s="48"/>
      <c r="H3888" s="48"/>
      <c r="I3888" s="48"/>
      <c r="J3888" s="48"/>
      <c r="L3888" s="65"/>
    </row>
    <row r="3889" spans="5:12">
      <c r="E3889" s="49">
        <v>45062.190972209006</v>
      </c>
      <c r="F3889" s="56">
        <v>0</v>
      </c>
      <c r="G3889" s="48"/>
      <c r="H3889" s="48"/>
      <c r="I3889" s="48"/>
      <c r="J3889" s="48"/>
      <c r="L3889" s="65"/>
    </row>
    <row r="3890" spans="5:12">
      <c r="E3890" s="49">
        <v>45062.194444431225</v>
      </c>
      <c r="F3890" s="56">
        <v>0</v>
      </c>
      <c r="G3890" s="48"/>
      <c r="H3890" s="48"/>
      <c r="I3890" s="48"/>
      <c r="J3890" s="48"/>
      <c r="L3890" s="65"/>
    </row>
    <row r="3891" spans="5:12">
      <c r="E3891" s="49">
        <v>45062.197916653444</v>
      </c>
      <c r="F3891" s="56">
        <v>0</v>
      </c>
      <c r="G3891" s="48"/>
      <c r="H3891" s="48"/>
      <c r="I3891" s="48"/>
      <c r="J3891" s="48"/>
      <c r="L3891" s="65"/>
    </row>
    <row r="3892" spans="5:12">
      <c r="E3892" s="49">
        <v>45062.201388875663</v>
      </c>
      <c r="F3892" s="56">
        <v>0</v>
      </c>
      <c r="G3892" s="48"/>
      <c r="H3892" s="48"/>
      <c r="I3892" s="48"/>
      <c r="J3892" s="48"/>
      <c r="L3892" s="65"/>
    </row>
    <row r="3893" spans="5:12">
      <c r="E3893" s="49">
        <v>45062.204861097882</v>
      </c>
      <c r="F3893" s="56">
        <v>0</v>
      </c>
      <c r="G3893" s="48"/>
      <c r="H3893" s="48"/>
      <c r="I3893" s="48"/>
      <c r="J3893" s="48"/>
      <c r="L3893" s="65"/>
    </row>
    <row r="3894" spans="5:12">
      <c r="E3894" s="49">
        <v>45062.208333320101</v>
      </c>
      <c r="F3894" s="56">
        <v>0</v>
      </c>
      <c r="G3894" s="48"/>
      <c r="H3894" s="48"/>
      <c r="I3894" s="48"/>
      <c r="J3894" s="48"/>
      <c r="L3894" s="65"/>
    </row>
    <row r="3895" spans="5:12">
      <c r="E3895" s="49">
        <v>45062.21180554232</v>
      </c>
      <c r="F3895" s="56">
        <v>0</v>
      </c>
      <c r="G3895" s="48"/>
      <c r="H3895" s="48"/>
      <c r="I3895" s="48"/>
      <c r="J3895" s="48"/>
      <c r="L3895" s="65"/>
    </row>
    <row r="3896" spans="5:12">
      <c r="E3896" s="49">
        <v>45062.215277764539</v>
      </c>
      <c r="F3896" s="56">
        <v>0</v>
      </c>
      <c r="G3896" s="48"/>
      <c r="H3896" s="48"/>
      <c r="I3896" s="48"/>
      <c r="J3896" s="48"/>
      <c r="L3896" s="65"/>
    </row>
    <row r="3897" spans="5:12">
      <c r="E3897" s="49">
        <v>45062.218749986758</v>
      </c>
      <c r="F3897" s="56">
        <v>0</v>
      </c>
      <c r="G3897" s="48"/>
      <c r="H3897" s="48"/>
      <c r="I3897" s="48"/>
      <c r="J3897" s="48"/>
      <c r="L3897" s="65"/>
    </row>
    <row r="3898" spans="5:12">
      <c r="E3898" s="49">
        <v>45062.222222208977</v>
      </c>
      <c r="F3898" s="56">
        <v>0</v>
      </c>
      <c r="G3898" s="48"/>
      <c r="H3898" s="48"/>
      <c r="I3898" s="48"/>
      <c r="J3898" s="48"/>
      <c r="L3898" s="65"/>
    </row>
    <row r="3899" spans="5:12">
      <c r="E3899" s="49">
        <v>45062.225694431196</v>
      </c>
      <c r="F3899" s="56">
        <v>0</v>
      </c>
      <c r="G3899" s="48"/>
      <c r="H3899" s="48"/>
      <c r="I3899" s="48"/>
      <c r="J3899" s="48"/>
      <c r="L3899" s="65"/>
    </row>
    <row r="3900" spans="5:12">
      <c r="E3900" s="49">
        <v>45062.229166653415</v>
      </c>
      <c r="F3900" s="56">
        <v>0</v>
      </c>
      <c r="G3900" s="48"/>
      <c r="H3900" s="48"/>
      <c r="I3900" s="48"/>
      <c r="J3900" s="48"/>
      <c r="L3900" s="65"/>
    </row>
    <row r="3901" spans="5:12">
      <c r="E3901" s="49">
        <v>45062.232638875634</v>
      </c>
      <c r="F3901" s="56">
        <v>0</v>
      </c>
      <c r="G3901" s="48"/>
      <c r="H3901" s="48"/>
      <c r="I3901" s="48"/>
      <c r="J3901" s="48"/>
      <c r="L3901" s="65"/>
    </row>
    <row r="3902" spans="5:12">
      <c r="E3902" s="49">
        <v>45062.236111097853</v>
      </c>
      <c r="F3902" s="56">
        <v>0</v>
      </c>
      <c r="G3902" s="48"/>
      <c r="H3902" s="48"/>
      <c r="I3902" s="48"/>
      <c r="J3902" s="48"/>
      <c r="L3902" s="65"/>
    </row>
    <row r="3903" spans="5:12">
      <c r="E3903" s="49">
        <v>45062.239583320072</v>
      </c>
      <c r="F3903" s="56">
        <v>0</v>
      </c>
      <c r="G3903" s="48"/>
      <c r="H3903" s="48"/>
      <c r="I3903" s="48"/>
      <c r="J3903" s="48"/>
      <c r="L3903" s="65"/>
    </row>
    <row r="3904" spans="5:12">
      <c r="E3904" s="49">
        <v>45062.243055542291</v>
      </c>
      <c r="F3904" s="56">
        <v>0</v>
      </c>
      <c r="G3904" s="48"/>
      <c r="H3904" s="48"/>
      <c r="I3904" s="48"/>
      <c r="J3904" s="48"/>
      <c r="L3904" s="65"/>
    </row>
    <row r="3905" spans="5:12">
      <c r="E3905" s="49">
        <v>45062.24652776451</v>
      </c>
      <c r="F3905" s="56">
        <v>0</v>
      </c>
      <c r="G3905" s="48"/>
      <c r="H3905" s="48"/>
      <c r="I3905" s="48"/>
      <c r="J3905" s="48"/>
      <c r="L3905" s="65"/>
    </row>
    <row r="3906" spans="5:12">
      <c r="E3906" s="49">
        <v>45062.249999986729</v>
      </c>
      <c r="F3906" s="56">
        <v>0</v>
      </c>
      <c r="G3906" s="48"/>
      <c r="H3906" s="48"/>
      <c r="I3906" s="48"/>
      <c r="J3906" s="48"/>
      <c r="L3906" s="65"/>
    </row>
    <row r="3907" spans="5:12">
      <c r="E3907" s="49">
        <v>45062.253472208948</v>
      </c>
      <c r="F3907" s="56">
        <v>0</v>
      </c>
      <c r="G3907" s="48"/>
      <c r="H3907" s="48"/>
      <c r="I3907" s="48"/>
      <c r="J3907" s="48"/>
      <c r="L3907" s="65"/>
    </row>
    <row r="3908" spans="5:12">
      <c r="E3908" s="49">
        <v>45062.256944431167</v>
      </c>
      <c r="F3908" s="56">
        <v>0</v>
      </c>
      <c r="G3908" s="48"/>
      <c r="H3908" s="48"/>
      <c r="I3908" s="48"/>
      <c r="J3908" s="48"/>
      <c r="L3908" s="65"/>
    </row>
    <row r="3909" spans="5:12">
      <c r="E3909" s="49">
        <v>45062.260416653386</v>
      </c>
      <c r="F3909" s="56">
        <v>0</v>
      </c>
      <c r="G3909" s="48"/>
      <c r="H3909" s="48"/>
      <c r="I3909" s="48"/>
      <c r="J3909" s="48"/>
      <c r="L3909" s="65"/>
    </row>
    <row r="3910" spans="5:12">
      <c r="E3910" s="49">
        <v>45062.263888875605</v>
      </c>
      <c r="F3910" s="56">
        <v>0</v>
      </c>
      <c r="G3910" s="48"/>
      <c r="H3910" s="48"/>
      <c r="I3910" s="48"/>
      <c r="J3910" s="48"/>
      <c r="L3910" s="65"/>
    </row>
    <row r="3911" spans="5:12">
      <c r="E3911" s="49">
        <v>45062.267361097824</v>
      </c>
      <c r="F3911" s="56">
        <v>0</v>
      </c>
      <c r="G3911" s="48"/>
      <c r="H3911" s="48"/>
      <c r="I3911" s="48"/>
      <c r="J3911" s="48"/>
      <c r="L3911" s="65"/>
    </row>
    <row r="3912" spans="5:12">
      <c r="E3912" s="49">
        <v>45062.270833320043</v>
      </c>
      <c r="F3912" s="56">
        <v>0</v>
      </c>
      <c r="G3912" s="48"/>
      <c r="H3912" s="48"/>
      <c r="I3912" s="48"/>
      <c r="J3912" s="48"/>
      <c r="L3912" s="65"/>
    </row>
    <row r="3913" spans="5:12">
      <c r="E3913" s="49">
        <v>45062.274305542262</v>
      </c>
      <c r="F3913" s="56">
        <v>0</v>
      </c>
      <c r="G3913" s="48"/>
      <c r="H3913" s="48"/>
      <c r="I3913" s="48"/>
      <c r="J3913" s="48"/>
      <c r="L3913" s="65"/>
    </row>
    <row r="3914" spans="5:12">
      <c r="E3914" s="49">
        <v>45062.277777764481</v>
      </c>
      <c r="F3914" s="56">
        <v>0</v>
      </c>
      <c r="G3914" s="48"/>
      <c r="H3914" s="48"/>
      <c r="I3914" s="48"/>
      <c r="J3914" s="48"/>
      <c r="L3914" s="65"/>
    </row>
    <row r="3915" spans="5:12">
      <c r="E3915" s="49">
        <v>45062.2812499867</v>
      </c>
      <c r="F3915" s="56">
        <v>0</v>
      </c>
      <c r="G3915" s="48"/>
      <c r="H3915" s="48"/>
      <c r="I3915" s="48"/>
      <c r="J3915" s="48"/>
      <c r="L3915" s="65"/>
    </row>
    <row r="3916" spans="5:12">
      <c r="E3916" s="49">
        <v>45062.284722208919</v>
      </c>
      <c r="F3916" s="56">
        <v>0</v>
      </c>
      <c r="G3916" s="48"/>
      <c r="H3916" s="48"/>
      <c r="I3916" s="48"/>
      <c r="J3916" s="48"/>
      <c r="L3916" s="65"/>
    </row>
    <row r="3917" spans="5:12">
      <c r="E3917" s="49">
        <v>45062.288194431138</v>
      </c>
      <c r="F3917" s="56">
        <v>0</v>
      </c>
      <c r="G3917" s="48"/>
      <c r="H3917" s="48"/>
      <c r="I3917" s="48"/>
      <c r="J3917" s="48"/>
      <c r="L3917" s="65"/>
    </row>
    <row r="3918" spans="5:12">
      <c r="E3918" s="49">
        <v>45062.291666653357</v>
      </c>
      <c r="F3918" s="56">
        <v>0</v>
      </c>
      <c r="G3918" s="48"/>
      <c r="H3918" s="48"/>
      <c r="I3918" s="48"/>
      <c r="J3918" s="48"/>
      <c r="L3918" s="65"/>
    </row>
    <row r="3919" spans="5:12">
      <c r="E3919" s="49">
        <v>45062.295138875576</v>
      </c>
      <c r="F3919" s="56">
        <v>0</v>
      </c>
      <c r="G3919" s="48"/>
      <c r="H3919" s="48"/>
      <c r="I3919" s="48"/>
      <c r="J3919" s="48"/>
      <c r="L3919" s="65"/>
    </row>
    <row r="3920" spans="5:12">
      <c r="E3920" s="49">
        <v>45062.298611097794</v>
      </c>
      <c r="F3920" s="56">
        <v>0</v>
      </c>
      <c r="G3920" s="48"/>
      <c r="H3920" s="48"/>
      <c r="I3920" s="48"/>
      <c r="J3920" s="48"/>
      <c r="L3920" s="65"/>
    </row>
    <row r="3921" spans="5:12">
      <c r="E3921" s="49">
        <v>45062.302083320013</v>
      </c>
      <c r="F3921" s="56">
        <v>0</v>
      </c>
      <c r="G3921" s="48"/>
      <c r="H3921" s="48"/>
      <c r="I3921" s="48"/>
      <c r="J3921" s="48"/>
      <c r="L3921" s="65"/>
    </row>
    <row r="3922" spans="5:12">
      <c r="E3922" s="49">
        <v>45062.305555542232</v>
      </c>
      <c r="F3922" s="56">
        <v>0</v>
      </c>
      <c r="G3922" s="48"/>
      <c r="H3922" s="48"/>
      <c r="I3922" s="48"/>
      <c r="J3922" s="48"/>
      <c r="L3922" s="65"/>
    </row>
    <row r="3923" spans="5:12">
      <c r="E3923" s="49">
        <v>45062.309027764451</v>
      </c>
      <c r="F3923" s="56">
        <v>0</v>
      </c>
      <c r="G3923" s="48"/>
      <c r="H3923" s="48"/>
      <c r="I3923" s="48"/>
      <c r="J3923" s="48"/>
      <c r="L3923" s="65"/>
    </row>
    <row r="3924" spans="5:12">
      <c r="E3924" s="49">
        <v>45062.31249998667</v>
      </c>
      <c r="F3924" s="56">
        <v>0</v>
      </c>
      <c r="G3924" s="48"/>
      <c r="H3924" s="48"/>
      <c r="I3924" s="48"/>
      <c r="J3924" s="48"/>
      <c r="L3924" s="65"/>
    </row>
    <row r="3925" spans="5:12">
      <c r="E3925" s="49">
        <v>45062.315972208889</v>
      </c>
      <c r="F3925" s="56">
        <v>0</v>
      </c>
      <c r="G3925" s="48"/>
      <c r="H3925" s="48"/>
      <c r="I3925" s="48"/>
      <c r="J3925" s="48"/>
      <c r="L3925" s="65"/>
    </row>
    <row r="3926" spans="5:12">
      <c r="E3926" s="49">
        <v>45062.319444431108</v>
      </c>
      <c r="F3926" s="56">
        <v>0</v>
      </c>
      <c r="G3926" s="48"/>
      <c r="H3926" s="48"/>
      <c r="I3926" s="48"/>
      <c r="J3926" s="48"/>
      <c r="L3926" s="65"/>
    </row>
    <row r="3927" spans="5:12">
      <c r="E3927" s="49">
        <v>45062.322916653327</v>
      </c>
      <c r="F3927" s="56">
        <v>0</v>
      </c>
      <c r="G3927" s="48"/>
      <c r="H3927" s="48"/>
      <c r="I3927" s="48"/>
      <c r="J3927" s="48"/>
      <c r="L3927" s="65"/>
    </row>
    <row r="3928" spans="5:12">
      <c r="E3928" s="49">
        <v>45062.326388875546</v>
      </c>
      <c r="F3928" s="56">
        <v>0</v>
      </c>
      <c r="G3928" s="48"/>
      <c r="H3928" s="48"/>
      <c r="I3928" s="48"/>
      <c r="J3928" s="48"/>
      <c r="L3928" s="65"/>
    </row>
    <row r="3929" spans="5:12">
      <c r="E3929" s="49">
        <v>45062.329861097765</v>
      </c>
      <c r="F3929" s="56">
        <v>0</v>
      </c>
      <c r="G3929" s="48"/>
      <c r="H3929" s="48"/>
      <c r="I3929" s="48"/>
      <c r="J3929" s="48"/>
      <c r="L3929" s="65"/>
    </row>
    <row r="3930" spans="5:12">
      <c r="E3930" s="49">
        <v>45062.333333319984</v>
      </c>
      <c r="F3930" s="56">
        <v>0</v>
      </c>
      <c r="G3930" s="48"/>
      <c r="H3930" s="48"/>
      <c r="I3930" s="48"/>
      <c r="J3930" s="48"/>
      <c r="L3930" s="65"/>
    </row>
    <row r="3931" spans="5:12">
      <c r="E3931" s="49">
        <v>45062.336805542203</v>
      </c>
      <c r="F3931" s="56">
        <v>0</v>
      </c>
      <c r="G3931" s="48"/>
      <c r="H3931" s="48"/>
      <c r="I3931" s="48"/>
      <c r="J3931" s="48"/>
      <c r="L3931" s="65"/>
    </row>
    <row r="3932" spans="5:12">
      <c r="E3932" s="49">
        <v>45062.340277764422</v>
      </c>
      <c r="F3932" s="56">
        <v>0</v>
      </c>
      <c r="G3932" s="48"/>
      <c r="H3932" s="48"/>
      <c r="I3932" s="48"/>
      <c r="J3932" s="48"/>
      <c r="L3932" s="65"/>
    </row>
    <row r="3933" spans="5:12">
      <c r="E3933" s="49">
        <v>45062.343749986641</v>
      </c>
      <c r="F3933" s="56">
        <v>0</v>
      </c>
      <c r="G3933" s="48"/>
      <c r="H3933" s="48"/>
      <c r="I3933" s="48"/>
      <c r="J3933" s="48"/>
      <c r="L3933" s="65"/>
    </row>
    <row r="3934" spans="5:12">
      <c r="E3934" s="49">
        <v>45062.34722220886</v>
      </c>
      <c r="F3934" s="56">
        <v>0</v>
      </c>
      <c r="G3934" s="48"/>
      <c r="H3934" s="48"/>
      <c r="I3934" s="48"/>
      <c r="J3934" s="48"/>
      <c r="L3934" s="65"/>
    </row>
    <row r="3935" spans="5:12">
      <c r="E3935" s="49">
        <v>45062.350694431079</v>
      </c>
      <c r="F3935" s="56">
        <v>0</v>
      </c>
      <c r="G3935" s="48"/>
      <c r="H3935" s="48"/>
      <c r="I3935" s="48"/>
      <c r="J3935" s="48"/>
      <c r="L3935" s="65"/>
    </row>
    <row r="3936" spans="5:12">
      <c r="E3936" s="49">
        <v>45062.354166653298</v>
      </c>
      <c r="F3936" s="56">
        <v>0</v>
      </c>
      <c r="G3936" s="48"/>
      <c r="H3936" s="48"/>
      <c r="I3936" s="48"/>
      <c r="J3936" s="48"/>
      <c r="L3936" s="65"/>
    </row>
    <row r="3937" spans="5:12">
      <c r="E3937" s="49">
        <v>45062.357638875517</v>
      </c>
      <c r="F3937" s="56">
        <v>0</v>
      </c>
      <c r="G3937" s="48"/>
      <c r="H3937" s="48"/>
      <c r="I3937" s="48"/>
      <c r="J3937" s="48"/>
      <c r="L3937" s="65"/>
    </row>
    <row r="3938" spans="5:12">
      <c r="E3938" s="49">
        <v>45062.361111097736</v>
      </c>
      <c r="F3938" s="56">
        <v>0</v>
      </c>
      <c r="G3938" s="48"/>
      <c r="H3938" s="48"/>
      <c r="I3938" s="48"/>
      <c r="J3938" s="48"/>
      <c r="L3938" s="65"/>
    </row>
    <row r="3939" spans="5:12">
      <c r="E3939" s="49">
        <v>45062.364583319955</v>
      </c>
      <c r="F3939" s="56">
        <v>0</v>
      </c>
      <c r="G3939" s="48"/>
      <c r="H3939" s="48"/>
      <c r="I3939" s="48"/>
      <c r="J3939" s="48"/>
      <c r="L3939" s="65"/>
    </row>
    <row r="3940" spans="5:12">
      <c r="E3940" s="49">
        <v>45062.368055542174</v>
      </c>
      <c r="F3940" s="56">
        <v>0</v>
      </c>
      <c r="G3940" s="48"/>
      <c r="H3940" s="48"/>
      <c r="I3940" s="48"/>
      <c r="J3940" s="48"/>
      <c r="L3940" s="65"/>
    </row>
    <row r="3941" spans="5:12">
      <c r="E3941" s="49">
        <v>45062.371527764393</v>
      </c>
      <c r="F3941" s="56">
        <v>0</v>
      </c>
      <c r="G3941" s="48"/>
      <c r="H3941" s="48"/>
      <c r="I3941" s="48"/>
      <c r="J3941" s="48"/>
      <c r="L3941" s="65"/>
    </row>
    <row r="3942" spans="5:12">
      <c r="E3942" s="49">
        <v>45062.374999986612</v>
      </c>
      <c r="F3942" s="56">
        <v>0</v>
      </c>
      <c r="G3942" s="48"/>
      <c r="H3942" s="48"/>
      <c r="I3942" s="48"/>
      <c r="J3942" s="48"/>
      <c r="L3942" s="65"/>
    </row>
    <row r="3943" spans="5:12">
      <c r="E3943" s="49">
        <v>45062.378472208831</v>
      </c>
      <c r="F3943" s="56">
        <v>0</v>
      </c>
      <c r="G3943" s="48"/>
      <c r="H3943" s="48"/>
      <c r="I3943" s="48"/>
      <c r="J3943" s="48"/>
      <c r="L3943" s="65"/>
    </row>
    <row r="3944" spans="5:12">
      <c r="E3944" s="49">
        <v>45062.38194443105</v>
      </c>
      <c r="F3944" s="56">
        <v>0</v>
      </c>
      <c r="G3944" s="48"/>
      <c r="H3944" s="48"/>
      <c r="I3944" s="48"/>
      <c r="J3944" s="48"/>
      <c r="L3944" s="65"/>
    </row>
    <row r="3945" spans="5:12">
      <c r="E3945" s="49">
        <v>45062.385416653269</v>
      </c>
      <c r="F3945" s="56">
        <v>0</v>
      </c>
      <c r="G3945" s="48"/>
      <c r="H3945" s="48"/>
      <c r="I3945" s="48"/>
      <c r="J3945" s="48"/>
      <c r="L3945" s="65"/>
    </row>
    <row r="3946" spans="5:12">
      <c r="E3946" s="49">
        <v>45062.388888875488</v>
      </c>
      <c r="F3946" s="56">
        <v>0</v>
      </c>
      <c r="G3946" s="48"/>
      <c r="H3946" s="48"/>
      <c r="I3946" s="48"/>
      <c r="J3946" s="48"/>
      <c r="L3946" s="65"/>
    </row>
    <row r="3947" spans="5:12">
      <c r="E3947" s="49">
        <v>45062.392361097707</v>
      </c>
      <c r="F3947" s="56">
        <v>0</v>
      </c>
      <c r="G3947" s="48"/>
      <c r="H3947" s="48"/>
      <c r="I3947" s="48"/>
      <c r="J3947" s="48"/>
      <c r="L3947" s="65"/>
    </row>
    <row r="3948" spans="5:12">
      <c r="E3948" s="49">
        <v>45062.395833319926</v>
      </c>
      <c r="F3948" s="56">
        <v>0</v>
      </c>
      <c r="G3948" s="48"/>
      <c r="H3948" s="48"/>
      <c r="I3948" s="48"/>
      <c r="J3948" s="48"/>
      <c r="L3948" s="65"/>
    </row>
    <row r="3949" spans="5:12">
      <c r="E3949" s="49">
        <v>45062.399305542145</v>
      </c>
      <c r="F3949" s="56">
        <v>0</v>
      </c>
      <c r="G3949" s="48"/>
      <c r="H3949" s="48"/>
      <c r="I3949" s="48"/>
      <c r="J3949" s="48"/>
      <c r="L3949" s="65"/>
    </row>
    <row r="3950" spans="5:12">
      <c r="E3950" s="49">
        <v>45062.402777764364</v>
      </c>
      <c r="F3950" s="56">
        <v>0</v>
      </c>
      <c r="G3950" s="48"/>
      <c r="H3950" s="48"/>
      <c r="I3950" s="48"/>
      <c r="J3950" s="48"/>
      <c r="L3950" s="65"/>
    </row>
    <row r="3951" spans="5:12">
      <c r="E3951" s="49">
        <v>45062.406249986583</v>
      </c>
      <c r="F3951" s="56">
        <v>0</v>
      </c>
      <c r="G3951" s="48"/>
      <c r="H3951" s="48"/>
      <c r="I3951" s="48"/>
      <c r="J3951" s="48"/>
      <c r="L3951" s="65"/>
    </row>
    <row r="3952" spans="5:12">
      <c r="E3952" s="49">
        <v>45062.409722208802</v>
      </c>
      <c r="F3952" s="56">
        <v>0</v>
      </c>
      <c r="G3952" s="48"/>
      <c r="H3952" s="48"/>
      <c r="I3952" s="48"/>
      <c r="J3952" s="48"/>
      <c r="L3952" s="65"/>
    </row>
    <row r="3953" spans="5:12">
      <c r="E3953" s="49">
        <v>45062.413194431021</v>
      </c>
      <c r="F3953" s="56">
        <v>0</v>
      </c>
      <c r="G3953" s="48"/>
      <c r="H3953" s="48"/>
      <c r="I3953" s="48"/>
      <c r="J3953" s="48"/>
      <c r="L3953" s="65"/>
    </row>
    <row r="3954" spans="5:12">
      <c r="E3954" s="49">
        <v>45062.41666665324</v>
      </c>
      <c r="F3954" s="56">
        <v>0</v>
      </c>
      <c r="G3954" s="48"/>
      <c r="H3954" s="48"/>
      <c r="I3954" s="48"/>
      <c r="J3954" s="48"/>
      <c r="L3954" s="65"/>
    </row>
    <row r="3955" spans="5:12">
      <c r="E3955" s="49">
        <v>45062.420138875459</v>
      </c>
      <c r="F3955" s="56">
        <v>0</v>
      </c>
      <c r="G3955" s="48"/>
      <c r="H3955" s="48"/>
      <c r="I3955" s="48"/>
      <c r="J3955" s="48"/>
      <c r="L3955" s="65"/>
    </row>
    <row r="3956" spans="5:12">
      <c r="E3956" s="49">
        <v>45062.423611097678</v>
      </c>
      <c r="F3956" s="56">
        <v>0</v>
      </c>
      <c r="G3956" s="48"/>
      <c r="H3956" s="48"/>
      <c r="I3956" s="48"/>
      <c r="J3956" s="48"/>
      <c r="L3956" s="65"/>
    </row>
    <row r="3957" spans="5:12">
      <c r="E3957" s="49">
        <v>45062.427083319897</v>
      </c>
      <c r="F3957" s="56">
        <v>0</v>
      </c>
      <c r="G3957" s="48"/>
      <c r="H3957" s="48"/>
      <c r="I3957" s="48"/>
      <c r="J3957" s="48"/>
      <c r="L3957" s="65"/>
    </row>
    <row r="3958" spans="5:12">
      <c r="E3958" s="49">
        <v>45062.430555542116</v>
      </c>
      <c r="F3958" s="56">
        <v>0</v>
      </c>
      <c r="G3958" s="48"/>
      <c r="H3958" s="48"/>
      <c r="I3958" s="48"/>
      <c r="J3958" s="48"/>
      <c r="L3958" s="65"/>
    </row>
    <row r="3959" spans="5:12">
      <c r="E3959" s="49">
        <v>45062.434027764335</v>
      </c>
      <c r="F3959" s="56">
        <v>0</v>
      </c>
      <c r="G3959" s="48"/>
      <c r="H3959" s="48"/>
      <c r="I3959" s="48"/>
      <c r="J3959" s="48"/>
      <c r="L3959" s="65"/>
    </row>
    <row r="3960" spans="5:12">
      <c r="E3960" s="49">
        <v>45062.437499986554</v>
      </c>
      <c r="F3960" s="56">
        <v>0</v>
      </c>
      <c r="G3960" s="48"/>
      <c r="H3960" s="48"/>
      <c r="I3960" s="48"/>
      <c r="J3960" s="48"/>
      <c r="L3960" s="65"/>
    </row>
    <row r="3961" spans="5:12">
      <c r="E3961" s="49">
        <v>45062.440972208773</v>
      </c>
      <c r="F3961" s="56">
        <v>0</v>
      </c>
      <c r="G3961" s="48"/>
      <c r="H3961" s="48"/>
      <c r="I3961" s="48"/>
      <c r="J3961" s="48"/>
      <c r="L3961" s="65"/>
    </row>
    <row r="3962" spans="5:12">
      <c r="E3962" s="49">
        <v>45062.444444430992</v>
      </c>
      <c r="F3962" s="56">
        <v>0</v>
      </c>
      <c r="G3962" s="48"/>
      <c r="H3962" s="48"/>
      <c r="I3962" s="48"/>
      <c r="J3962" s="48"/>
      <c r="L3962" s="65"/>
    </row>
    <row r="3963" spans="5:12">
      <c r="E3963" s="49">
        <v>45062.447916653211</v>
      </c>
      <c r="F3963" s="56">
        <v>0</v>
      </c>
      <c r="G3963" s="48"/>
      <c r="H3963" s="48"/>
      <c r="I3963" s="48"/>
      <c r="J3963" s="48"/>
      <c r="L3963" s="65"/>
    </row>
    <row r="3964" spans="5:12">
      <c r="E3964" s="49">
        <v>45062.45138887543</v>
      </c>
      <c r="F3964" s="56">
        <v>0</v>
      </c>
      <c r="G3964" s="48"/>
      <c r="H3964" s="48"/>
      <c r="I3964" s="48"/>
      <c r="J3964" s="48"/>
      <c r="L3964" s="65"/>
    </row>
    <row r="3965" spans="5:12">
      <c r="E3965" s="49">
        <v>45062.454861097649</v>
      </c>
      <c r="F3965" s="56">
        <v>0</v>
      </c>
      <c r="G3965" s="48"/>
      <c r="H3965" s="48"/>
      <c r="I3965" s="48"/>
      <c r="J3965" s="48"/>
      <c r="L3965" s="65"/>
    </row>
    <row r="3966" spans="5:12">
      <c r="E3966" s="49">
        <v>45062.458333319868</v>
      </c>
      <c r="F3966" s="56">
        <v>0</v>
      </c>
      <c r="G3966" s="48"/>
      <c r="H3966" s="48"/>
      <c r="I3966" s="48"/>
      <c r="J3966" s="48"/>
      <c r="L3966" s="65"/>
    </row>
    <row r="3967" spans="5:12">
      <c r="E3967" s="49">
        <v>45062.461805542087</v>
      </c>
      <c r="F3967" s="56">
        <v>0</v>
      </c>
      <c r="G3967" s="48"/>
      <c r="H3967" s="48"/>
      <c r="I3967" s="48"/>
      <c r="J3967" s="48"/>
      <c r="L3967" s="65"/>
    </row>
    <row r="3968" spans="5:12">
      <c r="E3968" s="49">
        <v>45062.465277764306</v>
      </c>
      <c r="F3968" s="56">
        <v>0</v>
      </c>
      <c r="G3968" s="48"/>
      <c r="H3968" s="48"/>
      <c r="I3968" s="48"/>
      <c r="J3968" s="48"/>
      <c r="L3968" s="65"/>
    </row>
    <row r="3969" spans="5:12">
      <c r="E3969" s="49">
        <v>45062.468749986525</v>
      </c>
      <c r="F3969" s="56">
        <v>0</v>
      </c>
      <c r="G3969" s="48"/>
      <c r="H3969" s="48"/>
      <c r="I3969" s="48"/>
      <c r="J3969" s="48"/>
      <c r="L3969" s="65"/>
    </row>
    <row r="3970" spans="5:12">
      <c r="E3970" s="49">
        <v>45062.472222208744</v>
      </c>
      <c r="F3970" s="56">
        <v>0</v>
      </c>
      <c r="G3970" s="48"/>
      <c r="H3970" s="48"/>
      <c r="I3970" s="48"/>
      <c r="J3970" s="48"/>
      <c r="L3970" s="65"/>
    </row>
    <row r="3971" spans="5:12">
      <c r="E3971" s="49">
        <v>45062.475694430963</v>
      </c>
      <c r="F3971" s="56">
        <v>0</v>
      </c>
      <c r="G3971" s="48"/>
      <c r="H3971" s="48"/>
      <c r="I3971" s="48"/>
      <c r="J3971" s="48"/>
      <c r="L3971" s="65"/>
    </row>
    <row r="3972" spans="5:12">
      <c r="E3972" s="49">
        <v>45062.479166653182</v>
      </c>
      <c r="F3972" s="56">
        <v>0</v>
      </c>
      <c r="G3972" s="48"/>
      <c r="H3972" s="48"/>
      <c r="I3972" s="48"/>
      <c r="J3972" s="48"/>
      <c r="L3972" s="65"/>
    </row>
    <row r="3973" spans="5:12">
      <c r="E3973" s="49">
        <v>45062.482638875401</v>
      </c>
      <c r="F3973" s="56">
        <v>0</v>
      </c>
      <c r="G3973" s="48"/>
      <c r="H3973" s="48"/>
      <c r="I3973" s="48"/>
      <c r="J3973" s="48"/>
      <c r="L3973" s="65"/>
    </row>
    <row r="3974" spans="5:12">
      <c r="E3974" s="49">
        <v>45062.48611109762</v>
      </c>
      <c r="F3974" s="56">
        <v>0</v>
      </c>
      <c r="G3974" s="48"/>
      <c r="H3974" s="48"/>
      <c r="I3974" s="48"/>
      <c r="J3974" s="48"/>
      <c r="L3974" s="65"/>
    </row>
    <row r="3975" spans="5:12">
      <c r="E3975" s="49">
        <v>45062.489583319839</v>
      </c>
      <c r="F3975" s="56">
        <v>0</v>
      </c>
      <c r="G3975" s="48"/>
      <c r="H3975" s="48"/>
      <c r="I3975" s="48"/>
      <c r="J3975" s="48"/>
      <c r="L3975" s="65"/>
    </row>
    <row r="3976" spans="5:12">
      <c r="E3976" s="49">
        <v>45062.493055542058</v>
      </c>
      <c r="F3976" s="56">
        <v>0</v>
      </c>
      <c r="G3976" s="48"/>
      <c r="H3976" s="48"/>
      <c r="I3976" s="48"/>
      <c r="J3976" s="48"/>
      <c r="L3976" s="65"/>
    </row>
    <row r="3977" spans="5:12">
      <c r="E3977" s="49">
        <v>45062.496527764277</v>
      </c>
      <c r="F3977" s="56">
        <v>0</v>
      </c>
      <c r="G3977" s="48"/>
      <c r="H3977" s="48"/>
      <c r="I3977" s="48"/>
      <c r="J3977" s="48"/>
      <c r="L3977" s="65"/>
    </row>
    <row r="3978" spans="5:12">
      <c r="E3978" s="49">
        <v>45062.499999986496</v>
      </c>
      <c r="F3978" s="56">
        <v>0</v>
      </c>
      <c r="G3978" s="48"/>
      <c r="H3978" s="48"/>
      <c r="I3978" s="48"/>
      <c r="J3978" s="48"/>
      <c r="L3978" s="65"/>
    </row>
    <row r="3979" spans="5:12">
      <c r="E3979" s="49">
        <v>45062.503472208715</v>
      </c>
      <c r="F3979" s="56">
        <v>0</v>
      </c>
      <c r="G3979" s="48"/>
      <c r="H3979" s="48"/>
      <c r="I3979" s="48"/>
      <c r="J3979" s="48"/>
      <c r="L3979" s="65"/>
    </row>
    <row r="3980" spans="5:12">
      <c r="E3980" s="49">
        <v>45062.506944430934</v>
      </c>
      <c r="F3980" s="56">
        <v>0</v>
      </c>
      <c r="G3980" s="48"/>
      <c r="H3980" s="48"/>
      <c r="I3980" s="48"/>
      <c r="J3980" s="48"/>
      <c r="L3980" s="65"/>
    </row>
    <row r="3981" spans="5:12">
      <c r="E3981" s="49">
        <v>45062.510416653153</v>
      </c>
      <c r="F3981" s="56">
        <v>0</v>
      </c>
      <c r="G3981" s="48"/>
      <c r="H3981" s="48"/>
      <c r="I3981" s="48"/>
      <c r="J3981" s="48"/>
      <c r="L3981" s="65"/>
    </row>
    <row r="3982" spans="5:12">
      <c r="E3982" s="49">
        <v>45062.513888875372</v>
      </c>
      <c r="F3982" s="56">
        <v>0</v>
      </c>
      <c r="G3982" s="48"/>
      <c r="H3982" s="48"/>
      <c r="I3982" s="48"/>
      <c r="J3982" s="48"/>
      <c r="L3982" s="65"/>
    </row>
    <row r="3983" spans="5:12">
      <c r="E3983" s="49">
        <v>45062.517361097591</v>
      </c>
      <c r="F3983" s="56">
        <v>0</v>
      </c>
      <c r="G3983" s="48"/>
      <c r="H3983" s="48"/>
      <c r="I3983" s="48"/>
      <c r="J3983" s="48"/>
      <c r="L3983" s="65"/>
    </row>
    <row r="3984" spans="5:12">
      <c r="E3984" s="49">
        <v>45062.52083331981</v>
      </c>
      <c r="F3984" s="56">
        <v>0</v>
      </c>
      <c r="G3984" s="48"/>
      <c r="H3984" s="48"/>
      <c r="I3984" s="48"/>
      <c r="J3984" s="48"/>
      <c r="L3984" s="65"/>
    </row>
    <row r="3985" spans="5:12">
      <c r="E3985" s="49">
        <v>45062.524305542029</v>
      </c>
      <c r="F3985" s="56">
        <v>0</v>
      </c>
      <c r="G3985" s="48"/>
      <c r="H3985" s="48"/>
      <c r="I3985" s="48"/>
      <c r="J3985" s="48"/>
      <c r="L3985" s="65"/>
    </row>
    <row r="3986" spans="5:12">
      <c r="E3986" s="49">
        <v>45062.527777764248</v>
      </c>
      <c r="F3986" s="56">
        <v>0</v>
      </c>
      <c r="G3986" s="48"/>
      <c r="H3986" s="48"/>
      <c r="I3986" s="48"/>
      <c r="J3986" s="48"/>
      <c r="L3986" s="65"/>
    </row>
    <row r="3987" spans="5:12">
      <c r="E3987" s="49">
        <v>45062.531249986467</v>
      </c>
      <c r="F3987" s="56">
        <v>0</v>
      </c>
      <c r="G3987" s="48"/>
      <c r="H3987" s="48"/>
      <c r="I3987" s="48"/>
      <c r="J3987" s="48"/>
      <c r="L3987" s="65"/>
    </row>
    <row r="3988" spans="5:12">
      <c r="E3988" s="49">
        <v>45062.534722208686</v>
      </c>
      <c r="F3988" s="56">
        <v>0</v>
      </c>
      <c r="G3988" s="48"/>
      <c r="H3988" s="48"/>
      <c r="I3988" s="48"/>
      <c r="J3988" s="48"/>
      <c r="L3988" s="65"/>
    </row>
    <row r="3989" spans="5:12">
      <c r="E3989" s="49">
        <v>45062.538194430905</v>
      </c>
      <c r="F3989" s="56">
        <v>0</v>
      </c>
      <c r="G3989" s="48"/>
      <c r="H3989" s="48"/>
      <c r="I3989" s="48"/>
      <c r="J3989" s="48"/>
      <c r="L3989" s="65"/>
    </row>
    <row r="3990" spans="5:12">
      <c r="E3990" s="49">
        <v>45062.541666653124</v>
      </c>
      <c r="F3990" s="56">
        <v>0</v>
      </c>
      <c r="G3990" s="48"/>
      <c r="H3990" s="48"/>
      <c r="I3990" s="48"/>
      <c r="J3990" s="48"/>
      <c r="L3990" s="65"/>
    </row>
    <row r="3991" spans="5:12">
      <c r="E3991" s="49">
        <v>45062.545138875343</v>
      </c>
      <c r="F3991" s="56">
        <v>0</v>
      </c>
      <c r="G3991" s="48"/>
      <c r="H3991" s="48"/>
      <c r="I3991" s="48"/>
      <c r="J3991" s="48"/>
      <c r="L3991" s="65"/>
    </row>
    <row r="3992" spans="5:12">
      <c r="E3992" s="49">
        <v>45062.548611097562</v>
      </c>
      <c r="F3992" s="56">
        <v>0</v>
      </c>
      <c r="G3992" s="48"/>
      <c r="H3992" s="48"/>
      <c r="I3992" s="48"/>
      <c r="J3992" s="48"/>
      <c r="L3992" s="65"/>
    </row>
    <row r="3993" spans="5:12">
      <c r="E3993" s="49">
        <v>45062.552083319781</v>
      </c>
      <c r="F3993" s="56">
        <v>0</v>
      </c>
      <c r="G3993" s="48"/>
      <c r="H3993" s="48"/>
      <c r="I3993" s="48"/>
      <c r="J3993" s="48"/>
      <c r="L3993" s="65"/>
    </row>
    <row r="3994" spans="5:12">
      <c r="E3994" s="49">
        <v>45062.555555542</v>
      </c>
      <c r="F3994" s="56">
        <v>0</v>
      </c>
      <c r="G3994" s="48"/>
      <c r="H3994" s="48"/>
      <c r="I3994" s="48"/>
      <c r="J3994" s="48"/>
      <c r="L3994" s="65"/>
    </row>
    <row r="3995" spans="5:12">
      <c r="E3995" s="49">
        <v>45062.559027764219</v>
      </c>
      <c r="F3995" s="56">
        <v>0</v>
      </c>
      <c r="G3995" s="48"/>
      <c r="H3995" s="48"/>
      <c r="I3995" s="48"/>
      <c r="J3995" s="48"/>
      <c r="L3995" s="65"/>
    </row>
    <row r="3996" spans="5:12">
      <c r="E3996" s="49">
        <v>45062.562499986438</v>
      </c>
      <c r="F3996" s="56">
        <v>0</v>
      </c>
      <c r="G3996" s="48"/>
      <c r="H3996" s="48"/>
      <c r="I3996" s="48"/>
      <c r="J3996" s="48"/>
      <c r="L3996" s="65"/>
    </row>
    <row r="3997" spans="5:12">
      <c r="E3997" s="49">
        <v>45062.565972208657</v>
      </c>
      <c r="F3997" s="56">
        <v>0</v>
      </c>
      <c r="G3997" s="48"/>
      <c r="H3997" s="48"/>
      <c r="I3997" s="48"/>
      <c r="J3997" s="48"/>
      <c r="L3997" s="65"/>
    </row>
    <row r="3998" spans="5:12">
      <c r="E3998" s="49">
        <v>45062.569444430876</v>
      </c>
      <c r="F3998" s="56">
        <v>0</v>
      </c>
      <c r="G3998" s="48"/>
      <c r="H3998" s="48"/>
      <c r="I3998" s="48"/>
      <c r="J3998" s="48"/>
      <c r="L3998" s="65"/>
    </row>
    <row r="3999" spans="5:12">
      <c r="E3999" s="49">
        <v>45062.572916653095</v>
      </c>
      <c r="F3999" s="56">
        <v>0</v>
      </c>
      <c r="G3999" s="48"/>
      <c r="H3999" s="48"/>
      <c r="I3999" s="48"/>
      <c r="J3999" s="48"/>
      <c r="L3999" s="65"/>
    </row>
    <row r="4000" spans="5:12">
      <c r="E4000" s="49">
        <v>45062.576388875314</v>
      </c>
      <c r="F4000" s="56">
        <v>0</v>
      </c>
      <c r="G4000" s="48"/>
      <c r="H4000" s="48"/>
      <c r="I4000" s="48"/>
      <c r="J4000" s="48"/>
      <c r="L4000" s="65"/>
    </row>
    <row r="4001" spans="5:12">
      <c r="E4001" s="49">
        <v>45062.579861097533</v>
      </c>
      <c r="F4001" s="56">
        <v>0</v>
      </c>
      <c r="G4001" s="48"/>
      <c r="H4001" s="48"/>
      <c r="I4001" s="48"/>
      <c r="J4001" s="48"/>
      <c r="L4001" s="65"/>
    </row>
    <row r="4002" spans="5:12">
      <c r="E4002" s="49">
        <v>45062.583333319752</v>
      </c>
      <c r="F4002" s="56">
        <v>0</v>
      </c>
      <c r="G4002" s="48"/>
      <c r="H4002" s="48"/>
      <c r="I4002" s="48"/>
      <c r="J4002" s="48"/>
      <c r="L4002" s="65"/>
    </row>
    <row r="4003" spans="5:12">
      <c r="E4003" s="49">
        <v>45062.586805541971</v>
      </c>
      <c r="F4003" s="56">
        <v>0</v>
      </c>
      <c r="G4003" s="48"/>
      <c r="H4003" s="48"/>
      <c r="I4003" s="48"/>
      <c r="J4003" s="48"/>
      <c r="L4003" s="65"/>
    </row>
    <row r="4004" spans="5:12">
      <c r="E4004" s="49">
        <v>45062.59027776419</v>
      </c>
      <c r="F4004" s="56">
        <v>0</v>
      </c>
      <c r="G4004" s="48"/>
      <c r="H4004" s="48"/>
      <c r="I4004" s="48"/>
      <c r="J4004" s="48"/>
      <c r="L4004" s="65"/>
    </row>
    <row r="4005" spans="5:12">
      <c r="E4005" s="49">
        <v>45062.593749986409</v>
      </c>
      <c r="F4005" s="56">
        <v>0</v>
      </c>
      <c r="G4005" s="48"/>
      <c r="H4005" s="48"/>
      <c r="I4005" s="48"/>
      <c r="J4005" s="48"/>
      <c r="L4005" s="65"/>
    </row>
    <row r="4006" spans="5:12">
      <c r="E4006" s="49">
        <v>45062.597222208627</v>
      </c>
      <c r="F4006" s="56">
        <v>0</v>
      </c>
      <c r="G4006" s="48"/>
      <c r="H4006" s="48"/>
      <c r="I4006" s="48"/>
      <c r="J4006" s="48"/>
      <c r="L4006" s="65"/>
    </row>
    <row r="4007" spans="5:12">
      <c r="E4007" s="49">
        <v>45062.600694430846</v>
      </c>
      <c r="F4007" s="56">
        <v>0</v>
      </c>
      <c r="G4007" s="48"/>
      <c r="H4007" s="48"/>
      <c r="I4007" s="48"/>
      <c r="J4007" s="48"/>
      <c r="L4007" s="65"/>
    </row>
    <row r="4008" spans="5:12">
      <c r="E4008" s="49">
        <v>45062.604166653065</v>
      </c>
      <c r="F4008" s="56">
        <v>0</v>
      </c>
      <c r="G4008" s="48"/>
      <c r="H4008" s="48"/>
      <c r="I4008" s="48"/>
      <c r="J4008" s="48"/>
      <c r="L4008" s="65"/>
    </row>
    <row r="4009" spans="5:12">
      <c r="E4009" s="49">
        <v>45062.607638875284</v>
      </c>
      <c r="F4009" s="56">
        <v>0</v>
      </c>
      <c r="G4009" s="48"/>
      <c r="H4009" s="48"/>
      <c r="I4009" s="48"/>
      <c r="J4009" s="48"/>
      <c r="L4009" s="65"/>
    </row>
    <row r="4010" spans="5:12">
      <c r="E4010" s="49">
        <v>45062.611111097503</v>
      </c>
      <c r="F4010" s="56">
        <v>0</v>
      </c>
      <c r="G4010" s="48"/>
      <c r="H4010" s="48"/>
      <c r="I4010" s="48"/>
      <c r="J4010" s="48"/>
      <c r="L4010" s="65"/>
    </row>
    <row r="4011" spans="5:12">
      <c r="E4011" s="49">
        <v>45062.614583319722</v>
      </c>
      <c r="F4011" s="56">
        <v>0</v>
      </c>
      <c r="G4011" s="48"/>
      <c r="H4011" s="48"/>
      <c r="I4011" s="48"/>
      <c r="J4011" s="48"/>
      <c r="L4011" s="65"/>
    </row>
    <row r="4012" spans="5:12">
      <c r="E4012" s="49">
        <v>45062.618055541941</v>
      </c>
      <c r="F4012" s="56">
        <v>0</v>
      </c>
      <c r="G4012" s="48"/>
      <c r="H4012" s="48"/>
      <c r="I4012" s="48"/>
      <c r="J4012" s="48"/>
      <c r="L4012" s="65"/>
    </row>
    <row r="4013" spans="5:12">
      <c r="E4013" s="49">
        <v>45062.62152776416</v>
      </c>
      <c r="F4013" s="56">
        <v>0</v>
      </c>
      <c r="G4013" s="48"/>
      <c r="H4013" s="48"/>
      <c r="I4013" s="48"/>
      <c r="J4013" s="48"/>
      <c r="L4013" s="65"/>
    </row>
    <row r="4014" spans="5:12">
      <c r="E4014" s="49">
        <v>45062.624999986379</v>
      </c>
      <c r="F4014" s="56">
        <v>0</v>
      </c>
      <c r="G4014" s="48"/>
      <c r="H4014" s="48"/>
      <c r="I4014" s="48"/>
      <c r="J4014" s="48"/>
      <c r="L4014" s="65"/>
    </row>
    <row r="4015" spans="5:12">
      <c r="E4015" s="49">
        <v>45062.628472208598</v>
      </c>
      <c r="F4015" s="56">
        <v>0</v>
      </c>
      <c r="G4015" s="48"/>
      <c r="H4015" s="48"/>
      <c r="I4015" s="48"/>
      <c r="J4015" s="48"/>
      <c r="L4015" s="65"/>
    </row>
    <row r="4016" spans="5:12">
      <c r="E4016" s="49">
        <v>45062.631944430817</v>
      </c>
      <c r="F4016" s="56">
        <v>0</v>
      </c>
      <c r="G4016" s="48"/>
      <c r="H4016" s="48"/>
      <c r="I4016" s="48"/>
      <c r="J4016" s="48"/>
      <c r="L4016" s="65"/>
    </row>
    <row r="4017" spans="5:12">
      <c r="E4017" s="49">
        <v>45062.635416653036</v>
      </c>
      <c r="F4017" s="56">
        <v>0</v>
      </c>
      <c r="G4017" s="48"/>
      <c r="H4017" s="48"/>
      <c r="I4017" s="48"/>
      <c r="J4017" s="48"/>
      <c r="L4017" s="65"/>
    </row>
    <row r="4018" spans="5:12">
      <c r="E4018" s="49">
        <v>45062.638888875255</v>
      </c>
      <c r="F4018" s="56">
        <v>0</v>
      </c>
      <c r="G4018" s="48"/>
      <c r="H4018" s="48"/>
      <c r="I4018" s="48"/>
      <c r="J4018" s="48"/>
      <c r="L4018" s="65"/>
    </row>
    <row r="4019" spans="5:12">
      <c r="E4019" s="49">
        <v>45062.642361097474</v>
      </c>
      <c r="F4019" s="56">
        <v>0</v>
      </c>
      <c r="G4019" s="48"/>
      <c r="H4019" s="48"/>
      <c r="I4019" s="48"/>
      <c r="J4019" s="48"/>
      <c r="L4019" s="65"/>
    </row>
    <row r="4020" spans="5:12">
      <c r="E4020" s="49">
        <v>45062.645833319693</v>
      </c>
      <c r="F4020" s="56">
        <v>0</v>
      </c>
      <c r="G4020" s="48"/>
      <c r="H4020" s="48"/>
      <c r="I4020" s="48"/>
      <c r="J4020" s="48"/>
      <c r="L4020" s="65"/>
    </row>
    <row r="4021" spans="5:12">
      <c r="E4021" s="49">
        <v>45062.649305541912</v>
      </c>
      <c r="F4021" s="56">
        <v>0</v>
      </c>
      <c r="G4021" s="48"/>
      <c r="H4021" s="48"/>
      <c r="I4021" s="48"/>
      <c r="J4021" s="48"/>
      <c r="L4021" s="65"/>
    </row>
    <row r="4022" spans="5:12">
      <c r="E4022" s="49">
        <v>45062.652777764131</v>
      </c>
      <c r="F4022" s="56">
        <v>0</v>
      </c>
      <c r="G4022" s="48"/>
      <c r="H4022" s="48"/>
      <c r="I4022" s="48"/>
      <c r="J4022" s="48"/>
      <c r="L4022" s="65"/>
    </row>
    <row r="4023" spans="5:12">
      <c r="E4023" s="49">
        <v>45062.65624998635</v>
      </c>
      <c r="F4023" s="56">
        <v>0</v>
      </c>
      <c r="G4023" s="48"/>
      <c r="H4023" s="48"/>
      <c r="I4023" s="48"/>
      <c r="J4023" s="48"/>
      <c r="L4023" s="65"/>
    </row>
    <row r="4024" spans="5:12">
      <c r="E4024" s="49">
        <v>45062.659722208569</v>
      </c>
      <c r="F4024" s="56">
        <v>0</v>
      </c>
      <c r="G4024" s="48"/>
      <c r="H4024" s="48"/>
      <c r="I4024" s="48"/>
      <c r="J4024" s="48"/>
      <c r="L4024" s="65"/>
    </row>
    <row r="4025" spans="5:12">
      <c r="E4025" s="49">
        <v>45062.663194430788</v>
      </c>
      <c r="F4025" s="56">
        <v>0</v>
      </c>
      <c r="G4025" s="48"/>
      <c r="H4025" s="48"/>
      <c r="I4025" s="48"/>
      <c r="J4025" s="48"/>
      <c r="L4025" s="65"/>
    </row>
    <row r="4026" spans="5:12">
      <c r="E4026" s="49">
        <v>45062.666666653007</v>
      </c>
      <c r="F4026" s="56">
        <v>0</v>
      </c>
      <c r="G4026" s="48"/>
      <c r="H4026" s="48"/>
      <c r="I4026" s="48"/>
      <c r="J4026" s="48"/>
      <c r="L4026" s="65"/>
    </row>
    <row r="4027" spans="5:12">
      <c r="E4027" s="49">
        <v>45062.670138875226</v>
      </c>
      <c r="F4027" s="56">
        <v>0</v>
      </c>
      <c r="G4027" s="48"/>
      <c r="H4027" s="48"/>
      <c r="I4027" s="48"/>
      <c r="J4027" s="48"/>
      <c r="L4027" s="65"/>
    </row>
    <row r="4028" spans="5:12">
      <c r="E4028" s="49">
        <v>45062.673611097445</v>
      </c>
      <c r="F4028" s="56">
        <v>0</v>
      </c>
      <c r="G4028" s="48"/>
      <c r="H4028" s="48"/>
      <c r="I4028" s="48"/>
      <c r="J4028" s="48"/>
      <c r="L4028" s="65"/>
    </row>
    <row r="4029" spans="5:12">
      <c r="E4029" s="49">
        <v>45062.677083319664</v>
      </c>
      <c r="F4029" s="56">
        <v>0</v>
      </c>
      <c r="G4029" s="48"/>
      <c r="H4029" s="48"/>
      <c r="I4029" s="48"/>
      <c r="J4029" s="48"/>
      <c r="L4029" s="65"/>
    </row>
    <row r="4030" spans="5:12">
      <c r="E4030" s="49">
        <v>45062.680555541883</v>
      </c>
      <c r="F4030" s="56">
        <v>0</v>
      </c>
      <c r="G4030" s="48"/>
      <c r="H4030" s="48"/>
      <c r="I4030" s="48"/>
      <c r="J4030" s="48"/>
      <c r="L4030" s="65"/>
    </row>
    <row r="4031" spans="5:12">
      <c r="E4031" s="49">
        <v>45062.684027764102</v>
      </c>
      <c r="F4031" s="56">
        <v>0</v>
      </c>
      <c r="G4031" s="48"/>
      <c r="H4031" s="48"/>
      <c r="I4031" s="48"/>
      <c r="J4031" s="48"/>
      <c r="L4031" s="65"/>
    </row>
    <row r="4032" spans="5:12">
      <c r="E4032" s="49">
        <v>45062.687499986321</v>
      </c>
      <c r="F4032" s="56">
        <v>0</v>
      </c>
      <c r="G4032" s="48"/>
      <c r="H4032" s="48"/>
      <c r="I4032" s="48"/>
      <c r="J4032" s="48"/>
      <c r="L4032" s="65"/>
    </row>
    <row r="4033" spans="5:12">
      <c r="E4033" s="49">
        <v>45062.69097220854</v>
      </c>
      <c r="F4033" s="56">
        <v>0</v>
      </c>
      <c r="G4033" s="48"/>
      <c r="H4033" s="48"/>
      <c r="I4033" s="48"/>
      <c r="J4033" s="48"/>
      <c r="L4033" s="65"/>
    </row>
    <row r="4034" spans="5:12">
      <c r="E4034" s="49">
        <v>45062.694444430759</v>
      </c>
      <c r="F4034" s="56">
        <v>0</v>
      </c>
      <c r="G4034" s="48"/>
      <c r="H4034" s="48"/>
      <c r="I4034" s="48"/>
      <c r="J4034" s="48"/>
      <c r="L4034" s="65"/>
    </row>
    <row r="4035" spans="5:12">
      <c r="E4035" s="49">
        <v>45062.697916652978</v>
      </c>
      <c r="F4035" s="56">
        <v>0</v>
      </c>
      <c r="G4035" s="48"/>
      <c r="H4035" s="48"/>
      <c r="I4035" s="48"/>
      <c r="J4035" s="48"/>
      <c r="L4035" s="65"/>
    </row>
    <row r="4036" spans="5:12">
      <c r="E4036" s="49">
        <v>45062.701388875197</v>
      </c>
      <c r="F4036" s="56">
        <v>0</v>
      </c>
      <c r="G4036" s="48"/>
      <c r="H4036" s="48"/>
      <c r="I4036" s="48"/>
      <c r="J4036" s="48"/>
      <c r="L4036" s="65"/>
    </row>
    <row r="4037" spans="5:12">
      <c r="E4037" s="49">
        <v>45062.704861097416</v>
      </c>
      <c r="F4037" s="56">
        <v>0</v>
      </c>
      <c r="G4037" s="48"/>
      <c r="H4037" s="48"/>
      <c r="I4037" s="48"/>
      <c r="J4037" s="48"/>
      <c r="L4037" s="65"/>
    </row>
    <row r="4038" spans="5:12">
      <c r="E4038" s="49">
        <v>45062.708333319635</v>
      </c>
      <c r="F4038" s="56">
        <v>0</v>
      </c>
      <c r="G4038" s="48"/>
      <c r="H4038" s="48"/>
      <c r="I4038" s="48"/>
      <c r="J4038" s="48"/>
      <c r="L4038" s="65"/>
    </row>
    <row r="4039" spans="5:12">
      <c r="E4039" s="49">
        <v>45062.711805541854</v>
      </c>
      <c r="F4039" s="56">
        <v>0</v>
      </c>
      <c r="G4039" s="48"/>
      <c r="H4039" s="48"/>
      <c r="I4039" s="48"/>
      <c r="J4039" s="48"/>
      <c r="L4039" s="65"/>
    </row>
    <row r="4040" spans="5:12">
      <c r="E4040" s="49">
        <v>45062.715277764073</v>
      </c>
      <c r="F4040" s="56">
        <v>0</v>
      </c>
      <c r="G4040" s="48"/>
      <c r="H4040" s="48"/>
      <c r="I4040" s="48"/>
      <c r="J4040" s="48"/>
      <c r="L4040" s="65"/>
    </row>
    <row r="4041" spans="5:12">
      <c r="E4041" s="49">
        <v>45062.718749986292</v>
      </c>
      <c r="F4041" s="56">
        <v>0</v>
      </c>
      <c r="G4041" s="48"/>
      <c r="H4041" s="48"/>
      <c r="I4041" s="48"/>
      <c r="J4041" s="48"/>
      <c r="L4041" s="65"/>
    </row>
    <row r="4042" spans="5:12">
      <c r="E4042" s="49">
        <v>45062.722222208511</v>
      </c>
      <c r="F4042" s="56">
        <v>0</v>
      </c>
      <c r="G4042" s="48"/>
      <c r="H4042" s="48"/>
      <c r="I4042" s="48"/>
      <c r="J4042" s="48"/>
      <c r="L4042" s="65"/>
    </row>
    <row r="4043" spans="5:12">
      <c r="E4043" s="49">
        <v>45062.72569443073</v>
      </c>
      <c r="F4043" s="56">
        <v>0</v>
      </c>
      <c r="G4043" s="48"/>
      <c r="H4043" s="48"/>
      <c r="I4043" s="48"/>
      <c r="J4043" s="48"/>
      <c r="L4043" s="65"/>
    </row>
    <row r="4044" spans="5:12">
      <c r="E4044" s="49">
        <v>45062.729166652949</v>
      </c>
      <c r="F4044" s="56">
        <v>0</v>
      </c>
      <c r="G4044" s="48"/>
      <c r="H4044" s="48"/>
      <c r="I4044" s="48"/>
      <c r="J4044" s="48"/>
      <c r="L4044" s="65"/>
    </row>
    <row r="4045" spans="5:12">
      <c r="E4045" s="49">
        <v>45062.732638875168</v>
      </c>
      <c r="F4045" s="56">
        <v>0</v>
      </c>
      <c r="G4045" s="48"/>
      <c r="H4045" s="48"/>
      <c r="I4045" s="48"/>
      <c r="J4045" s="48"/>
      <c r="L4045" s="65"/>
    </row>
    <row r="4046" spans="5:12">
      <c r="E4046" s="49">
        <v>45062.736111097387</v>
      </c>
      <c r="F4046" s="56">
        <v>0</v>
      </c>
      <c r="G4046" s="48"/>
      <c r="H4046" s="48"/>
      <c r="I4046" s="48"/>
      <c r="J4046" s="48"/>
      <c r="L4046" s="65"/>
    </row>
    <row r="4047" spans="5:12">
      <c r="E4047" s="49">
        <v>45062.739583319606</v>
      </c>
      <c r="F4047" s="56">
        <v>0</v>
      </c>
      <c r="G4047" s="48"/>
      <c r="H4047" s="48"/>
      <c r="I4047" s="48"/>
      <c r="J4047" s="48"/>
      <c r="L4047" s="65"/>
    </row>
    <row r="4048" spans="5:12">
      <c r="E4048" s="49">
        <v>45062.743055541825</v>
      </c>
      <c r="F4048" s="56">
        <v>0</v>
      </c>
      <c r="G4048" s="48"/>
      <c r="H4048" s="48"/>
      <c r="I4048" s="48"/>
      <c r="J4048" s="48"/>
      <c r="L4048" s="65"/>
    </row>
    <row r="4049" spans="5:12">
      <c r="E4049" s="49">
        <v>45062.746527764044</v>
      </c>
      <c r="F4049" s="56">
        <v>0</v>
      </c>
      <c r="G4049" s="48"/>
      <c r="H4049" s="48"/>
      <c r="I4049" s="48"/>
      <c r="J4049" s="48"/>
      <c r="L4049" s="65"/>
    </row>
    <row r="4050" spans="5:12">
      <c r="E4050" s="49">
        <v>45062.749999986263</v>
      </c>
      <c r="F4050" s="56">
        <v>0</v>
      </c>
      <c r="G4050" s="48"/>
      <c r="H4050" s="48"/>
      <c r="I4050" s="48"/>
      <c r="J4050" s="48"/>
      <c r="L4050" s="65"/>
    </row>
    <row r="4051" spans="5:12">
      <c r="E4051" s="49">
        <v>45062.753472208482</v>
      </c>
      <c r="F4051" s="56">
        <v>0</v>
      </c>
      <c r="G4051" s="48"/>
      <c r="H4051" s="48"/>
      <c r="I4051" s="48"/>
      <c r="J4051" s="48"/>
      <c r="L4051" s="65"/>
    </row>
    <row r="4052" spans="5:12">
      <c r="E4052" s="49">
        <v>45062.756944430701</v>
      </c>
      <c r="F4052" s="56">
        <v>0</v>
      </c>
      <c r="G4052" s="48"/>
      <c r="H4052" s="48"/>
      <c r="I4052" s="48"/>
      <c r="J4052" s="48"/>
      <c r="L4052" s="65"/>
    </row>
    <row r="4053" spans="5:12">
      <c r="E4053" s="49">
        <v>45062.76041665292</v>
      </c>
      <c r="F4053" s="56">
        <v>0</v>
      </c>
      <c r="G4053" s="48"/>
      <c r="H4053" s="48"/>
      <c r="I4053" s="48"/>
      <c r="J4053" s="48"/>
      <c r="L4053" s="65"/>
    </row>
    <row r="4054" spans="5:12">
      <c r="E4054" s="49">
        <v>45062.763888875139</v>
      </c>
      <c r="F4054" s="56">
        <v>0</v>
      </c>
      <c r="G4054" s="48"/>
      <c r="H4054" s="48"/>
      <c r="I4054" s="48"/>
      <c r="J4054" s="48"/>
      <c r="L4054" s="65"/>
    </row>
    <row r="4055" spans="5:12">
      <c r="E4055" s="49">
        <v>45062.767361097358</v>
      </c>
      <c r="F4055" s="56">
        <v>0</v>
      </c>
      <c r="G4055" s="48"/>
      <c r="H4055" s="48"/>
      <c r="I4055" s="48"/>
      <c r="J4055" s="48"/>
      <c r="L4055" s="65"/>
    </row>
    <row r="4056" spans="5:12">
      <c r="E4056" s="49">
        <v>45062.770833319577</v>
      </c>
      <c r="F4056" s="56">
        <v>0</v>
      </c>
      <c r="G4056" s="48"/>
      <c r="H4056" s="48"/>
      <c r="I4056" s="48"/>
      <c r="J4056" s="48"/>
      <c r="L4056" s="65"/>
    </row>
    <row r="4057" spans="5:12">
      <c r="E4057" s="49">
        <v>45062.774305541796</v>
      </c>
      <c r="F4057" s="56">
        <v>0</v>
      </c>
      <c r="G4057" s="48"/>
      <c r="H4057" s="48"/>
      <c r="I4057" s="48"/>
      <c r="J4057" s="48"/>
      <c r="L4057" s="65"/>
    </row>
    <row r="4058" spans="5:12">
      <c r="E4058" s="49">
        <v>45062.777777764015</v>
      </c>
      <c r="F4058" s="56">
        <v>0</v>
      </c>
      <c r="G4058" s="48"/>
      <c r="H4058" s="48"/>
      <c r="I4058" s="48"/>
      <c r="J4058" s="48"/>
      <c r="L4058" s="65"/>
    </row>
    <row r="4059" spans="5:12">
      <c r="E4059" s="49">
        <v>45062.781249986234</v>
      </c>
      <c r="F4059" s="56">
        <v>0</v>
      </c>
      <c r="G4059" s="48"/>
      <c r="H4059" s="48"/>
      <c r="I4059" s="48"/>
      <c r="J4059" s="48"/>
      <c r="L4059" s="65"/>
    </row>
    <row r="4060" spans="5:12">
      <c r="E4060" s="49">
        <v>45062.784722208453</v>
      </c>
      <c r="F4060" s="56">
        <v>0</v>
      </c>
      <c r="G4060" s="48"/>
      <c r="H4060" s="48"/>
      <c r="I4060" s="48"/>
      <c r="J4060" s="48"/>
      <c r="L4060" s="65"/>
    </row>
    <row r="4061" spans="5:12">
      <c r="E4061" s="49">
        <v>45062.788194430672</v>
      </c>
      <c r="F4061" s="56">
        <v>0</v>
      </c>
      <c r="G4061" s="48"/>
      <c r="H4061" s="48"/>
      <c r="I4061" s="48"/>
      <c r="J4061" s="48"/>
      <c r="L4061" s="65"/>
    </row>
    <row r="4062" spans="5:12">
      <c r="E4062" s="49">
        <v>45062.791666652891</v>
      </c>
      <c r="F4062" s="56">
        <v>0</v>
      </c>
      <c r="G4062" s="48"/>
      <c r="H4062" s="48"/>
      <c r="I4062" s="48"/>
      <c r="J4062" s="48"/>
      <c r="L4062" s="65"/>
    </row>
    <row r="4063" spans="5:12">
      <c r="E4063" s="49">
        <v>45062.79513887511</v>
      </c>
      <c r="F4063" s="56">
        <v>0</v>
      </c>
      <c r="G4063" s="48"/>
      <c r="H4063" s="48"/>
      <c r="I4063" s="48"/>
      <c r="J4063" s="48"/>
      <c r="L4063" s="65"/>
    </row>
    <row r="4064" spans="5:12">
      <c r="E4064" s="49">
        <v>45062.798611097329</v>
      </c>
      <c r="F4064" s="56">
        <v>0</v>
      </c>
      <c r="G4064" s="48"/>
      <c r="H4064" s="48"/>
      <c r="I4064" s="48"/>
      <c r="J4064" s="48"/>
      <c r="L4064" s="65"/>
    </row>
    <row r="4065" spans="5:12">
      <c r="E4065" s="49">
        <v>45062.802083319548</v>
      </c>
      <c r="F4065" s="56">
        <v>0</v>
      </c>
      <c r="G4065" s="48"/>
      <c r="H4065" s="48"/>
      <c r="I4065" s="48"/>
      <c r="J4065" s="48"/>
      <c r="L4065" s="65"/>
    </row>
    <row r="4066" spans="5:12">
      <c r="E4066" s="49">
        <v>45062.805555541767</v>
      </c>
      <c r="F4066" s="56">
        <v>0</v>
      </c>
      <c r="G4066" s="48"/>
      <c r="H4066" s="48"/>
      <c r="I4066" s="48"/>
      <c r="J4066" s="48"/>
      <c r="L4066" s="65"/>
    </row>
    <row r="4067" spans="5:12">
      <c r="E4067" s="49">
        <v>45062.809027763986</v>
      </c>
      <c r="F4067" s="56">
        <v>0</v>
      </c>
      <c r="G4067" s="48"/>
      <c r="H4067" s="48"/>
      <c r="I4067" s="48"/>
      <c r="J4067" s="48"/>
      <c r="L4067" s="65"/>
    </row>
    <row r="4068" spans="5:12">
      <c r="E4068" s="49">
        <v>45062.812499986205</v>
      </c>
      <c r="F4068" s="56">
        <v>0</v>
      </c>
      <c r="G4068" s="48"/>
      <c r="H4068" s="48"/>
      <c r="I4068" s="48"/>
      <c r="J4068" s="48"/>
      <c r="L4068" s="65"/>
    </row>
    <row r="4069" spans="5:12">
      <c r="E4069" s="49">
        <v>45062.815972208424</v>
      </c>
      <c r="F4069" s="56">
        <v>0</v>
      </c>
      <c r="G4069" s="48"/>
      <c r="H4069" s="48"/>
      <c r="I4069" s="48"/>
      <c r="J4069" s="48"/>
      <c r="L4069" s="65"/>
    </row>
    <row r="4070" spans="5:12">
      <c r="E4070" s="49">
        <v>45062.819444430643</v>
      </c>
      <c r="F4070" s="56">
        <v>0</v>
      </c>
      <c r="G4070" s="48"/>
      <c r="H4070" s="48"/>
      <c r="I4070" s="48"/>
      <c r="J4070" s="48"/>
      <c r="L4070" s="65"/>
    </row>
    <row r="4071" spans="5:12">
      <c r="E4071" s="49">
        <v>45062.822916652862</v>
      </c>
      <c r="F4071" s="56">
        <v>0</v>
      </c>
      <c r="G4071" s="48"/>
      <c r="H4071" s="48"/>
      <c r="I4071" s="48"/>
      <c r="J4071" s="48"/>
      <c r="L4071" s="65"/>
    </row>
    <row r="4072" spans="5:12">
      <c r="E4072" s="49">
        <v>45062.826388875081</v>
      </c>
      <c r="F4072" s="56">
        <v>0</v>
      </c>
      <c r="G4072" s="48"/>
      <c r="H4072" s="48"/>
      <c r="I4072" s="48"/>
      <c r="J4072" s="48"/>
      <c r="L4072" s="65"/>
    </row>
    <row r="4073" spans="5:12">
      <c r="E4073" s="49">
        <v>45062.8298610973</v>
      </c>
      <c r="F4073" s="56">
        <v>0</v>
      </c>
      <c r="G4073" s="48"/>
      <c r="H4073" s="48"/>
      <c r="I4073" s="48"/>
      <c r="J4073" s="48"/>
      <c r="L4073" s="65"/>
    </row>
    <row r="4074" spans="5:12">
      <c r="E4074" s="49">
        <v>45062.833333319519</v>
      </c>
      <c r="F4074" s="56">
        <v>0</v>
      </c>
      <c r="G4074" s="48"/>
      <c r="H4074" s="48"/>
      <c r="I4074" s="48"/>
      <c r="J4074" s="48"/>
      <c r="L4074" s="65"/>
    </row>
    <row r="4075" spans="5:12">
      <c r="E4075" s="49">
        <v>45062.836805541738</v>
      </c>
      <c r="F4075" s="56">
        <v>0</v>
      </c>
      <c r="G4075" s="48"/>
      <c r="H4075" s="48"/>
      <c r="I4075" s="48"/>
      <c r="J4075" s="48"/>
      <c r="L4075" s="65"/>
    </row>
    <row r="4076" spans="5:12">
      <c r="E4076" s="49">
        <v>45062.840277763957</v>
      </c>
      <c r="F4076" s="56">
        <v>0</v>
      </c>
      <c r="G4076" s="48"/>
      <c r="H4076" s="48"/>
      <c r="I4076" s="48"/>
      <c r="J4076" s="48"/>
      <c r="L4076" s="65"/>
    </row>
    <row r="4077" spans="5:12">
      <c r="E4077" s="49">
        <v>45062.843749986176</v>
      </c>
      <c r="F4077" s="56">
        <v>0</v>
      </c>
      <c r="G4077" s="48"/>
      <c r="H4077" s="48"/>
      <c r="I4077" s="48"/>
      <c r="J4077" s="48"/>
      <c r="L4077" s="65"/>
    </row>
    <row r="4078" spans="5:12">
      <c r="E4078" s="49">
        <v>45062.847222208395</v>
      </c>
      <c r="F4078" s="56">
        <v>0</v>
      </c>
      <c r="G4078" s="48"/>
      <c r="H4078" s="48"/>
      <c r="I4078" s="48"/>
      <c r="J4078" s="48"/>
      <c r="L4078" s="65"/>
    </row>
    <row r="4079" spans="5:12">
      <c r="E4079" s="49">
        <v>45062.850694430614</v>
      </c>
      <c r="F4079" s="56">
        <v>0</v>
      </c>
      <c r="G4079" s="48"/>
      <c r="H4079" s="48"/>
      <c r="I4079" s="48"/>
      <c r="J4079" s="48"/>
      <c r="L4079" s="65"/>
    </row>
    <row r="4080" spans="5:12">
      <c r="E4080" s="49">
        <v>45062.854166652833</v>
      </c>
      <c r="F4080" s="56">
        <v>0</v>
      </c>
      <c r="G4080" s="48"/>
      <c r="H4080" s="48"/>
      <c r="I4080" s="48"/>
      <c r="J4080" s="48"/>
      <c r="L4080" s="65"/>
    </row>
    <row r="4081" spans="5:12">
      <c r="E4081" s="49">
        <v>45062.857638875052</v>
      </c>
      <c r="F4081" s="56">
        <v>0</v>
      </c>
      <c r="G4081" s="48"/>
      <c r="H4081" s="48"/>
      <c r="I4081" s="48"/>
      <c r="J4081" s="48"/>
      <c r="L4081" s="65"/>
    </row>
    <row r="4082" spans="5:12">
      <c r="E4082" s="49">
        <v>45062.861111097271</v>
      </c>
      <c r="F4082" s="56">
        <v>0</v>
      </c>
      <c r="G4082" s="48"/>
      <c r="H4082" s="48"/>
      <c r="I4082" s="48"/>
      <c r="J4082" s="48"/>
      <c r="L4082" s="65"/>
    </row>
    <row r="4083" spans="5:12">
      <c r="E4083" s="49">
        <v>45062.86458331949</v>
      </c>
      <c r="F4083" s="56">
        <v>0</v>
      </c>
      <c r="G4083" s="48"/>
      <c r="H4083" s="48"/>
      <c r="I4083" s="48"/>
      <c r="J4083" s="48"/>
      <c r="L4083" s="65"/>
    </row>
    <row r="4084" spans="5:12">
      <c r="E4084" s="49">
        <v>45062.868055541709</v>
      </c>
      <c r="F4084" s="56">
        <v>0</v>
      </c>
      <c r="G4084" s="48"/>
      <c r="H4084" s="48"/>
      <c r="I4084" s="48"/>
      <c r="J4084" s="48"/>
      <c r="L4084" s="65"/>
    </row>
    <row r="4085" spans="5:12">
      <c r="E4085" s="49">
        <v>45062.871527763928</v>
      </c>
      <c r="F4085" s="56">
        <v>0</v>
      </c>
      <c r="G4085" s="48"/>
      <c r="H4085" s="48"/>
      <c r="I4085" s="48"/>
      <c r="J4085" s="48"/>
      <c r="L4085" s="65"/>
    </row>
    <row r="4086" spans="5:12">
      <c r="E4086" s="49">
        <v>45062.874999986147</v>
      </c>
      <c r="F4086" s="56">
        <v>0</v>
      </c>
      <c r="G4086" s="48"/>
      <c r="H4086" s="48"/>
      <c r="I4086" s="48"/>
      <c r="J4086" s="48"/>
      <c r="L4086" s="65"/>
    </row>
    <row r="4087" spans="5:12">
      <c r="E4087" s="49">
        <v>45062.878472208366</v>
      </c>
      <c r="F4087" s="56">
        <v>0</v>
      </c>
      <c r="G4087" s="48"/>
      <c r="H4087" s="48"/>
      <c r="I4087" s="48"/>
      <c r="J4087" s="48"/>
      <c r="L4087" s="65"/>
    </row>
    <row r="4088" spans="5:12">
      <c r="E4088" s="49">
        <v>45062.881944430585</v>
      </c>
      <c r="F4088" s="56">
        <v>0</v>
      </c>
      <c r="G4088" s="48"/>
      <c r="H4088" s="48"/>
      <c r="I4088" s="48"/>
      <c r="J4088" s="48"/>
      <c r="L4088" s="65"/>
    </row>
    <row r="4089" spans="5:12">
      <c r="E4089" s="49">
        <v>45062.885416652804</v>
      </c>
      <c r="F4089" s="56">
        <v>0</v>
      </c>
      <c r="G4089" s="48"/>
      <c r="H4089" s="48"/>
      <c r="I4089" s="48"/>
      <c r="J4089" s="48"/>
      <c r="L4089" s="65"/>
    </row>
    <row r="4090" spans="5:12">
      <c r="E4090" s="49">
        <v>45062.888888875023</v>
      </c>
      <c r="F4090" s="56">
        <v>0</v>
      </c>
      <c r="G4090" s="48"/>
      <c r="H4090" s="48"/>
      <c r="I4090" s="48"/>
      <c r="J4090" s="48"/>
      <c r="L4090" s="65"/>
    </row>
    <row r="4091" spans="5:12">
      <c r="E4091" s="49">
        <v>45062.892361097242</v>
      </c>
      <c r="F4091" s="56">
        <v>0</v>
      </c>
      <c r="G4091" s="48"/>
      <c r="H4091" s="48"/>
      <c r="I4091" s="48"/>
      <c r="J4091" s="48"/>
      <c r="L4091" s="65"/>
    </row>
    <row r="4092" spans="5:12">
      <c r="E4092" s="49">
        <v>45062.895833319461</v>
      </c>
      <c r="F4092" s="56">
        <v>0</v>
      </c>
      <c r="G4092" s="48"/>
      <c r="H4092" s="48"/>
      <c r="I4092" s="48"/>
      <c r="J4092" s="48"/>
      <c r="L4092" s="65"/>
    </row>
    <row r="4093" spans="5:12">
      <c r="E4093" s="49">
        <v>45062.899305541679</v>
      </c>
      <c r="F4093" s="56">
        <v>0</v>
      </c>
      <c r="G4093" s="48"/>
      <c r="H4093" s="48"/>
      <c r="I4093" s="48"/>
      <c r="J4093" s="48"/>
      <c r="L4093" s="65"/>
    </row>
    <row r="4094" spans="5:12">
      <c r="E4094" s="49">
        <v>45062.902777763898</v>
      </c>
      <c r="F4094" s="56">
        <v>0</v>
      </c>
      <c r="G4094" s="48"/>
      <c r="H4094" s="48"/>
      <c r="I4094" s="48"/>
      <c r="J4094" s="48"/>
      <c r="L4094" s="65"/>
    </row>
    <row r="4095" spans="5:12">
      <c r="E4095" s="49">
        <v>45062.906249986117</v>
      </c>
      <c r="F4095" s="56">
        <v>0</v>
      </c>
      <c r="G4095" s="48"/>
      <c r="H4095" s="48"/>
      <c r="I4095" s="48"/>
      <c r="J4095" s="48"/>
      <c r="L4095" s="65"/>
    </row>
    <row r="4096" spans="5:12">
      <c r="E4096" s="49">
        <v>45062.909722208336</v>
      </c>
      <c r="F4096" s="56">
        <v>0</v>
      </c>
      <c r="G4096" s="48"/>
      <c r="H4096" s="48"/>
      <c r="I4096" s="48"/>
      <c r="J4096" s="48"/>
      <c r="L4096" s="65"/>
    </row>
    <row r="4097" spans="5:12">
      <c r="E4097" s="49">
        <v>45062.913194430555</v>
      </c>
      <c r="F4097" s="56">
        <v>0</v>
      </c>
      <c r="G4097" s="48"/>
      <c r="H4097" s="48"/>
      <c r="I4097" s="48"/>
      <c r="J4097" s="48"/>
      <c r="L4097" s="65"/>
    </row>
    <row r="4098" spans="5:12">
      <c r="E4098" s="49">
        <v>45062.916666652774</v>
      </c>
      <c r="F4098" s="56">
        <v>0</v>
      </c>
      <c r="G4098" s="48"/>
      <c r="H4098" s="48"/>
      <c r="I4098" s="48"/>
      <c r="J4098" s="48"/>
      <c r="L4098" s="65"/>
    </row>
    <row r="4099" spans="5:12">
      <c r="E4099" s="49">
        <v>45062.920138874993</v>
      </c>
      <c r="F4099" s="56">
        <v>0</v>
      </c>
      <c r="G4099" s="48"/>
      <c r="H4099" s="48"/>
      <c r="I4099" s="48"/>
      <c r="J4099" s="48"/>
      <c r="L4099" s="65"/>
    </row>
    <row r="4100" spans="5:12">
      <c r="E4100" s="49">
        <v>45062.923611097212</v>
      </c>
      <c r="F4100" s="56">
        <v>0</v>
      </c>
      <c r="G4100" s="48"/>
      <c r="H4100" s="48"/>
      <c r="I4100" s="48"/>
      <c r="J4100" s="48"/>
      <c r="L4100" s="65"/>
    </row>
    <row r="4101" spans="5:12">
      <c r="E4101" s="49">
        <v>45062.927083319431</v>
      </c>
      <c r="F4101" s="56">
        <v>0</v>
      </c>
      <c r="G4101" s="48"/>
      <c r="H4101" s="48"/>
      <c r="I4101" s="48"/>
      <c r="J4101" s="48"/>
      <c r="L4101" s="65"/>
    </row>
    <row r="4102" spans="5:12">
      <c r="E4102" s="49">
        <v>45062.93055554165</v>
      </c>
      <c r="F4102" s="56">
        <v>0</v>
      </c>
      <c r="G4102" s="48"/>
      <c r="H4102" s="48"/>
      <c r="I4102" s="48"/>
      <c r="J4102" s="48"/>
      <c r="L4102" s="65"/>
    </row>
    <row r="4103" spans="5:12">
      <c r="E4103" s="49">
        <v>45062.934027763869</v>
      </c>
      <c r="F4103" s="56">
        <v>0</v>
      </c>
      <c r="G4103" s="48"/>
      <c r="H4103" s="48"/>
      <c r="I4103" s="48"/>
      <c r="J4103" s="48"/>
      <c r="L4103" s="65"/>
    </row>
    <row r="4104" spans="5:12">
      <c r="E4104" s="49">
        <v>45062.937499986088</v>
      </c>
      <c r="F4104" s="56">
        <v>0</v>
      </c>
      <c r="G4104" s="48"/>
      <c r="H4104" s="48"/>
      <c r="I4104" s="48"/>
      <c r="J4104" s="48"/>
      <c r="L4104" s="65"/>
    </row>
    <row r="4105" spans="5:12">
      <c r="E4105" s="49">
        <v>45062.940972208307</v>
      </c>
      <c r="F4105" s="56">
        <v>0</v>
      </c>
      <c r="G4105" s="48"/>
      <c r="H4105" s="48"/>
      <c r="I4105" s="48"/>
      <c r="J4105" s="48"/>
      <c r="L4105" s="65"/>
    </row>
    <row r="4106" spans="5:12">
      <c r="E4106" s="49">
        <v>45062.944444430526</v>
      </c>
      <c r="F4106" s="56">
        <v>0</v>
      </c>
      <c r="G4106" s="48"/>
      <c r="H4106" s="48"/>
      <c r="I4106" s="48"/>
      <c r="J4106" s="48"/>
      <c r="L4106" s="65"/>
    </row>
    <row r="4107" spans="5:12">
      <c r="E4107" s="49">
        <v>45062.947916652745</v>
      </c>
      <c r="F4107" s="56">
        <v>0</v>
      </c>
      <c r="G4107" s="48"/>
      <c r="H4107" s="48"/>
      <c r="I4107" s="48"/>
      <c r="J4107" s="48"/>
      <c r="L4107" s="65"/>
    </row>
    <row r="4108" spans="5:12">
      <c r="E4108" s="49">
        <v>45062.951388874964</v>
      </c>
      <c r="F4108" s="56">
        <v>0</v>
      </c>
      <c r="G4108" s="48"/>
      <c r="H4108" s="48"/>
      <c r="I4108" s="48"/>
      <c r="J4108" s="48"/>
      <c r="L4108" s="65"/>
    </row>
    <row r="4109" spans="5:12">
      <c r="E4109" s="49">
        <v>45062.954861097183</v>
      </c>
      <c r="F4109" s="56">
        <v>0</v>
      </c>
      <c r="G4109" s="48"/>
      <c r="H4109" s="48"/>
      <c r="I4109" s="48"/>
      <c r="J4109" s="48"/>
      <c r="L4109" s="65"/>
    </row>
    <row r="4110" spans="5:12">
      <c r="E4110" s="49">
        <v>45062.958333319402</v>
      </c>
      <c r="F4110" s="56">
        <v>0</v>
      </c>
      <c r="G4110" s="48"/>
      <c r="H4110" s="48"/>
      <c r="I4110" s="48"/>
      <c r="J4110" s="48"/>
      <c r="L4110" s="65"/>
    </row>
    <row r="4111" spans="5:12">
      <c r="E4111" s="49">
        <v>45062.961805541621</v>
      </c>
      <c r="F4111" s="56">
        <v>0</v>
      </c>
      <c r="G4111" s="48"/>
      <c r="H4111" s="48"/>
      <c r="I4111" s="48"/>
      <c r="J4111" s="48"/>
      <c r="L4111" s="65"/>
    </row>
    <row r="4112" spans="5:12">
      <c r="E4112" s="49">
        <v>45062.96527776384</v>
      </c>
      <c r="F4112" s="56">
        <v>0</v>
      </c>
      <c r="G4112" s="48"/>
      <c r="H4112" s="48"/>
      <c r="I4112" s="48"/>
      <c r="J4112" s="48"/>
      <c r="L4112" s="65"/>
    </row>
    <row r="4113" spans="5:12">
      <c r="E4113" s="49">
        <v>45062.968749986059</v>
      </c>
      <c r="F4113" s="56">
        <v>0</v>
      </c>
      <c r="G4113" s="48"/>
      <c r="H4113" s="48"/>
      <c r="I4113" s="48"/>
      <c r="J4113" s="48"/>
      <c r="L4113" s="65"/>
    </row>
    <row r="4114" spans="5:12">
      <c r="E4114" s="49">
        <v>45062.972222208278</v>
      </c>
      <c r="F4114" s="56">
        <v>0</v>
      </c>
      <c r="G4114" s="48"/>
      <c r="H4114" s="48"/>
      <c r="I4114" s="48"/>
      <c r="J4114" s="48"/>
      <c r="L4114" s="65"/>
    </row>
    <row r="4115" spans="5:12">
      <c r="E4115" s="49">
        <v>45062.975694430497</v>
      </c>
      <c r="F4115" s="56">
        <v>0</v>
      </c>
      <c r="G4115" s="48"/>
      <c r="H4115" s="48"/>
      <c r="I4115" s="48"/>
      <c r="J4115" s="48"/>
      <c r="L4115" s="65"/>
    </row>
    <row r="4116" spans="5:12">
      <c r="E4116" s="49">
        <v>45062.979166652716</v>
      </c>
      <c r="F4116" s="56">
        <v>0</v>
      </c>
      <c r="G4116" s="48"/>
      <c r="H4116" s="48"/>
      <c r="I4116" s="48"/>
      <c r="J4116" s="48"/>
      <c r="L4116" s="65"/>
    </row>
    <row r="4117" spans="5:12">
      <c r="E4117" s="49">
        <v>45062.982638874935</v>
      </c>
      <c r="F4117" s="56">
        <v>0</v>
      </c>
      <c r="G4117" s="48"/>
      <c r="H4117" s="48"/>
      <c r="I4117" s="48"/>
      <c r="J4117" s="48"/>
      <c r="L4117" s="65"/>
    </row>
    <row r="4118" spans="5:12">
      <c r="E4118" s="49">
        <v>45062.986111097154</v>
      </c>
      <c r="F4118" s="56">
        <v>0</v>
      </c>
      <c r="G4118" s="48"/>
      <c r="H4118" s="48"/>
      <c r="I4118" s="48"/>
      <c r="J4118" s="48"/>
      <c r="L4118" s="65"/>
    </row>
    <row r="4119" spans="5:12">
      <c r="E4119" s="49">
        <v>45062.989583319373</v>
      </c>
      <c r="F4119" s="56">
        <v>0</v>
      </c>
      <c r="G4119" s="48"/>
      <c r="H4119" s="48"/>
      <c r="I4119" s="48"/>
      <c r="J4119" s="48"/>
      <c r="L4119" s="65"/>
    </row>
    <row r="4120" spans="5:12">
      <c r="E4120" s="49">
        <v>45062.993055541592</v>
      </c>
      <c r="F4120" s="56">
        <v>0</v>
      </c>
      <c r="G4120" s="48"/>
      <c r="H4120" s="48"/>
      <c r="I4120" s="48"/>
      <c r="J4120" s="48"/>
      <c r="L4120" s="65"/>
    </row>
    <row r="4121" spans="5:12">
      <c r="E4121" s="49">
        <v>45062.996527763811</v>
      </c>
      <c r="F4121" s="56">
        <v>0</v>
      </c>
      <c r="G4121" s="48"/>
      <c r="H4121" s="48"/>
      <c r="I4121" s="48"/>
      <c r="J4121" s="48"/>
      <c r="L4121" s="65"/>
    </row>
    <row r="4122" spans="5:12">
      <c r="E4122" s="49">
        <v>45062.99999998603</v>
      </c>
      <c r="F4122" s="56">
        <v>0</v>
      </c>
      <c r="G4122" s="48"/>
      <c r="H4122" s="48"/>
      <c r="I4122" s="48"/>
      <c r="J4122" s="48"/>
      <c r="L4122" s="65"/>
    </row>
    <row r="4123" spans="5:12">
      <c r="E4123" s="49">
        <v>45063.003472208249</v>
      </c>
      <c r="F4123" s="56">
        <v>0</v>
      </c>
      <c r="G4123" s="48"/>
      <c r="H4123" s="48"/>
      <c r="I4123" s="48"/>
      <c r="J4123" s="48"/>
      <c r="L4123" s="65"/>
    </row>
    <row r="4124" spans="5:12">
      <c r="E4124" s="49">
        <v>45063.006944430468</v>
      </c>
      <c r="F4124" s="56">
        <v>0</v>
      </c>
      <c r="G4124" s="48"/>
      <c r="H4124" s="48"/>
      <c r="I4124" s="48"/>
      <c r="J4124" s="48"/>
      <c r="L4124" s="65"/>
    </row>
    <row r="4125" spans="5:12">
      <c r="E4125" s="49">
        <v>45063.010416652687</v>
      </c>
      <c r="F4125" s="56">
        <v>0</v>
      </c>
      <c r="G4125" s="48"/>
      <c r="H4125" s="48"/>
      <c r="I4125" s="48"/>
      <c r="J4125" s="48"/>
      <c r="L4125" s="65"/>
    </row>
    <row r="4126" spans="5:12">
      <c r="E4126" s="49">
        <v>45063.013888874906</v>
      </c>
      <c r="F4126" s="56">
        <v>0</v>
      </c>
      <c r="G4126" s="48"/>
      <c r="H4126" s="48"/>
      <c r="I4126" s="48"/>
      <c r="J4126" s="48"/>
      <c r="L4126" s="65"/>
    </row>
    <row r="4127" spans="5:12">
      <c r="E4127" s="49">
        <v>45063.017361097125</v>
      </c>
      <c r="F4127" s="56">
        <v>0</v>
      </c>
      <c r="G4127" s="48"/>
      <c r="H4127" s="48"/>
      <c r="I4127" s="48"/>
      <c r="J4127" s="48"/>
      <c r="L4127" s="65"/>
    </row>
    <row r="4128" spans="5:12">
      <c r="E4128" s="49">
        <v>45063.020833319344</v>
      </c>
      <c r="F4128" s="56">
        <v>0</v>
      </c>
      <c r="G4128" s="48"/>
      <c r="H4128" s="48"/>
      <c r="I4128" s="48"/>
      <c r="J4128" s="48"/>
      <c r="L4128" s="65"/>
    </row>
    <row r="4129" spans="5:12">
      <c r="E4129" s="49">
        <v>45063.024305541563</v>
      </c>
      <c r="F4129" s="56">
        <v>0</v>
      </c>
      <c r="G4129" s="48"/>
      <c r="H4129" s="48"/>
      <c r="I4129" s="48"/>
      <c r="J4129" s="48"/>
      <c r="L4129" s="65"/>
    </row>
    <row r="4130" spans="5:12">
      <c r="E4130" s="49">
        <v>45063.027777763782</v>
      </c>
      <c r="F4130" s="56">
        <v>0</v>
      </c>
      <c r="G4130" s="48"/>
      <c r="H4130" s="48"/>
      <c r="I4130" s="48"/>
      <c r="J4130" s="48"/>
      <c r="L4130" s="65"/>
    </row>
    <row r="4131" spans="5:12">
      <c r="E4131" s="49">
        <v>45063.031249986001</v>
      </c>
      <c r="F4131" s="56">
        <v>0</v>
      </c>
      <c r="G4131" s="48"/>
      <c r="H4131" s="48"/>
      <c r="I4131" s="48"/>
      <c r="J4131" s="48"/>
      <c r="L4131" s="65"/>
    </row>
    <row r="4132" spans="5:12">
      <c r="E4132" s="49">
        <v>45063.03472220822</v>
      </c>
      <c r="F4132" s="56">
        <v>0</v>
      </c>
      <c r="G4132" s="48"/>
      <c r="H4132" s="48"/>
      <c r="I4132" s="48"/>
      <c r="J4132" s="48"/>
      <c r="L4132" s="65"/>
    </row>
    <row r="4133" spans="5:12">
      <c r="E4133" s="49">
        <v>45063.038194430439</v>
      </c>
      <c r="F4133" s="56">
        <v>0</v>
      </c>
      <c r="G4133" s="48"/>
      <c r="H4133" s="48"/>
      <c r="I4133" s="48"/>
      <c r="J4133" s="48"/>
      <c r="L4133" s="65"/>
    </row>
    <row r="4134" spans="5:12">
      <c r="E4134" s="49">
        <v>45063.041666652658</v>
      </c>
      <c r="F4134" s="56">
        <v>0</v>
      </c>
      <c r="G4134" s="48"/>
      <c r="H4134" s="48"/>
      <c r="I4134" s="48"/>
      <c r="J4134" s="48"/>
      <c r="L4134" s="65"/>
    </row>
    <row r="4135" spans="5:12">
      <c r="E4135" s="49">
        <v>45063.045138874877</v>
      </c>
      <c r="F4135" s="56">
        <v>0</v>
      </c>
      <c r="G4135" s="48"/>
      <c r="H4135" s="48"/>
      <c r="I4135" s="48"/>
      <c r="J4135" s="48"/>
      <c r="L4135" s="65"/>
    </row>
    <row r="4136" spans="5:12">
      <c r="E4136" s="49">
        <v>45063.048611097096</v>
      </c>
      <c r="F4136" s="56">
        <v>0</v>
      </c>
      <c r="G4136" s="48"/>
      <c r="H4136" s="48"/>
      <c r="I4136" s="48"/>
      <c r="J4136" s="48"/>
      <c r="L4136" s="65"/>
    </row>
    <row r="4137" spans="5:12">
      <c r="E4137" s="49">
        <v>45063.052083319315</v>
      </c>
      <c r="F4137" s="56">
        <v>0</v>
      </c>
      <c r="G4137" s="48"/>
      <c r="H4137" s="48"/>
      <c r="I4137" s="48"/>
      <c r="J4137" s="48"/>
      <c r="L4137" s="65"/>
    </row>
    <row r="4138" spans="5:12">
      <c r="E4138" s="49">
        <v>45063.055555541534</v>
      </c>
      <c r="F4138" s="56">
        <v>0</v>
      </c>
      <c r="G4138" s="48"/>
      <c r="H4138" s="48"/>
      <c r="I4138" s="48"/>
      <c r="J4138" s="48"/>
      <c r="L4138" s="65"/>
    </row>
    <row r="4139" spans="5:12">
      <c r="E4139" s="49">
        <v>45063.059027763753</v>
      </c>
      <c r="F4139" s="56">
        <v>0</v>
      </c>
      <c r="G4139" s="48"/>
      <c r="H4139" s="48"/>
      <c r="I4139" s="48"/>
      <c r="J4139" s="48"/>
      <c r="L4139" s="65"/>
    </row>
    <row r="4140" spans="5:12">
      <c r="E4140" s="49">
        <v>45063.062499985972</v>
      </c>
      <c r="F4140" s="56">
        <v>0</v>
      </c>
      <c r="G4140" s="48"/>
      <c r="H4140" s="48"/>
      <c r="I4140" s="48"/>
      <c r="J4140" s="48"/>
      <c r="L4140" s="65"/>
    </row>
    <row r="4141" spans="5:12">
      <c r="E4141" s="49">
        <v>45063.065972208191</v>
      </c>
      <c r="F4141" s="56">
        <v>0</v>
      </c>
      <c r="G4141" s="48"/>
      <c r="H4141" s="48"/>
      <c r="I4141" s="48"/>
      <c r="J4141" s="48"/>
      <c r="L4141" s="65"/>
    </row>
    <row r="4142" spans="5:12">
      <c r="E4142" s="49">
        <v>45063.06944443041</v>
      </c>
      <c r="F4142" s="56">
        <v>0</v>
      </c>
      <c r="G4142" s="48"/>
      <c r="H4142" s="48"/>
      <c r="I4142" s="48"/>
      <c r="J4142" s="48"/>
      <c r="L4142" s="65"/>
    </row>
    <row r="4143" spans="5:12">
      <c r="E4143" s="49">
        <v>45063.072916652629</v>
      </c>
      <c r="F4143" s="56">
        <v>0</v>
      </c>
      <c r="G4143" s="48"/>
      <c r="H4143" s="48"/>
      <c r="I4143" s="48"/>
      <c r="J4143" s="48"/>
      <c r="L4143" s="65"/>
    </row>
    <row r="4144" spans="5:12">
      <c r="E4144" s="49">
        <v>45063.076388874848</v>
      </c>
      <c r="F4144" s="56">
        <v>0</v>
      </c>
      <c r="G4144" s="48"/>
      <c r="H4144" s="48"/>
      <c r="I4144" s="48"/>
      <c r="J4144" s="48"/>
      <c r="L4144" s="65"/>
    </row>
    <row r="4145" spans="5:12">
      <c r="E4145" s="49">
        <v>45063.079861097067</v>
      </c>
      <c r="F4145" s="56">
        <v>0</v>
      </c>
      <c r="G4145" s="48"/>
      <c r="H4145" s="48"/>
      <c r="I4145" s="48"/>
      <c r="J4145" s="48"/>
      <c r="L4145" s="65"/>
    </row>
    <row r="4146" spans="5:12">
      <c r="E4146" s="49">
        <v>45063.083333319286</v>
      </c>
      <c r="F4146" s="56">
        <v>0</v>
      </c>
      <c r="G4146" s="48"/>
      <c r="H4146" s="48"/>
      <c r="I4146" s="48"/>
      <c r="J4146" s="48"/>
      <c r="L4146" s="65"/>
    </row>
    <row r="4147" spans="5:12">
      <c r="E4147" s="49">
        <v>45063.086805541505</v>
      </c>
      <c r="F4147" s="56">
        <v>0</v>
      </c>
      <c r="G4147" s="48"/>
      <c r="H4147" s="48"/>
      <c r="I4147" s="48"/>
      <c r="J4147" s="48"/>
      <c r="L4147" s="65"/>
    </row>
    <row r="4148" spans="5:12">
      <c r="E4148" s="49">
        <v>45063.090277763724</v>
      </c>
      <c r="F4148" s="56">
        <v>0</v>
      </c>
      <c r="G4148" s="48"/>
      <c r="H4148" s="48"/>
      <c r="I4148" s="48"/>
      <c r="J4148" s="48"/>
      <c r="L4148" s="65"/>
    </row>
    <row r="4149" spans="5:12">
      <c r="E4149" s="49">
        <v>45063.093749985943</v>
      </c>
      <c r="F4149" s="56">
        <v>0</v>
      </c>
      <c r="G4149" s="48"/>
      <c r="H4149" s="48"/>
      <c r="I4149" s="48"/>
      <c r="J4149" s="48"/>
      <c r="L4149" s="65"/>
    </row>
    <row r="4150" spans="5:12">
      <c r="E4150" s="49">
        <v>45063.097222208162</v>
      </c>
      <c r="F4150" s="56">
        <v>0</v>
      </c>
      <c r="G4150" s="48"/>
      <c r="H4150" s="48"/>
      <c r="I4150" s="48"/>
      <c r="J4150" s="48"/>
      <c r="L4150" s="65"/>
    </row>
    <row r="4151" spans="5:12">
      <c r="E4151" s="49">
        <v>45063.100694430381</v>
      </c>
      <c r="F4151" s="56">
        <v>0</v>
      </c>
      <c r="G4151" s="48"/>
      <c r="H4151" s="48"/>
      <c r="I4151" s="48"/>
      <c r="J4151" s="48"/>
      <c r="L4151" s="65"/>
    </row>
    <row r="4152" spans="5:12">
      <c r="E4152" s="49">
        <v>45063.1041666526</v>
      </c>
      <c r="F4152" s="56">
        <v>0</v>
      </c>
      <c r="G4152" s="48"/>
      <c r="H4152" s="48"/>
      <c r="I4152" s="48"/>
      <c r="J4152" s="48"/>
      <c r="L4152" s="65"/>
    </row>
    <row r="4153" spans="5:12">
      <c r="E4153" s="49">
        <v>45063.107638874819</v>
      </c>
      <c r="F4153" s="56">
        <v>0</v>
      </c>
      <c r="G4153" s="48"/>
      <c r="H4153" s="48"/>
      <c r="I4153" s="48"/>
      <c r="J4153" s="48"/>
      <c r="L4153" s="65"/>
    </row>
    <row r="4154" spans="5:12">
      <c r="E4154" s="49">
        <v>45063.111111097038</v>
      </c>
      <c r="F4154" s="56">
        <v>0</v>
      </c>
      <c r="G4154" s="48"/>
      <c r="H4154" s="48"/>
      <c r="I4154" s="48"/>
      <c r="J4154" s="48"/>
      <c r="L4154" s="65"/>
    </row>
    <row r="4155" spans="5:12">
      <c r="E4155" s="49">
        <v>45063.114583319257</v>
      </c>
      <c r="F4155" s="56">
        <v>0</v>
      </c>
      <c r="G4155" s="48"/>
      <c r="H4155" s="48"/>
      <c r="I4155" s="48"/>
      <c r="J4155" s="48"/>
      <c r="L4155" s="65"/>
    </row>
    <row r="4156" spans="5:12">
      <c r="E4156" s="49">
        <v>45063.118055541476</v>
      </c>
      <c r="F4156" s="56">
        <v>0</v>
      </c>
      <c r="G4156" s="48"/>
      <c r="H4156" s="48"/>
      <c r="I4156" s="48"/>
      <c r="J4156" s="48"/>
      <c r="L4156" s="65"/>
    </row>
    <row r="4157" spans="5:12">
      <c r="E4157" s="49">
        <v>45063.121527763695</v>
      </c>
      <c r="F4157" s="56">
        <v>0</v>
      </c>
      <c r="G4157" s="48"/>
      <c r="H4157" s="48"/>
      <c r="I4157" s="48"/>
      <c r="J4157" s="48"/>
      <c r="L4157" s="65"/>
    </row>
    <row r="4158" spans="5:12">
      <c r="E4158" s="49">
        <v>45063.124999985914</v>
      </c>
      <c r="F4158" s="56">
        <v>0</v>
      </c>
      <c r="G4158" s="48"/>
      <c r="H4158" s="48"/>
      <c r="I4158" s="48"/>
      <c r="J4158" s="48"/>
      <c r="L4158" s="65"/>
    </row>
    <row r="4159" spans="5:12">
      <c r="E4159" s="49">
        <v>45063.128472208133</v>
      </c>
      <c r="F4159" s="56">
        <v>0</v>
      </c>
      <c r="G4159" s="48"/>
      <c r="H4159" s="48"/>
      <c r="I4159" s="48"/>
      <c r="J4159" s="48"/>
      <c r="L4159" s="65"/>
    </row>
    <row r="4160" spans="5:12">
      <c r="E4160" s="49">
        <v>45063.131944430352</v>
      </c>
      <c r="F4160" s="56">
        <v>0</v>
      </c>
      <c r="G4160" s="48"/>
      <c r="H4160" s="48"/>
      <c r="I4160" s="48"/>
      <c r="J4160" s="48"/>
      <c r="L4160" s="65"/>
    </row>
    <row r="4161" spans="5:12">
      <c r="E4161" s="49">
        <v>45063.135416652571</v>
      </c>
      <c r="F4161" s="56">
        <v>0</v>
      </c>
      <c r="G4161" s="48"/>
      <c r="H4161" s="48"/>
      <c r="I4161" s="48"/>
      <c r="J4161" s="48"/>
      <c r="L4161" s="65"/>
    </row>
    <row r="4162" spans="5:12">
      <c r="E4162" s="49">
        <v>45063.13888887479</v>
      </c>
      <c r="F4162" s="56">
        <v>0</v>
      </c>
      <c r="G4162" s="48"/>
      <c r="H4162" s="48"/>
      <c r="I4162" s="48"/>
      <c r="J4162" s="48"/>
      <c r="L4162" s="65"/>
    </row>
    <row r="4163" spans="5:12">
      <c r="E4163" s="49">
        <v>45063.142361097009</v>
      </c>
      <c r="F4163" s="56">
        <v>0</v>
      </c>
      <c r="G4163" s="48"/>
      <c r="H4163" s="48"/>
      <c r="I4163" s="48"/>
      <c r="J4163" s="48"/>
      <c r="L4163" s="65"/>
    </row>
    <row r="4164" spans="5:12">
      <c r="E4164" s="49">
        <v>45063.145833319228</v>
      </c>
      <c r="F4164" s="56">
        <v>0</v>
      </c>
      <c r="G4164" s="48"/>
      <c r="H4164" s="48"/>
      <c r="I4164" s="48"/>
      <c r="J4164" s="48"/>
      <c r="L4164" s="65"/>
    </row>
    <row r="4165" spans="5:12">
      <c r="E4165" s="49">
        <v>45063.149305541447</v>
      </c>
      <c r="F4165" s="56">
        <v>0</v>
      </c>
      <c r="G4165" s="48"/>
      <c r="H4165" s="48"/>
      <c r="I4165" s="48"/>
      <c r="J4165" s="48"/>
      <c r="L4165" s="65"/>
    </row>
    <row r="4166" spans="5:12">
      <c r="E4166" s="49">
        <v>45063.152777763666</v>
      </c>
      <c r="F4166" s="56">
        <v>0</v>
      </c>
      <c r="G4166" s="48"/>
      <c r="H4166" s="48"/>
      <c r="I4166" s="48"/>
      <c r="J4166" s="48"/>
      <c r="L4166" s="65"/>
    </row>
    <row r="4167" spans="5:12">
      <c r="E4167" s="49">
        <v>45063.156249985885</v>
      </c>
      <c r="F4167" s="56">
        <v>0</v>
      </c>
      <c r="G4167" s="48"/>
      <c r="H4167" s="48"/>
      <c r="I4167" s="48"/>
      <c r="J4167" s="48"/>
      <c r="L4167" s="65"/>
    </row>
    <row r="4168" spans="5:12">
      <c r="E4168" s="49">
        <v>45063.159722208104</v>
      </c>
      <c r="F4168" s="56">
        <v>0</v>
      </c>
      <c r="G4168" s="48"/>
      <c r="H4168" s="48"/>
      <c r="I4168" s="48"/>
      <c r="J4168" s="48"/>
      <c r="L4168" s="65"/>
    </row>
    <row r="4169" spans="5:12">
      <c r="E4169" s="49">
        <v>45063.163194430323</v>
      </c>
      <c r="F4169" s="56">
        <v>0</v>
      </c>
      <c r="G4169" s="48"/>
      <c r="H4169" s="48"/>
      <c r="I4169" s="48"/>
      <c r="J4169" s="48"/>
      <c r="L4169" s="65"/>
    </row>
    <row r="4170" spans="5:12">
      <c r="E4170" s="49">
        <v>45063.166666652542</v>
      </c>
      <c r="F4170" s="56">
        <v>0</v>
      </c>
      <c r="G4170" s="48"/>
      <c r="H4170" s="48"/>
      <c r="I4170" s="48"/>
      <c r="J4170" s="48"/>
      <c r="L4170" s="65"/>
    </row>
    <row r="4171" spans="5:12">
      <c r="E4171" s="49">
        <v>45063.170138874761</v>
      </c>
      <c r="F4171" s="56">
        <v>0</v>
      </c>
      <c r="G4171" s="48"/>
      <c r="H4171" s="48"/>
      <c r="I4171" s="48"/>
      <c r="J4171" s="48"/>
      <c r="L4171" s="65"/>
    </row>
    <row r="4172" spans="5:12">
      <c r="E4172" s="49">
        <v>45063.17361109698</v>
      </c>
      <c r="F4172" s="56">
        <v>0</v>
      </c>
      <c r="G4172" s="48"/>
      <c r="H4172" s="48"/>
      <c r="I4172" s="48"/>
      <c r="J4172" s="48"/>
      <c r="L4172" s="65"/>
    </row>
    <row r="4173" spans="5:12">
      <c r="E4173" s="49">
        <v>45063.177083319199</v>
      </c>
      <c r="F4173" s="56">
        <v>0</v>
      </c>
      <c r="G4173" s="48"/>
      <c r="H4173" s="48"/>
      <c r="I4173" s="48"/>
      <c r="J4173" s="48"/>
      <c r="L4173" s="65"/>
    </row>
    <row r="4174" spans="5:12">
      <c r="E4174" s="49">
        <v>45063.180555541418</v>
      </c>
      <c r="F4174" s="56">
        <v>0</v>
      </c>
      <c r="G4174" s="48"/>
      <c r="H4174" s="48"/>
      <c r="I4174" s="48"/>
      <c r="J4174" s="48"/>
      <c r="L4174" s="65"/>
    </row>
    <row r="4175" spans="5:12">
      <c r="E4175" s="49">
        <v>45063.184027763637</v>
      </c>
      <c r="F4175" s="56">
        <v>0</v>
      </c>
      <c r="G4175" s="48"/>
      <c r="H4175" s="48"/>
      <c r="I4175" s="48"/>
      <c r="J4175" s="48"/>
      <c r="L4175" s="65"/>
    </row>
    <row r="4176" spans="5:12">
      <c r="E4176" s="49">
        <v>45063.187499985856</v>
      </c>
      <c r="F4176" s="56">
        <v>0</v>
      </c>
      <c r="G4176" s="48"/>
      <c r="H4176" s="48"/>
      <c r="I4176" s="48"/>
      <c r="J4176" s="48"/>
      <c r="L4176" s="65"/>
    </row>
    <row r="4177" spans="5:12">
      <c r="E4177" s="49">
        <v>45063.190972208075</v>
      </c>
      <c r="F4177" s="56">
        <v>0</v>
      </c>
      <c r="G4177" s="48"/>
      <c r="H4177" s="48"/>
      <c r="I4177" s="48"/>
      <c r="J4177" s="48"/>
      <c r="L4177" s="65"/>
    </row>
    <row r="4178" spans="5:12">
      <c r="E4178" s="49">
        <v>45063.194444430294</v>
      </c>
      <c r="F4178" s="56">
        <v>0</v>
      </c>
      <c r="G4178" s="48"/>
      <c r="H4178" s="48"/>
      <c r="I4178" s="48"/>
      <c r="J4178" s="48"/>
      <c r="L4178" s="65"/>
    </row>
    <row r="4179" spans="5:12">
      <c r="E4179" s="49">
        <v>45063.197916652513</v>
      </c>
      <c r="F4179" s="56">
        <v>0</v>
      </c>
      <c r="G4179" s="48"/>
      <c r="H4179" s="48"/>
      <c r="I4179" s="48"/>
      <c r="J4179" s="48"/>
      <c r="L4179" s="65"/>
    </row>
    <row r="4180" spans="5:12">
      <c r="E4180" s="49">
        <v>45063.201388874731</v>
      </c>
      <c r="F4180" s="56">
        <v>0</v>
      </c>
      <c r="G4180" s="48"/>
      <c r="H4180" s="48"/>
      <c r="I4180" s="48"/>
      <c r="J4180" s="48"/>
      <c r="L4180" s="65"/>
    </row>
    <row r="4181" spans="5:12">
      <c r="E4181" s="49">
        <v>45063.20486109695</v>
      </c>
      <c r="F4181" s="56">
        <v>0</v>
      </c>
      <c r="G4181" s="48"/>
      <c r="H4181" s="48"/>
      <c r="I4181" s="48"/>
      <c r="J4181" s="48"/>
      <c r="L4181" s="65"/>
    </row>
    <row r="4182" spans="5:12">
      <c r="E4182" s="49">
        <v>45063.208333319169</v>
      </c>
      <c r="F4182" s="56">
        <v>0</v>
      </c>
      <c r="G4182" s="48"/>
      <c r="H4182" s="48"/>
      <c r="I4182" s="48"/>
      <c r="J4182" s="48"/>
      <c r="L4182" s="65"/>
    </row>
    <row r="4183" spans="5:12">
      <c r="E4183" s="49">
        <v>45063.211805541388</v>
      </c>
      <c r="F4183" s="56">
        <v>0</v>
      </c>
      <c r="G4183" s="48"/>
      <c r="H4183" s="48"/>
      <c r="I4183" s="48"/>
      <c r="J4183" s="48"/>
      <c r="L4183" s="65"/>
    </row>
    <row r="4184" spans="5:12">
      <c r="E4184" s="49">
        <v>45063.215277763607</v>
      </c>
      <c r="F4184" s="56">
        <v>0</v>
      </c>
      <c r="G4184" s="48"/>
      <c r="H4184" s="48"/>
      <c r="I4184" s="48"/>
      <c r="J4184" s="48"/>
      <c r="L4184" s="65"/>
    </row>
    <row r="4185" spans="5:12">
      <c r="E4185" s="49">
        <v>45063.218749985826</v>
      </c>
      <c r="F4185" s="56">
        <v>0</v>
      </c>
      <c r="G4185" s="48"/>
      <c r="H4185" s="48"/>
      <c r="I4185" s="48"/>
      <c r="J4185" s="48"/>
      <c r="L4185" s="65"/>
    </row>
    <row r="4186" spans="5:12">
      <c r="E4186" s="49">
        <v>45063.222222208045</v>
      </c>
      <c r="F4186" s="56">
        <v>0</v>
      </c>
      <c r="G4186" s="48"/>
      <c r="H4186" s="48"/>
      <c r="I4186" s="48"/>
      <c r="J4186" s="48"/>
      <c r="L4186" s="65"/>
    </row>
    <row r="4187" spans="5:12">
      <c r="E4187" s="49">
        <v>45063.225694430264</v>
      </c>
      <c r="F4187" s="56">
        <v>0</v>
      </c>
      <c r="G4187" s="48"/>
      <c r="H4187" s="48"/>
      <c r="I4187" s="48"/>
      <c r="J4187" s="48"/>
      <c r="L4187" s="65"/>
    </row>
    <row r="4188" spans="5:12">
      <c r="E4188" s="49">
        <v>45063.229166652483</v>
      </c>
      <c r="F4188" s="56">
        <v>0</v>
      </c>
      <c r="G4188" s="48"/>
      <c r="H4188" s="48"/>
      <c r="I4188" s="48"/>
      <c r="J4188" s="48"/>
      <c r="L4188" s="65"/>
    </row>
    <row r="4189" spans="5:12">
      <c r="E4189" s="49">
        <v>45063.232638874702</v>
      </c>
      <c r="F4189" s="56">
        <v>0</v>
      </c>
      <c r="G4189" s="48"/>
      <c r="H4189" s="48"/>
      <c r="I4189" s="48"/>
      <c r="J4189" s="48"/>
      <c r="L4189" s="65"/>
    </row>
    <row r="4190" spans="5:12">
      <c r="E4190" s="49">
        <v>45063.236111096921</v>
      </c>
      <c r="F4190" s="56">
        <v>0</v>
      </c>
      <c r="G4190" s="48"/>
      <c r="H4190" s="48"/>
      <c r="I4190" s="48"/>
      <c r="J4190" s="48"/>
      <c r="L4190" s="65"/>
    </row>
    <row r="4191" spans="5:12">
      <c r="E4191" s="49">
        <v>45063.23958331914</v>
      </c>
      <c r="F4191" s="56">
        <v>0</v>
      </c>
      <c r="G4191" s="48"/>
      <c r="H4191" s="48"/>
      <c r="I4191" s="48"/>
      <c r="J4191" s="48"/>
      <c r="L4191" s="65"/>
    </row>
    <row r="4192" spans="5:12">
      <c r="E4192" s="49">
        <v>45063.243055541359</v>
      </c>
      <c r="F4192" s="56">
        <v>0</v>
      </c>
      <c r="G4192" s="48"/>
      <c r="H4192" s="48"/>
      <c r="I4192" s="48"/>
      <c r="J4192" s="48"/>
      <c r="L4192" s="65"/>
    </row>
    <row r="4193" spans="5:12">
      <c r="E4193" s="49">
        <v>45063.246527763578</v>
      </c>
      <c r="F4193" s="56">
        <v>0</v>
      </c>
      <c r="G4193" s="48"/>
      <c r="H4193" s="48"/>
      <c r="I4193" s="48"/>
      <c r="J4193" s="48"/>
      <c r="L4193" s="65"/>
    </row>
    <row r="4194" spans="5:12">
      <c r="E4194" s="49">
        <v>45063.249999985797</v>
      </c>
      <c r="F4194" s="56">
        <v>0</v>
      </c>
      <c r="G4194" s="48"/>
      <c r="H4194" s="48"/>
      <c r="I4194" s="48"/>
      <c r="J4194" s="48"/>
      <c r="L4194" s="65"/>
    </row>
    <row r="4195" spans="5:12">
      <c r="E4195" s="49">
        <v>45063.253472208016</v>
      </c>
      <c r="F4195" s="56">
        <v>0</v>
      </c>
      <c r="G4195" s="48"/>
      <c r="H4195" s="48"/>
      <c r="I4195" s="48"/>
      <c r="J4195" s="48"/>
      <c r="L4195" s="65"/>
    </row>
    <row r="4196" spans="5:12">
      <c r="E4196" s="49">
        <v>45063.256944430235</v>
      </c>
      <c r="F4196" s="56">
        <v>0</v>
      </c>
      <c r="G4196" s="48"/>
      <c r="H4196" s="48"/>
      <c r="I4196" s="48"/>
      <c r="J4196" s="48"/>
      <c r="L4196" s="65"/>
    </row>
    <row r="4197" spans="5:12">
      <c r="E4197" s="49">
        <v>45063.260416652454</v>
      </c>
      <c r="F4197" s="56">
        <v>0</v>
      </c>
      <c r="G4197" s="48"/>
      <c r="H4197" s="48"/>
      <c r="I4197" s="48"/>
      <c r="J4197" s="48"/>
      <c r="L4197" s="65"/>
    </row>
    <row r="4198" spans="5:12">
      <c r="E4198" s="49">
        <v>45063.263888874673</v>
      </c>
      <c r="F4198" s="56">
        <v>0</v>
      </c>
      <c r="G4198" s="48"/>
      <c r="H4198" s="48"/>
      <c r="I4198" s="48"/>
      <c r="J4198" s="48"/>
      <c r="L4198" s="65"/>
    </row>
    <row r="4199" spans="5:12">
      <c r="E4199" s="49">
        <v>45063.267361096892</v>
      </c>
      <c r="F4199" s="56">
        <v>0</v>
      </c>
      <c r="G4199" s="48"/>
      <c r="H4199" s="48"/>
      <c r="I4199" s="48"/>
      <c r="J4199" s="48"/>
      <c r="L4199" s="65"/>
    </row>
    <row r="4200" spans="5:12">
      <c r="E4200" s="49">
        <v>45063.270833319111</v>
      </c>
      <c r="F4200" s="56">
        <v>0</v>
      </c>
      <c r="G4200" s="48"/>
      <c r="H4200" s="48"/>
      <c r="I4200" s="48"/>
      <c r="J4200" s="48"/>
      <c r="L4200" s="65"/>
    </row>
    <row r="4201" spans="5:12">
      <c r="E4201" s="49">
        <v>45063.27430554133</v>
      </c>
      <c r="F4201" s="56">
        <v>0</v>
      </c>
      <c r="G4201" s="48"/>
      <c r="H4201" s="48"/>
      <c r="I4201" s="48"/>
      <c r="J4201" s="48"/>
      <c r="L4201" s="65"/>
    </row>
    <row r="4202" spans="5:12">
      <c r="E4202" s="49">
        <v>45063.277777763549</v>
      </c>
      <c r="F4202" s="56">
        <v>0</v>
      </c>
      <c r="G4202" s="48"/>
      <c r="H4202" s="48"/>
      <c r="I4202" s="48"/>
      <c r="J4202" s="48"/>
      <c r="L4202" s="65"/>
    </row>
    <row r="4203" spans="5:12">
      <c r="E4203" s="49">
        <v>45063.281249985768</v>
      </c>
      <c r="F4203" s="56">
        <v>0</v>
      </c>
      <c r="G4203" s="48"/>
      <c r="H4203" s="48"/>
      <c r="I4203" s="48"/>
      <c r="J4203" s="48"/>
      <c r="L4203" s="65"/>
    </row>
    <row r="4204" spans="5:12">
      <c r="E4204" s="49">
        <v>45063.284722207987</v>
      </c>
      <c r="F4204" s="56">
        <v>0</v>
      </c>
      <c r="G4204" s="48"/>
      <c r="H4204" s="48"/>
      <c r="I4204" s="48"/>
      <c r="J4204" s="48"/>
      <c r="L4204" s="65"/>
    </row>
    <row r="4205" spans="5:12">
      <c r="E4205" s="49">
        <v>45063.288194430206</v>
      </c>
      <c r="F4205" s="56">
        <v>0</v>
      </c>
      <c r="G4205" s="48"/>
      <c r="H4205" s="48"/>
      <c r="I4205" s="48"/>
      <c r="J4205" s="48"/>
      <c r="L4205" s="65"/>
    </row>
    <row r="4206" spans="5:12">
      <c r="E4206" s="49">
        <v>45063.291666652425</v>
      </c>
      <c r="F4206" s="56">
        <v>0</v>
      </c>
      <c r="G4206" s="48"/>
      <c r="H4206" s="48"/>
      <c r="I4206" s="48"/>
      <c r="J4206" s="48"/>
      <c r="L4206" s="65"/>
    </row>
    <row r="4207" spans="5:12">
      <c r="E4207" s="49">
        <v>45063.295138874644</v>
      </c>
      <c r="F4207" s="56">
        <v>0</v>
      </c>
      <c r="G4207" s="48"/>
      <c r="H4207" s="48"/>
      <c r="I4207" s="48"/>
      <c r="J4207" s="48"/>
      <c r="L4207" s="65"/>
    </row>
    <row r="4208" spans="5:12">
      <c r="E4208" s="49">
        <v>45063.298611096863</v>
      </c>
      <c r="F4208" s="56">
        <v>0</v>
      </c>
      <c r="G4208" s="48"/>
      <c r="H4208" s="48"/>
      <c r="I4208" s="48"/>
      <c r="J4208" s="48"/>
      <c r="L4208" s="65"/>
    </row>
    <row r="4209" spans="5:12">
      <c r="E4209" s="49">
        <v>45063.302083319082</v>
      </c>
      <c r="F4209" s="56">
        <v>0</v>
      </c>
      <c r="G4209" s="48"/>
      <c r="H4209" s="48"/>
      <c r="I4209" s="48"/>
      <c r="J4209" s="48"/>
      <c r="L4209" s="65"/>
    </row>
    <row r="4210" spans="5:12">
      <c r="E4210" s="49">
        <v>45063.305555541301</v>
      </c>
      <c r="F4210" s="56">
        <v>0</v>
      </c>
      <c r="G4210" s="48"/>
      <c r="H4210" s="48"/>
      <c r="I4210" s="48"/>
      <c r="J4210" s="48"/>
      <c r="L4210" s="65"/>
    </row>
    <row r="4211" spans="5:12">
      <c r="E4211" s="49">
        <v>45063.30902776352</v>
      </c>
      <c r="F4211" s="56">
        <v>0</v>
      </c>
      <c r="G4211" s="48"/>
      <c r="H4211" s="48"/>
      <c r="I4211" s="48"/>
      <c r="J4211" s="48"/>
      <c r="L4211" s="65"/>
    </row>
    <row r="4212" spans="5:12">
      <c r="E4212" s="49">
        <v>45063.312499985739</v>
      </c>
      <c r="F4212" s="56">
        <v>0</v>
      </c>
      <c r="G4212" s="48"/>
      <c r="H4212" s="48"/>
      <c r="I4212" s="48"/>
      <c r="J4212" s="48"/>
      <c r="L4212" s="65"/>
    </row>
    <row r="4213" spans="5:12">
      <c r="E4213" s="49">
        <v>45063.315972207958</v>
      </c>
      <c r="F4213" s="56">
        <v>0</v>
      </c>
      <c r="G4213" s="48"/>
      <c r="H4213" s="48"/>
      <c r="I4213" s="48"/>
      <c r="J4213" s="48"/>
      <c r="L4213" s="65"/>
    </row>
    <row r="4214" spans="5:12">
      <c r="E4214" s="49">
        <v>45063.319444430177</v>
      </c>
      <c r="F4214" s="56">
        <v>0</v>
      </c>
      <c r="G4214" s="48"/>
      <c r="H4214" s="48"/>
      <c r="I4214" s="48"/>
      <c r="J4214" s="48"/>
      <c r="L4214" s="65"/>
    </row>
    <row r="4215" spans="5:12">
      <c r="E4215" s="49">
        <v>45063.322916652396</v>
      </c>
      <c r="F4215" s="56">
        <v>0</v>
      </c>
      <c r="G4215" s="48"/>
      <c r="H4215" s="48"/>
      <c r="I4215" s="48"/>
      <c r="J4215" s="48"/>
      <c r="L4215" s="65"/>
    </row>
    <row r="4216" spans="5:12">
      <c r="E4216" s="49">
        <v>45063.326388874615</v>
      </c>
      <c r="F4216" s="56">
        <v>0</v>
      </c>
      <c r="G4216" s="48"/>
      <c r="H4216" s="48"/>
      <c r="I4216" s="48"/>
      <c r="J4216" s="48"/>
      <c r="L4216" s="65"/>
    </row>
    <row r="4217" spans="5:12">
      <c r="E4217" s="49">
        <v>45063.329861096834</v>
      </c>
      <c r="F4217" s="56">
        <v>0</v>
      </c>
      <c r="G4217" s="48"/>
      <c r="H4217" s="48"/>
      <c r="I4217" s="48"/>
      <c r="J4217" s="48"/>
      <c r="L4217" s="65"/>
    </row>
    <row r="4218" spans="5:12">
      <c r="E4218" s="49">
        <v>45063.333333319053</v>
      </c>
      <c r="F4218" s="56">
        <v>0</v>
      </c>
      <c r="G4218" s="48"/>
      <c r="H4218" s="48"/>
      <c r="I4218" s="48"/>
      <c r="J4218" s="48"/>
      <c r="L4218" s="65"/>
    </row>
    <row r="4219" spans="5:12">
      <c r="E4219" s="49">
        <v>45063.336805541272</v>
      </c>
      <c r="F4219" s="56">
        <v>0</v>
      </c>
      <c r="G4219" s="48"/>
      <c r="H4219" s="48"/>
      <c r="I4219" s="48"/>
      <c r="J4219" s="48"/>
      <c r="L4219" s="65"/>
    </row>
    <row r="4220" spans="5:12">
      <c r="E4220" s="49">
        <v>45063.340277763491</v>
      </c>
      <c r="F4220" s="56">
        <v>0</v>
      </c>
      <c r="G4220" s="48"/>
      <c r="H4220" s="48"/>
      <c r="I4220" s="48"/>
      <c r="J4220" s="48"/>
      <c r="L4220" s="65"/>
    </row>
    <row r="4221" spans="5:12">
      <c r="E4221" s="49">
        <v>45063.34374998571</v>
      </c>
      <c r="F4221" s="56">
        <v>0</v>
      </c>
      <c r="G4221" s="48"/>
      <c r="H4221" s="48"/>
      <c r="I4221" s="48"/>
      <c r="J4221" s="48"/>
      <c r="L4221" s="65"/>
    </row>
    <row r="4222" spans="5:12">
      <c r="E4222" s="49">
        <v>45063.347222207929</v>
      </c>
      <c r="F4222" s="56">
        <v>0</v>
      </c>
      <c r="G4222" s="48"/>
      <c r="H4222" s="48"/>
      <c r="I4222" s="48"/>
      <c r="J4222" s="48"/>
      <c r="L4222" s="65"/>
    </row>
    <row r="4223" spans="5:12">
      <c r="E4223" s="49">
        <v>45063.350694430148</v>
      </c>
      <c r="F4223" s="56">
        <v>0</v>
      </c>
      <c r="G4223" s="48"/>
      <c r="H4223" s="48"/>
      <c r="I4223" s="48"/>
      <c r="J4223" s="48"/>
      <c r="L4223" s="65"/>
    </row>
    <row r="4224" spans="5:12">
      <c r="E4224" s="49">
        <v>45063.354166652367</v>
      </c>
      <c r="F4224" s="56">
        <v>0</v>
      </c>
      <c r="G4224" s="48"/>
      <c r="H4224" s="48"/>
      <c r="I4224" s="48"/>
      <c r="J4224" s="48"/>
      <c r="L4224" s="65"/>
    </row>
    <row r="4225" spans="5:12">
      <c r="E4225" s="49">
        <v>45063.357638874586</v>
      </c>
      <c r="F4225" s="56">
        <v>0</v>
      </c>
      <c r="G4225" s="48"/>
      <c r="H4225" s="48"/>
      <c r="I4225" s="48"/>
      <c r="J4225" s="48"/>
      <c r="L4225" s="65"/>
    </row>
    <row r="4226" spans="5:12">
      <c r="E4226" s="49">
        <v>45063.361111096805</v>
      </c>
      <c r="F4226" s="56">
        <v>0</v>
      </c>
      <c r="G4226" s="48"/>
      <c r="H4226" s="48"/>
      <c r="I4226" s="48"/>
      <c r="J4226" s="48"/>
      <c r="L4226" s="65"/>
    </row>
    <row r="4227" spans="5:12">
      <c r="E4227" s="49">
        <v>45063.364583319024</v>
      </c>
      <c r="F4227" s="56">
        <v>0</v>
      </c>
      <c r="G4227" s="48"/>
      <c r="H4227" s="48"/>
      <c r="I4227" s="48"/>
      <c r="J4227" s="48"/>
      <c r="L4227" s="65"/>
    </row>
    <row r="4228" spans="5:12">
      <c r="E4228" s="49">
        <v>45063.368055541243</v>
      </c>
      <c r="F4228" s="56">
        <v>0</v>
      </c>
      <c r="G4228" s="48"/>
      <c r="H4228" s="48"/>
      <c r="I4228" s="48"/>
      <c r="J4228" s="48"/>
      <c r="L4228" s="65"/>
    </row>
    <row r="4229" spans="5:12">
      <c r="E4229" s="49">
        <v>45063.371527763462</v>
      </c>
      <c r="F4229" s="56">
        <v>0</v>
      </c>
      <c r="G4229" s="48"/>
      <c r="H4229" s="48"/>
      <c r="I4229" s="48"/>
      <c r="J4229" s="48"/>
      <c r="L4229" s="65"/>
    </row>
    <row r="4230" spans="5:12">
      <c r="E4230" s="49">
        <v>45063.374999985681</v>
      </c>
      <c r="F4230" s="56">
        <v>0</v>
      </c>
      <c r="G4230" s="48"/>
      <c r="H4230" s="48"/>
      <c r="I4230" s="48"/>
      <c r="J4230" s="48"/>
      <c r="L4230" s="65"/>
    </row>
    <row r="4231" spans="5:12">
      <c r="E4231" s="49">
        <v>45063.3784722079</v>
      </c>
      <c r="F4231" s="56">
        <v>0</v>
      </c>
      <c r="G4231" s="48"/>
      <c r="H4231" s="48"/>
      <c r="I4231" s="48"/>
      <c r="J4231" s="48"/>
      <c r="L4231" s="65"/>
    </row>
    <row r="4232" spans="5:12">
      <c r="E4232" s="49">
        <v>45063.381944430119</v>
      </c>
      <c r="F4232" s="56">
        <v>0</v>
      </c>
      <c r="G4232" s="48"/>
      <c r="H4232" s="48"/>
      <c r="I4232" s="48"/>
      <c r="J4232" s="48"/>
      <c r="L4232" s="65"/>
    </row>
    <row r="4233" spans="5:12">
      <c r="E4233" s="49">
        <v>45063.385416652338</v>
      </c>
      <c r="F4233" s="56">
        <v>0</v>
      </c>
      <c r="G4233" s="48"/>
      <c r="H4233" s="48"/>
      <c r="I4233" s="48"/>
      <c r="J4233" s="48"/>
      <c r="L4233" s="65"/>
    </row>
    <row r="4234" spans="5:12">
      <c r="E4234" s="49">
        <v>45063.388888874557</v>
      </c>
      <c r="F4234" s="56">
        <v>0</v>
      </c>
      <c r="G4234" s="48"/>
      <c r="H4234" s="48"/>
      <c r="I4234" s="48"/>
      <c r="J4234" s="48"/>
      <c r="L4234" s="65"/>
    </row>
    <row r="4235" spans="5:12">
      <c r="E4235" s="49">
        <v>45063.392361096776</v>
      </c>
      <c r="F4235" s="56">
        <v>0</v>
      </c>
      <c r="G4235" s="48"/>
      <c r="H4235" s="48"/>
      <c r="I4235" s="48"/>
      <c r="J4235" s="48"/>
      <c r="L4235" s="65"/>
    </row>
    <row r="4236" spans="5:12">
      <c r="E4236" s="49">
        <v>45063.395833318995</v>
      </c>
      <c r="F4236" s="56">
        <v>0</v>
      </c>
      <c r="G4236" s="48"/>
      <c r="H4236" s="48"/>
      <c r="I4236" s="48"/>
      <c r="J4236" s="48"/>
      <c r="L4236" s="65"/>
    </row>
    <row r="4237" spans="5:12">
      <c r="E4237" s="49">
        <v>45063.399305541214</v>
      </c>
      <c r="F4237" s="56">
        <v>0</v>
      </c>
      <c r="G4237" s="48"/>
      <c r="H4237" s="48"/>
      <c r="I4237" s="48"/>
      <c r="J4237" s="48"/>
      <c r="L4237" s="65"/>
    </row>
    <row r="4238" spans="5:12">
      <c r="E4238" s="49">
        <v>45063.402777763433</v>
      </c>
      <c r="F4238" s="56">
        <v>0</v>
      </c>
      <c r="G4238" s="48"/>
      <c r="H4238" s="48"/>
      <c r="I4238" s="48"/>
      <c r="J4238" s="48"/>
      <c r="L4238" s="65"/>
    </row>
    <row r="4239" spans="5:12">
      <c r="E4239" s="49">
        <v>45063.406249985652</v>
      </c>
      <c r="F4239" s="56">
        <v>0</v>
      </c>
      <c r="G4239" s="48"/>
      <c r="H4239" s="48"/>
      <c r="I4239" s="48"/>
      <c r="J4239" s="48"/>
      <c r="L4239" s="65"/>
    </row>
    <row r="4240" spans="5:12">
      <c r="E4240" s="49">
        <v>45063.409722207871</v>
      </c>
      <c r="F4240" s="56">
        <v>0</v>
      </c>
      <c r="G4240" s="48"/>
      <c r="H4240" s="48"/>
      <c r="I4240" s="48"/>
      <c r="J4240" s="48"/>
      <c r="L4240" s="65"/>
    </row>
    <row r="4241" spans="5:12">
      <c r="E4241" s="49">
        <v>45063.41319443009</v>
      </c>
      <c r="F4241" s="56">
        <v>0</v>
      </c>
      <c r="G4241" s="48"/>
      <c r="H4241" s="48"/>
      <c r="I4241" s="48"/>
      <c r="J4241" s="48"/>
      <c r="L4241" s="65"/>
    </row>
    <row r="4242" spans="5:12">
      <c r="E4242" s="49">
        <v>45063.416666652309</v>
      </c>
      <c r="F4242" s="56">
        <v>0</v>
      </c>
      <c r="G4242" s="48"/>
      <c r="H4242" s="48"/>
      <c r="I4242" s="48"/>
      <c r="J4242" s="48"/>
      <c r="L4242" s="65"/>
    </row>
    <row r="4243" spans="5:12">
      <c r="E4243" s="49">
        <v>45063.420138874528</v>
      </c>
      <c r="F4243" s="56">
        <v>0</v>
      </c>
      <c r="G4243" s="48"/>
      <c r="H4243" s="48"/>
      <c r="I4243" s="48"/>
      <c r="J4243" s="48"/>
      <c r="L4243" s="65"/>
    </row>
    <row r="4244" spans="5:12">
      <c r="E4244" s="49">
        <v>45063.423611096747</v>
      </c>
      <c r="F4244" s="56">
        <v>0</v>
      </c>
      <c r="G4244" s="48"/>
      <c r="H4244" s="48"/>
      <c r="I4244" s="48"/>
      <c r="J4244" s="48"/>
      <c r="L4244" s="65"/>
    </row>
    <row r="4245" spans="5:12">
      <c r="E4245" s="49">
        <v>45063.427083318966</v>
      </c>
      <c r="F4245" s="56">
        <v>0</v>
      </c>
      <c r="G4245" s="48"/>
      <c r="H4245" s="48"/>
      <c r="I4245" s="48"/>
      <c r="J4245" s="48"/>
      <c r="L4245" s="65"/>
    </row>
    <row r="4246" spans="5:12">
      <c r="E4246" s="49">
        <v>45063.430555541185</v>
      </c>
      <c r="F4246" s="56">
        <v>0</v>
      </c>
      <c r="G4246" s="48"/>
      <c r="H4246" s="48"/>
      <c r="I4246" s="48"/>
      <c r="J4246" s="48"/>
      <c r="L4246" s="65"/>
    </row>
    <row r="4247" spans="5:12">
      <c r="E4247" s="49">
        <v>45063.434027763404</v>
      </c>
      <c r="F4247" s="56">
        <v>0</v>
      </c>
      <c r="G4247" s="48"/>
      <c r="H4247" s="48"/>
      <c r="I4247" s="48"/>
      <c r="J4247" s="48"/>
      <c r="L4247" s="65"/>
    </row>
    <row r="4248" spans="5:12">
      <c r="E4248" s="49">
        <v>45063.437499985623</v>
      </c>
      <c r="F4248" s="56">
        <v>0</v>
      </c>
      <c r="G4248" s="48"/>
      <c r="H4248" s="48"/>
      <c r="I4248" s="48"/>
      <c r="J4248" s="48"/>
      <c r="L4248" s="65"/>
    </row>
    <row r="4249" spans="5:12">
      <c r="E4249" s="49">
        <v>45063.440972207842</v>
      </c>
      <c r="F4249" s="56">
        <v>0</v>
      </c>
      <c r="G4249" s="48"/>
      <c r="H4249" s="48"/>
      <c r="I4249" s="48"/>
      <c r="J4249" s="48"/>
      <c r="L4249" s="65"/>
    </row>
    <row r="4250" spans="5:12">
      <c r="E4250" s="49">
        <v>45063.444444430061</v>
      </c>
      <c r="F4250" s="56">
        <v>0</v>
      </c>
      <c r="G4250" s="48"/>
      <c r="H4250" s="48"/>
      <c r="I4250" s="48"/>
      <c r="J4250" s="48"/>
      <c r="L4250" s="65"/>
    </row>
    <row r="4251" spans="5:12">
      <c r="E4251" s="49">
        <v>45063.44791665228</v>
      </c>
      <c r="F4251" s="56">
        <v>0</v>
      </c>
      <c r="G4251" s="48"/>
      <c r="H4251" s="48"/>
      <c r="I4251" s="48"/>
      <c r="J4251" s="48"/>
      <c r="L4251" s="65"/>
    </row>
    <row r="4252" spans="5:12">
      <c r="E4252" s="49">
        <v>45063.451388874499</v>
      </c>
      <c r="F4252" s="56">
        <v>0</v>
      </c>
      <c r="G4252" s="48"/>
      <c r="H4252" s="48"/>
      <c r="I4252" s="48"/>
      <c r="J4252" s="48"/>
      <c r="L4252" s="65"/>
    </row>
    <row r="4253" spans="5:12">
      <c r="E4253" s="49">
        <v>45063.454861096718</v>
      </c>
      <c r="F4253" s="56">
        <v>0</v>
      </c>
      <c r="G4253" s="48"/>
      <c r="H4253" s="48"/>
      <c r="I4253" s="48"/>
      <c r="J4253" s="48"/>
      <c r="L4253" s="65"/>
    </row>
    <row r="4254" spans="5:12">
      <c r="E4254" s="49">
        <v>45063.458333318937</v>
      </c>
      <c r="F4254" s="56">
        <v>0</v>
      </c>
      <c r="G4254" s="48"/>
      <c r="H4254" s="48"/>
      <c r="I4254" s="48"/>
      <c r="J4254" s="48"/>
      <c r="L4254" s="65"/>
    </row>
    <row r="4255" spans="5:12">
      <c r="E4255" s="49">
        <v>45063.461805541156</v>
      </c>
      <c r="F4255" s="56">
        <v>0</v>
      </c>
      <c r="G4255" s="48"/>
      <c r="H4255" s="48"/>
      <c r="I4255" s="48"/>
      <c r="J4255" s="48"/>
      <c r="L4255" s="65"/>
    </row>
    <row r="4256" spans="5:12">
      <c r="E4256" s="49">
        <v>45063.465277763375</v>
      </c>
      <c r="F4256" s="56">
        <v>0</v>
      </c>
      <c r="G4256" s="48"/>
      <c r="H4256" s="48"/>
      <c r="I4256" s="48"/>
      <c r="J4256" s="48"/>
      <c r="L4256" s="65"/>
    </row>
    <row r="4257" spans="5:12">
      <c r="E4257" s="49">
        <v>45063.468749985594</v>
      </c>
      <c r="F4257" s="56">
        <v>0</v>
      </c>
      <c r="G4257" s="48"/>
      <c r="H4257" s="48"/>
      <c r="I4257" s="48"/>
      <c r="J4257" s="48"/>
      <c r="L4257" s="65"/>
    </row>
    <row r="4258" spans="5:12">
      <c r="E4258" s="49">
        <v>45063.472222207813</v>
      </c>
      <c r="F4258" s="56">
        <v>0</v>
      </c>
      <c r="G4258" s="48"/>
      <c r="H4258" s="48"/>
      <c r="I4258" s="48"/>
      <c r="J4258" s="48"/>
      <c r="L4258" s="65"/>
    </row>
    <row r="4259" spans="5:12">
      <c r="E4259" s="49">
        <v>45063.475694430032</v>
      </c>
      <c r="F4259" s="56">
        <v>0</v>
      </c>
      <c r="G4259" s="48"/>
      <c r="H4259" s="48"/>
      <c r="I4259" s="48"/>
      <c r="J4259" s="48"/>
      <c r="L4259" s="65"/>
    </row>
    <row r="4260" spans="5:12">
      <c r="E4260" s="49">
        <v>45063.479166652251</v>
      </c>
      <c r="F4260" s="56">
        <v>0</v>
      </c>
      <c r="G4260" s="48"/>
      <c r="H4260" s="48"/>
      <c r="I4260" s="48"/>
      <c r="J4260" s="48"/>
      <c r="L4260" s="65"/>
    </row>
    <row r="4261" spans="5:12">
      <c r="E4261" s="49">
        <v>45063.48263887447</v>
      </c>
      <c r="F4261" s="56">
        <v>0</v>
      </c>
      <c r="G4261" s="48"/>
      <c r="H4261" s="48"/>
      <c r="I4261" s="48"/>
      <c r="J4261" s="48"/>
      <c r="L4261" s="65"/>
    </row>
    <row r="4262" spans="5:12">
      <c r="E4262" s="49">
        <v>45063.486111096689</v>
      </c>
      <c r="F4262" s="56">
        <v>0</v>
      </c>
      <c r="G4262" s="48"/>
      <c r="H4262" s="48"/>
      <c r="I4262" s="48"/>
      <c r="J4262" s="48"/>
      <c r="L4262" s="65"/>
    </row>
    <row r="4263" spans="5:12">
      <c r="E4263" s="49">
        <v>45063.489583318908</v>
      </c>
      <c r="F4263" s="56">
        <v>0</v>
      </c>
      <c r="G4263" s="48"/>
      <c r="H4263" s="48"/>
      <c r="I4263" s="48"/>
      <c r="J4263" s="48"/>
      <c r="L4263" s="65"/>
    </row>
    <row r="4264" spans="5:12">
      <c r="E4264" s="49">
        <v>45063.493055541127</v>
      </c>
      <c r="F4264" s="56">
        <v>0</v>
      </c>
      <c r="G4264" s="48"/>
      <c r="H4264" s="48"/>
      <c r="I4264" s="48"/>
      <c r="J4264" s="48"/>
      <c r="L4264" s="65"/>
    </row>
    <row r="4265" spans="5:12">
      <c r="E4265" s="49">
        <v>45063.496527763346</v>
      </c>
      <c r="F4265" s="56">
        <v>0</v>
      </c>
      <c r="G4265" s="48"/>
      <c r="H4265" s="48"/>
      <c r="I4265" s="48"/>
      <c r="J4265" s="48"/>
      <c r="L4265" s="65"/>
    </row>
    <row r="4266" spans="5:12">
      <c r="E4266" s="49">
        <v>45063.499999985565</v>
      </c>
      <c r="F4266" s="56">
        <v>0</v>
      </c>
      <c r="G4266" s="48"/>
      <c r="H4266" s="48"/>
      <c r="I4266" s="48"/>
      <c r="J4266" s="48"/>
      <c r="L4266" s="65"/>
    </row>
    <row r="4267" spans="5:12">
      <c r="E4267" s="49">
        <v>45063.503472207783</v>
      </c>
      <c r="F4267" s="56">
        <v>0</v>
      </c>
      <c r="G4267" s="48"/>
      <c r="H4267" s="48"/>
      <c r="I4267" s="48"/>
      <c r="J4267" s="48"/>
      <c r="L4267" s="65"/>
    </row>
    <row r="4268" spans="5:12">
      <c r="E4268" s="49">
        <v>45063.506944430002</v>
      </c>
      <c r="F4268" s="56">
        <v>0</v>
      </c>
      <c r="G4268" s="48"/>
      <c r="H4268" s="48"/>
      <c r="I4268" s="48"/>
      <c r="J4268" s="48"/>
      <c r="L4268" s="65"/>
    </row>
    <row r="4269" spans="5:12">
      <c r="E4269" s="49">
        <v>45063.510416652221</v>
      </c>
      <c r="F4269" s="56">
        <v>0</v>
      </c>
      <c r="G4269" s="48"/>
      <c r="H4269" s="48"/>
      <c r="I4269" s="48"/>
      <c r="J4269" s="48"/>
      <c r="L4269" s="65"/>
    </row>
    <row r="4270" spans="5:12">
      <c r="E4270" s="49">
        <v>45063.51388887444</v>
      </c>
      <c r="F4270" s="56">
        <v>0</v>
      </c>
      <c r="G4270" s="48"/>
      <c r="H4270" s="48"/>
      <c r="I4270" s="48"/>
      <c r="J4270" s="48"/>
      <c r="L4270" s="65"/>
    </row>
    <row r="4271" spans="5:12">
      <c r="E4271" s="49">
        <v>45063.517361096659</v>
      </c>
      <c r="F4271" s="56">
        <v>0</v>
      </c>
      <c r="G4271" s="48"/>
      <c r="H4271" s="48"/>
      <c r="I4271" s="48"/>
      <c r="J4271" s="48"/>
      <c r="L4271" s="65"/>
    </row>
    <row r="4272" spans="5:12">
      <c r="E4272" s="49">
        <v>45063.520833318878</v>
      </c>
      <c r="F4272" s="56">
        <v>0</v>
      </c>
      <c r="G4272" s="48"/>
      <c r="H4272" s="48"/>
      <c r="I4272" s="48"/>
      <c r="J4272" s="48"/>
      <c r="L4272" s="65"/>
    </row>
    <row r="4273" spans="5:12">
      <c r="E4273" s="49">
        <v>45063.524305541097</v>
      </c>
      <c r="F4273" s="56">
        <v>0</v>
      </c>
      <c r="G4273" s="48"/>
      <c r="H4273" s="48"/>
      <c r="I4273" s="48"/>
      <c r="J4273" s="48"/>
      <c r="L4273" s="65"/>
    </row>
    <row r="4274" spans="5:12">
      <c r="E4274" s="49">
        <v>45063.527777763316</v>
      </c>
      <c r="F4274" s="56">
        <v>0</v>
      </c>
      <c r="G4274" s="48"/>
      <c r="H4274" s="48"/>
      <c r="I4274" s="48"/>
      <c r="J4274" s="48"/>
      <c r="L4274" s="65"/>
    </row>
    <row r="4275" spans="5:12">
      <c r="E4275" s="49">
        <v>45063.531249985535</v>
      </c>
      <c r="F4275" s="56">
        <v>0</v>
      </c>
      <c r="G4275" s="48"/>
      <c r="H4275" s="48"/>
      <c r="I4275" s="48"/>
      <c r="J4275" s="48"/>
      <c r="L4275" s="65"/>
    </row>
    <row r="4276" spans="5:12">
      <c r="E4276" s="49">
        <v>45063.534722207754</v>
      </c>
      <c r="F4276" s="56">
        <v>0</v>
      </c>
      <c r="G4276" s="48"/>
      <c r="H4276" s="48"/>
      <c r="I4276" s="48"/>
      <c r="J4276" s="48"/>
      <c r="L4276" s="65"/>
    </row>
    <row r="4277" spans="5:12">
      <c r="E4277" s="49">
        <v>45063.538194429973</v>
      </c>
      <c r="F4277" s="56">
        <v>0</v>
      </c>
      <c r="G4277" s="48"/>
      <c r="H4277" s="48"/>
      <c r="I4277" s="48"/>
      <c r="J4277" s="48"/>
      <c r="L4277" s="65"/>
    </row>
    <row r="4278" spans="5:12">
      <c r="E4278" s="49">
        <v>45063.541666652192</v>
      </c>
      <c r="F4278" s="56">
        <v>0</v>
      </c>
      <c r="G4278" s="48"/>
      <c r="H4278" s="48"/>
      <c r="I4278" s="48"/>
      <c r="J4278" s="48"/>
      <c r="L4278" s="65"/>
    </row>
    <row r="4279" spans="5:12">
      <c r="E4279" s="49">
        <v>45063.545138874411</v>
      </c>
      <c r="F4279" s="56">
        <v>0</v>
      </c>
      <c r="G4279" s="48"/>
      <c r="H4279" s="48"/>
      <c r="I4279" s="48"/>
      <c r="J4279" s="48"/>
      <c r="L4279" s="65"/>
    </row>
    <row r="4280" spans="5:12">
      <c r="E4280" s="49">
        <v>45063.54861109663</v>
      </c>
      <c r="F4280" s="56">
        <v>0</v>
      </c>
      <c r="G4280" s="48"/>
      <c r="H4280" s="48"/>
      <c r="I4280" s="48"/>
      <c r="J4280" s="48"/>
      <c r="L4280" s="65"/>
    </row>
    <row r="4281" spans="5:12">
      <c r="E4281" s="49">
        <v>45063.552083318849</v>
      </c>
      <c r="F4281" s="56">
        <v>0</v>
      </c>
      <c r="G4281" s="48"/>
      <c r="H4281" s="48"/>
      <c r="I4281" s="48"/>
      <c r="J4281" s="48"/>
      <c r="L4281" s="65"/>
    </row>
    <row r="4282" spans="5:12">
      <c r="E4282" s="49">
        <v>45063.555555541068</v>
      </c>
      <c r="F4282" s="56">
        <v>0</v>
      </c>
      <c r="G4282" s="48"/>
      <c r="H4282" s="48"/>
      <c r="I4282" s="48"/>
      <c r="J4282" s="48"/>
      <c r="L4282" s="65"/>
    </row>
    <row r="4283" spans="5:12">
      <c r="E4283" s="49">
        <v>45063.559027763287</v>
      </c>
      <c r="F4283" s="56">
        <v>0</v>
      </c>
      <c r="G4283" s="48"/>
      <c r="H4283" s="48"/>
      <c r="I4283" s="48"/>
      <c r="J4283" s="48"/>
      <c r="L4283" s="65"/>
    </row>
    <row r="4284" spans="5:12">
      <c r="E4284" s="49">
        <v>45063.562499985506</v>
      </c>
      <c r="F4284" s="56">
        <v>0</v>
      </c>
      <c r="G4284" s="48"/>
      <c r="H4284" s="48"/>
      <c r="I4284" s="48"/>
      <c r="J4284" s="48"/>
      <c r="L4284" s="65"/>
    </row>
    <row r="4285" spans="5:12">
      <c r="E4285" s="49">
        <v>45063.565972207725</v>
      </c>
      <c r="F4285" s="56">
        <v>0</v>
      </c>
      <c r="G4285" s="48"/>
      <c r="H4285" s="48"/>
      <c r="I4285" s="48"/>
      <c r="J4285" s="48"/>
      <c r="L4285" s="65"/>
    </row>
    <row r="4286" spans="5:12">
      <c r="E4286" s="49">
        <v>45063.569444429944</v>
      </c>
      <c r="F4286" s="56">
        <v>0</v>
      </c>
      <c r="G4286" s="48"/>
      <c r="H4286" s="48"/>
      <c r="I4286" s="48"/>
      <c r="J4286" s="48"/>
      <c r="L4286" s="65"/>
    </row>
    <row r="4287" spans="5:12">
      <c r="E4287" s="49">
        <v>45063.572916652163</v>
      </c>
      <c r="F4287" s="56">
        <v>0</v>
      </c>
      <c r="G4287" s="48"/>
      <c r="H4287" s="48"/>
      <c r="I4287" s="48"/>
      <c r="J4287" s="48"/>
      <c r="L4287" s="65"/>
    </row>
    <row r="4288" spans="5:12">
      <c r="E4288" s="49">
        <v>45063.576388874382</v>
      </c>
      <c r="F4288" s="56">
        <v>0</v>
      </c>
      <c r="G4288" s="48"/>
      <c r="H4288" s="48"/>
      <c r="I4288" s="48"/>
      <c r="J4288" s="48"/>
      <c r="L4288" s="65"/>
    </row>
    <row r="4289" spans="5:12">
      <c r="E4289" s="49">
        <v>45063.579861096601</v>
      </c>
      <c r="F4289" s="56">
        <v>0</v>
      </c>
      <c r="G4289" s="48"/>
      <c r="H4289" s="48"/>
      <c r="I4289" s="48"/>
      <c r="J4289" s="48"/>
      <c r="L4289" s="65"/>
    </row>
    <row r="4290" spans="5:12">
      <c r="E4290" s="49">
        <v>45063.58333331882</v>
      </c>
      <c r="F4290" s="56">
        <v>0</v>
      </c>
      <c r="G4290" s="48"/>
      <c r="H4290" s="48"/>
      <c r="I4290" s="48"/>
      <c r="J4290" s="48"/>
      <c r="L4290" s="65"/>
    </row>
    <row r="4291" spans="5:12">
      <c r="E4291" s="49">
        <v>45063.586805541039</v>
      </c>
      <c r="F4291" s="56">
        <v>0</v>
      </c>
      <c r="G4291" s="48"/>
      <c r="H4291" s="48"/>
      <c r="I4291" s="48"/>
      <c r="J4291" s="48"/>
      <c r="L4291" s="65"/>
    </row>
    <row r="4292" spans="5:12">
      <c r="E4292" s="49">
        <v>45063.590277763258</v>
      </c>
      <c r="F4292" s="56">
        <v>0</v>
      </c>
      <c r="G4292" s="48"/>
      <c r="H4292" s="48"/>
      <c r="I4292" s="48"/>
      <c r="J4292" s="48"/>
      <c r="L4292" s="65"/>
    </row>
    <row r="4293" spans="5:12">
      <c r="E4293" s="49">
        <v>45063.593749985477</v>
      </c>
      <c r="F4293" s="56">
        <v>0</v>
      </c>
      <c r="G4293" s="48"/>
      <c r="H4293" s="48"/>
      <c r="I4293" s="48"/>
      <c r="J4293" s="48"/>
      <c r="L4293" s="65"/>
    </row>
    <row r="4294" spans="5:12">
      <c r="E4294" s="49">
        <v>45063.597222207696</v>
      </c>
      <c r="F4294" s="56">
        <v>0</v>
      </c>
      <c r="G4294" s="48"/>
      <c r="H4294" s="48"/>
      <c r="I4294" s="48"/>
      <c r="J4294" s="48"/>
      <c r="L4294" s="65"/>
    </row>
    <row r="4295" spans="5:12">
      <c r="E4295" s="49">
        <v>45063.600694429915</v>
      </c>
      <c r="F4295" s="56">
        <v>0</v>
      </c>
      <c r="G4295" s="48"/>
      <c r="H4295" s="48"/>
      <c r="I4295" s="48"/>
      <c r="J4295" s="48"/>
      <c r="L4295" s="65"/>
    </row>
    <row r="4296" spans="5:12">
      <c r="E4296" s="49">
        <v>45063.604166652134</v>
      </c>
      <c r="F4296" s="56">
        <v>0</v>
      </c>
      <c r="G4296" s="48"/>
      <c r="H4296" s="48"/>
      <c r="I4296" s="48"/>
      <c r="J4296" s="48"/>
      <c r="L4296" s="65"/>
    </row>
    <row r="4297" spans="5:12">
      <c r="E4297" s="49">
        <v>45063.607638874353</v>
      </c>
      <c r="F4297" s="56">
        <v>0</v>
      </c>
      <c r="G4297" s="48"/>
      <c r="H4297" s="48"/>
      <c r="I4297" s="48"/>
      <c r="J4297" s="48"/>
      <c r="L4297" s="65"/>
    </row>
    <row r="4298" spans="5:12">
      <c r="E4298" s="49">
        <v>45063.611111096572</v>
      </c>
      <c r="F4298" s="56">
        <v>0</v>
      </c>
      <c r="G4298" s="48"/>
      <c r="H4298" s="48"/>
      <c r="I4298" s="48"/>
      <c r="J4298" s="48"/>
      <c r="L4298" s="65"/>
    </row>
    <row r="4299" spans="5:12">
      <c r="E4299" s="49">
        <v>45063.614583318791</v>
      </c>
      <c r="F4299" s="56">
        <v>0</v>
      </c>
      <c r="G4299" s="48"/>
      <c r="H4299" s="48"/>
      <c r="I4299" s="48"/>
      <c r="J4299" s="48"/>
      <c r="L4299" s="65"/>
    </row>
    <row r="4300" spans="5:12">
      <c r="E4300" s="49">
        <v>45063.61805554101</v>
      </c>
      <c r="F4300" s="56">
        <v>0</v>
      </c>
      <c r="G4300" s="48"/>
      <c r="H4300" s="48"/>
      <c r="I4300" s="48"/>
      <c r="J4300" s="48"/>
      <c r="L4300" s="65"/>
    </row>
    <row r="4301" spans="5:12">
      <c r="E4301" s="49">
        <v>45063.621527763229</v>
      </c>
      <c r="F4301" s="56">
        <v>0</v>
      </c>
      <c r="G4301" s="48"/>
      <c r="H4301" s="48"/>
      <c r="I4301" s="48"/>
      <c r="J4301" s="48"/>
      <c r="L4301" s="65"/>
    </row>
    <row r="4302" spans="5:12">
      <c r="E4302" s="49">
        <v>45063.624999985448</v>
      </c>
      <c r="F4302" s="56">
        <v>0</v>
      </c>
      <c r="G4302" s="48"/>
      <c r="H4302" s="48"/>
      <c r="I4302" s="48"/>
      <c r="J4302" s="48"/>
      <c r="L4302" s="65"/>
    </row>
    <row r="4303" spans="5:12">
      <c r="E4303" s="49">
        <v>45063.628472207667</v>
      </c>
      <c r="F4303" s="56">
        <v>0</v>
      </c>
      <c r="G4303" s="48"/>
      <c r="H4303" s="48"/>
      <c r="I4303" s="48"/>
      <c r="J4303" s="48"/>
      <c r="L4303" s="65"/>
    </row>
    <row r="4304" spans="5:12">
      <c r="E4304" s="49">
        <v>45063.631944429886</v>
      </c>
      <c r="F4304" s="56">
        <v>0</v>
      </c>
      <c r="G4304" s="48"/>
      <c r="H4304" s="48"/>
      <c r="I4304" s="48"/>
      <c r="J4304" s="48"/>
      <c r="L4304" s="65"/>
    </row>
    <row r="4305" spans="5:12">
      <c r="E4305" s="49">
        <v>45063.635416652105</v>
      </c>
      <c r="F4305" s="56">
        <v>0</v>
      </c>
      <c r="G4305" s="48"/>
      <c r="H4305" s="48"/>
      <c r="I4305" s="48"/>
      <c r="J4305" s="48"/>
      <c r="L4305" s="65"/>
    </row>
    <row r="4306" spans="5:12">
      <c r="E4306" s="49">
        <v>45063.638888874324</v>
      </c>
      <c r="F4306" s="56">
        <v>0</v>
      </c>
      <c r="G4306" s="48"/>
      <c r="H4306" s="48"/>
      <c r="I4306" s="48"/>
      <c r="J4306" s="48"/>
      <c r="L4306" s="65"/>
    </row>
    <row r="4307" spans="5:12">
      <c r="E4307" s="49">
        <v>45063.642361096543</v>
      </c>
      <c r="F4307" s="56">
        <v>0</v>
      </c>
      <c r="G4307" s="48"/>
      <c r="H4307" s="48"/>
      <c r="I4307" s="48"/>
      <c r="J4307" s="48"/>
      <c r="L4307" s="65"/>
    </row>
    <row r="4308" spans="5:12">
      <c r="E4308" s="49">
        <v>45063.645833318762</v>
      </c>
      <c r="F4308" s="56">
        <v>0</v>
      </c>
      <c r="G4308" s="48"/>
      <c r="H4308" s="48"/>
      <c r="I4308" s="48"/>
      <c r="J4308" s="48"/>
      <c r="L4308" s="65"/>
    </row>
    <row r="4309" spans="5:12">
      <c r="E4309" s="49">
        <v>45063.649305540981</v>
      </c>
      <c r="F4309" s="56">
        <v>0</v>
      </c>
      <c r="G4309" s="48"/>
      <c r="H4309" s="48"/>
      <c r="I4309" s="48"/>
      <c r="J4309" s="48"/>
      <c r="L4309" s="65"/>
    </row>
    <row r="4310" spans="5:12">
      <c r="E4310" s="49">
        <v>45063.6527777632</v>
      </c>
      <c r="F4310" s="56">
        <v>0</v>
      </c>
      <c r="G4310" s="48"/>
      <c r="H4310" s="48"/>
      <c r="I4310" s="48"/>
      <c r="J4310" s="48"/>
      <c r="L4310" s="65"/>
    </row>
    <row r="4311" spans="5:12">
      <c r="E4311" s="49">
        <v>45063.656249985419</v>
      </c>
      <c r="F4311" s="56">
        <v>0</v>
      </c>
      <c r="G4311" s="48"/>
      <c r="H4311" s="48"/>
      <c r="I4311" s="48"/>
      <c r="J4311" s="48"/>
      <c r="L4311" s="65"/>
    </row>
    <row r="4312" spans="5:12">
      <c r="E4312" s="49">
        <v>45063.659722207638</v>
      </c>
      <c r="F4312" s="56">
        <v>0</v>
      </c>
      <c r="G4312" s="48"/>
      <c r="H4312" s="48"/>
      <c r="I4312" s="48"/>
      <c r="J4312" s="48"/>
      <c r="L4312" s="65"/>
    </row>
    <row r="4313" spans="5:12">
      <c r="E4313" s="49">
        <v>45063.663194429857</v>
      </c>
      <c r="F4313" s="56">
        <v>0</v>
      </c>
      <c r="G4313" s="48"/>
      <c r="H4313" s="48"/>
      <c r="I4313" s="48"/>
      <c r="J4313" s="48"/>
      <c r="L4313" s="65"/>
    </row>
    <row r="4314" spans="5:12">
      <c r="E4314" s="49">
        <v>45063.666666652076</v>
      </c>
      <c r="F4314" s="56">
        <v>0</v>
      </c>
      <c r="G4314" s="48"/>
      <c r="H4314" s="48"/>
      <c r="I4314" s="48"/>
      <c r="J4314" s="48"/>
      <c r="L4314" s="65"/>
    </row>
    <row r="4315" spans="5:12">
      <c r="E4315" s="49">
        <v>45063.670138874295</v>
      </c>
      <c r="F4315" s="56">
        <v>0</v>
      </c>
      <c r="G4315" s="48"/>
      <c r="H4315" s="48"/>
      <c r="I4315" s="48"/>
      <c r="J4315" s="48"/>
      <c r="L4315" s="65"/>
    </row>
    <row r="4316" spans="5:12">
      <c r="E4316" s="49">
        <v>45063.673611096514</v>
      </c>
      <c r="F4316" s="56">
        <v>0</v>
      </c>
      <c r="G4316" s="48"/>
      <c r="H4316" s="48"/>
      <c r="I4316" s="48"/>
      <c r="J4316" s="48"/>
      <c r="L4316" s="65"/>
    </row>
    <row r="4317" spans="5:12">
      <c r="E4317" s="49">
        <v>45063.677083318733</v>
      </c>
      <c r="F4317" s="56">
        <v>0</v>
      </c>
      <c r="G4317" s="48"/>
      <c r="H4317" s="48"/>
      <c r="I4317" s="48"/>
      <c r="J4317" s="48"/>
      <c r="L4317" s="65"/>
    </row>
    <row r="4318" spans="5:12">
      <c r="E4318" s="49">
        <v>45063.680555540952</v>
      </c>
      <c r="F4318" s="56">
        <v>0</v>
      </c>
      <c r="G4318" s="48"/>
      <c r="H4318" s="48"/>
      <c r="I4318" s="48"/>
      <c r="J4318" s="48"/>
      <c r="L4318" s="65"/>
    </row>
    <row r="4319" spans="5:12">
      <c r="E4319" s="49">
        <v>45063.684027763171</v>
      </c>
      <c r="F4319" s="56">
        <v>0</v>
      </c>
      <c r="G4319" s="48"/>
      <c r="H4319" s="48"/>
      <c r="I4319" s="48"/>
      <c r="J4319" s="48"/>
      <c r="L4319" s="65"/>
    </row>
    <row r="4320" spans="5:12">
      <c r="E4320" s="49">
        <v>45063.68749998539</v>
      </c>
      <c r="F4320" s="56">
        <v>0</v>
      </c>
      <c r="G4320" s="48"/>
      <c r="H4320" s="48"/>
      <c r="I4320" s="48"/>
      <c r="J4320" s="48"/>
      <c r="L4320" s="65"/>
    </row>
    <row r="4321" spans="5:12">
      <c r="E4321" s="49">
        <v>45063.690972207609</v>
      </c>
      <c r="F4321" s="56">
        <v>0</v>
      </c>
      <c r="G4321" s="48"/>
      <c r="H4321" s="48"/>
      <c r="I4321" s="48"/>
      <c r="J4321" s="48"/>
      <c r="L4321" s="65"/>
    </row>
    <row r="4322" spans="5:12">
      <c r="E4322" s="49">
        <v>45063.694444429828</v>
      </c>
      <c r="F4322" s="56">
        <v>0</v>
      </c>
      <c r="G4322" s="48"/>
      <c r="H4322" s="48"/>
      <c r="I4322" s="48"/>
      <c r="J4322" s="48"/>
      <c r="L4322" s="65"/>
    </row>
    <row r="4323" spans="5:12">
      <c r="E4323" s="49">
        <v>45063.697916652047</v>
      </c>
      <c r="F4323" s="56">
        <v>0</v>
      </c>
      <c r="G4323" s="48"/>
      <c r="H4323" s="48"/>
      <c r="I4323" s="48"/>
      <c r="J4323" s="48"/>
      <c r="L4323" s="65"/>
    </row>
    <row r="4324" spans="5:12">
      <c r="E4324" s="49">
        <v>45063.701388874266</v>
      </c>
      <c r="F4324" s="56">
        <v>0</v>
      </c>
      <c r="G4324" s="48"/>
      <c r="H4324" s="48"/>
      <c r="I4324" s="48"/>
      <c r="J4324" s="48"/>
      <c r="L4324" s="65"/>
    </row>
    <row r="4325" spans="5:12">
      <c r="E4325" s="49">
        <v>45063.704861096485</v>
      </c>
      <c r="F4325" s="56">
        <v>0</v>
      </c>
      <c r="G4325" s="48"/>
      <c r="H4325" s="48"/>
      <c r="I4325" s="48"/>
      <c r="J4325" s="48"/>
      <c r="L4325" s="65"/>
    </row>
    <row r="4326" spans="5:12">
      <c r="E4326" s="49">
        <v>45063.708333318704</v>
      </c>
      <c r="F4326" s="56">
        <v>0</v>
      </c>
      <c r="G4326" s="48"/>
      <c r="H4326" s="48"/>
      <c r="I4326" s="48"/>
      <c r="J4326" s="48"/>
      <c r="L4326" s="65"/>
    </row>
    <row r="4327" spans="5:12">
      <c r="E4327" s="49">
        <v>45063.711805540923</v>
      </c>
      <c r="F4327" s="56">
        <v>0</v>
      </c>
      <c r="G4327" s="48"/>
      <c r="H4327" s="48"/>
      <c r="I4327" s="48"/>
      <c r="J4327" s="48"/>
      <c r="L4327" s="65"/>
    </row>
    <row r="4328" spans="5:12">
      <c r="E4328" s="49">
        <v>45063.715277763142</v>
      </c>
      <c r="F4328" s="56">
        <v>0</v>
      </c>
      <c r="G4328" s="48"/>
      <c r="H4328" s="48"/>
      <c r="I4328" s="48"/>
      <c r="J4328" s="48"/>
      <c r="L4328" s="65"/>
    </row>
    <row r="4329" spans="5:12">
      <c r="E4329" s="49">
        <v>45063.718749985361</v>
      </c>
      <c r="F4329" s="56">
        <v>0</v>
      </c>
      <c r="G4329" s="48"/>
      <c r="H4329" s="48"/>
      <c r="I4329" s="48"/>
      <c r="J4329" s="48"/>
      <c r="L4329" s="65"/>
    </row>
    <row r="4330" spans="5:12">
      <c r="E4330" s="49">
        <v>45063.72222220758</v>
      </c>
      <c r="F4330" s="56">
        <v>0</v>
      </c>
      <c r="G4330" s="48"/>
      <c r="H4330" s="48"/>
      <c r="I4330" s="48"/>
      <c r="J4330" s="48"/>
      <c r="L4330" s="65"/>
    </row>
    <row r="4331" spans="5:12">
      <c r="E4331" s="49">
        <v>45063.725694429799</v>
      </c>
      <c r="F4331" s="56">
        <v>0</v>
      </c>
      <c r="G4331" s="48"/>
      <c r="H4331" s="48"/>
      <c r="I4331" s="48"/>
      <c r="J4331" s="48"/>
      <c r="L4331" s="65"/>
    </row>
    <row r="4332" spans="5:12">
      <c r="E4332" s="49">
        <v>45063.729166652018</v>
      </c>
      <c r="F4332" s="56">
        <v>0</v>
      </c>
      <c r="G4332" s="48"/>
      <c r="H4332" s="48"/>
      <c r="I4332" s="48"/>
      <c r="J4332" s="48"/>
      <c r="L4332" s="65"/>
    </row>
    <row r="4333" spans="5:12">
      <c r="E4333" s="49">
        <v>45063.732638874237</v>
      </c>
      <c r="F4333" s="56">
        <v>0</v>
      </c>
      <c r="G4333" s="48"/>
      <c r="H4333" s="48"/>
      <c r="I4333" s="48"/>
      <c r="J4333" s="48"/>
      <c r="L4333" s="65"/>
    </row>
    <row r="4334" spans="5:12">
      <c r="E4334" s="49">
        <v>45063.736111096456</v>
      </c>
      <c r="F4334" s="56">
        <v>0</v>
      </c>
      <c r="G4334" s="48"/>
      <c r="H4334" s="48"/>
      <c r="I4334" s="48"/>
      <c r="J4334" s="48"/>
      <c r="L4334" s="65"/>
    </row>
    <row r="4335" spans="5:12">
      <c r="E4335" s="49">
        <v>45063.739583318675</v>
      </c>
      <c r="F4335" s="56">
        <v>0</v>
      </c>
      <c r="G4335" s="48"/>
      <c r="H4335" s="48"/>
      <c r="I4335" s="48"/>
      <c r="J4335" s="48"/>
      <c r="L4335" s="65"/>
    </row>
    <row r="4336" spans="5:12">
      <c r="E4336" s="49">
        <v>45063.743055540894</v>
      </c>
      <c r="F4336" s="56">
        <v>0</v>
      </c>
      <c r="G4336" s="48"/>
      <c r="H4336" s="48"/>
      <c r="I4336" s="48"/>
      <c r="J4336" s="48"/>
      <c r="L4336" s="65"/>
    </row>
    <row r="4337" spans="5:12">
      <c r="E4337" s="49">
        <v>45063.746527763113</v>
      </c>
      <c r="F4337" s="56">
        <v>0</v>
      </c>
      <c r="G4337" s="48"/>
      <c r="H4337" s="48"/>
      <c r="I4337" s="48"/>
      <c r="J4337" s="48"/>
      <c r="L4337" s="65"/>
    </row>
    <row r="4338" spans="5:12">
      <c r="E4338" s="49">
        <v>45063.749999985332</v>
      </c>
      <c r="F4338" s="56">
        <v>0</v>
      </c>
      <c r="G4338" s="48"/>
      <c r="H4338" s="48"/>
      <c r="I4338" s="48"/>
      <c r="J4338" s="48"/>
      <c r="L4338" s="65"/>
    </row>
    <row r="4339" spans="5:12">
      <c r="E4339" s="49">
        <v>45063.753472207551</v>
      </c>
      <c r="F4339" s="56">
        <v>0</v>
      </c>
      <c r="G4339" s="48"/>
      <c r="H4339" s="48"/>
      <c r="I4339" s="48"/>
      <c r="J4339" s="48"/>
      <c r="L4339" s="65"/>
    </row>
    <row r="4340" spans="5:12">
      <c r="E4340" s="49">
        <v>45063.75694442977</v>
      </c>
      <c r="F4340" s="56">
        <v>0</v>
      </c>
      <c r="G4340" s="48"/>
      <c r="H4340" s="48"/>
      <c r="I4340" s="48"/>
      <c r="J4340" s="48"/>
      <c r="L4340" s="65"/>
    </row>
    <row r="4341" spans="5:12">
      <c r="E4341" s="49">
        <v>45063.760416651989</v>
      </c>
      <c r="F4341" s="56">
        <v>0</v>
      </c>
      <c r="G4341" s="48"/>
      <c r="H4341" s="48"/>
      <c r="I4341" s="48"/>
      <c r="J4341" s="48"/>
      <c r="L4341" s="65"/>
    </row>
    <row r="4342" spans="5:12">
      <c r="E4342" s="49">
        <v>45063.763888874208</v>
      </c>
      <c r="F4342" s="56">
        <v>0</v>
      </c>
      <c r="G4342" s="48"/>
      <c r="H4342" s="48"/>
      <c r="I4342" s="48"/>
      <c r="J4342" s="48"/>
      <c r="L4342" s="65"/>
    </row>
    <row r="4343" spans="5:12">
      <c r="E4343" s="49">
        <v>45063.767361096427</v>
      </c>
      <c r="F4343" s="56">
        <v>0</v>
      </c>
      <c r="G4343" s="48"/>
      <c r="H4343" s="48"/>
      <c r="I4343" s="48"/>
      <c r="J4343" s="48"/>
      <c r="L4343" s="65"/>
    </row>
    <row r="4344" spans="5:12">
      <c r="E4344" s="49">
        <v>45063.770833318646</v>
      </c>
      <c r="F4344" s="56">
        <v>0</v>
      </c>
      <c r="G4344" s="48"/>
      <c r="H4344" s="48"/>
      <c r="I4344" s="48"/>
      <c r="J4344" s="48"/>
      <c r="L4344" s="65"/>
    </row>
    <row r="4345" spans="5:12">
      <c r="E4345" s="49">
        <v>45063.774305540865</v>
      </c>
      <c r="F4345" s="56">
        <v>0</v>
      </c>
      <c r="G4345" s="48"/>
      <c r="H4345" s="48"/>
      <c r="I4345" s="48"/>
      <c r="J4345" s="48"/>
      <c r="L4345" s="65"/>
    </row>
    <row r="4346" spans="5:12">
      <c r="E4346" s="49">
        <v>45063.777777763084</v>
      </c>
      <c r="F4346" s="56">
        <v>0</v>
      </c>
      <c r="G4346" s="48"/>
      <c r="H4346" s="48"/>
      <c r="I4346" s="48"/>
      <c r="J4346" s="48"/>
      <c r="L4346" s="65"/>
    </row>
    <row r="4347" spans="5:12">
      <c r="E4347" s="49">
        <v>45063.781249985303</v>
      </c>
      <c r="F4347" s="56">
        <v>0</v>
      </c>
      <c r="G4347" s="48"/>
      <c r="H4347" s="48"/>
      <c r="I4347" s="48"/>
      <c r="J4347" s="48"/>
      <c r="L4347" s="65"/>
    </row>
    <row r="4348" spans="5:12">
      <c r="E4348" s="49">
        <v>45063.784722207522</v>
      </c>
      <c r="F4348" s="56">
        <v>0</v>
      </c>
      <c r="G4348" s="48"/>
      <c r="H4348" s="48"/>
      <c r="I4348" s="48"/>
      <c r="J4348" s="48"/>
      <c r="L4348" s="65"/>
    </row>
    <row r="4349" spans="5:12">
      <c r="E4349" s="49">
        <v>45063.788194429741</v>
      </c>
      <c r="F4349" s="56">
        <v>0</v>
      </c>
      <c r="G4349" s="48"/>
      <c r="H4349" s="48"/>
      <c r="I4349" s="48"/>
      <c r="J4349" s="48"/>
      <c r="L4349" s="65"/>
    </row>
    <row r="4350" spans="5:12">
      <c r="E4350" s="49">
        <v>45063.79166665196</v>
      </c>
      <c r="F4350" s="56">
        <v>0</v>
      </c>
      <c r="G4350" s="48"/>
      <c r="H4350" s="48"/>
      <c r="I4350" s="48"/>
      <c r="J4350" s="48"/>
      <c r="L4350" s="65"/>
    </row>
    <row r="4351" spans="5:12">
      <c r="E4351" s="49">
        <v>45063.795138874179</v>
      </c>
      <c r="F4351" s="56">
        <v>0</v>
      </c>
      <c r="G4351" s="48"/>
      <c r="H4351" s="48"/>
      <c r="I4351" s="48"/>
      <c r="J4351" s="48"/>
      <c r="L4351" s="65"/>
    </row>
    <row r="4352" spans="5:12">
      <c r="E4352" s="49">
        <v>45063.798611096398</v>
      </c>
      <c r="F4352" s="56">
        <v>0</v>
      </c>
      <c r="G4352" s="48"/>
      <c r="H4352" s="48"/>
      <c r="I4352" s="48"/>
      <c r="J4352" s="48"/>
      <c r="L4352" s="65"/>
    </row>
    <row r="4353" spans="5:12">
      <c r="E4353" s="49">
        <v>45063.802083318616</v>
      </c>
      <c r="F4353" s="56">
        <v>0</v>
      </c>
      <c r="G4353" s="48"/>
      <c r="H4353" s="48"/>
      <c r="I4353" s="48"/>
      <c r="J4353" s="48"/>
      <c r="L4353" s="65"/>
    </row>
    <row r="4354" spans="5:12">
      <c r="E4354" s="49">
        <v>45063.805555540835</v>
      </c>
      <c r="F4354" s="56">
        <v>0</v>
      </c>
      <c r="G4354" s="48"/>
      <c r="H4354" s="48"/>
      <c r="I4354" s="48"/>
      <c r="J4354" s="48"/>
      <c r="L4354" s="65"/>
    </row>
    <row r="4355" spans="5:12">
      <c r="E4355" s="49">
        <v>45063.809027763054</v>
      </c>
      <c r="F4355" s="56">
        <v>0</v>
      </c>
      <c r="G4355" s="48"/>
      <c r="H4355" s="48"/>
      <c r="I4355" s="48"/>
      <c r="J4355" s="48"/>
      <c r="L4355" s="65"/>
    </row>
    <row r="4356" spans="5:12">
      <c r="E4356" s="49">
        <v>45063.812499985273</v>
      </c>
      <c r="F4356" s="56">
        <v>0</v>
      </c>
      <c r="G4356" s="48"/>
      <c r="H4356" s="48"/>
      <c r="I4356" s="48"/>
      <c r="J4356" s="48"/>
      <c r="L4356" s="65"/>
    </row>
    <row r="4357" spans="5:12">
      <c r="E4357" s="49">
        <v>45063.815972207492</v>
      </c>
      <c r="F4357" s="56">
        <v>0</v>
      </c>
      <c r="G4357" s="48"/>
      <c r="H4357" s="48"/>
      <c r="I4357" s="48"/>
      <c r="J4357" s="48"/>
      <c r="L4357" s="65"/>
    </row>
    <row r="4358" spans="5:12">
      <c r="E4358" s="49">
        <v>45063.819444429711</v>
      </c>
      <c r="F4358" s="56">
        <v>0</v>
      </c>
      <c r="G4358" s="48"/>
      <c r="H4358" s="48"/>
      <c r="I4358" s="48"/>
      <c r="J4358" s="48"/>
      <c r="L4358" s="65"/>
    </row>
    <row r="4359" spans="5:12">
      <c r="E4359" s="49">
        <v>45063.82291665193</v>
      </c>
      <c r="F4359" s="56">
        <v>0</v>
      </c>
      <c r="G4359" s="48"/>
      <c r="H4359" s="48"/>
      <c r="I4359" s="48"/>
      <c r="J4359" s="48"/>
      <c r="L4359" s="65"/>
    </row>
    <row r="4360" spans="5:12">
      <c r="E4360" s="49">
        <v>45063.826388874149</v>
      </c>
      <c r="F4360" s="56">
        <v>0</v>
      </c>
      <c r="G4360" s="48"/>
      <c r="H4360" s="48"/>
      <c r="I4360" s="48"/>
      <c r="J4360" s="48"/>
      <c r="L4360" s="65"/>
    </row>
    <row r="4361" spans="5:12">
      <c r="E4361" s="49">
        <v>45063.829861096368</v>
      </c>
      <c r="F4361" s="56">
        <v>0</v>
      </c>
      <c r="G4361" s="48"/>
      <c r="H4361" s="48"/>
      <c r="I4361" s="48"/>
      <c r="J4361" s="48"/>
      <c r="L4361" s="65"/>
    </row>
    <row r="4362" spans="5:12">
      <c r="E4362" s="49">
        <v>45063.833333318587</v>
      </c>
      <c r="F4362" s="56">
        <v>0</v>
      </c>
      <c r="G4362" s="48"/>
      <c r="H4362" s="48"/>
      <c r="I4362" s="48"/>
      <c r="J4362" s="48"/>
      <c r="L4362" s="65"/>
    </row>
    <row r="4363" spans="5:12">
      <c r="E4363" s="49">
        <v>45063.836805540806</v>
      </c>
      <c r="F4363" s="56">
        <v>0</v>
      </c>
      <c r="G4363" s="48"/>
      <c r="H4363" s="48"/>
      <c r="I4363" s="48"/>
      <c r="J4363" s="48"/>
      <c r="L4363" s="65"/>
    </row>
    <row r="4364" spans="5:12">
      <c r="E4364" s="49">
        <v>45063.840277763025</v>
      </c>
      <c r="F4364" s="56">
        <v>0</v>
      </c>
      <c r="G4364" s="48"/>
      <c r="H4364" s="48"/>
      <c r="I4364" s="48"/>
      <c r="J4364" s="48"/>
      <c r="L4364" s="65"/>
    </row>
    <row r="4365" spans="5:12">
      <c r="E4365" s="49">
        <v>45063.843749985244</v>
      </c>
      <c r="F4365" s="56">
        <v>0</v>
      </c>
      <c r="G4365" s="48"/>
      <c r="H4365" s="48"/>
      <c r="I4365" s="48"/>
      <c r="J4365" s="48"/>
      <c r="L4365" s="65"/>
    </row>
    <row r="4366" spans="5:12">
      <c r="E4366" s="49">
        <v>45063.847222207463</v>
      </c>
      <c r="F4366" s="56">
        <v>0</v>
      </c>
      <c r="G4366" s="48"/>
      <c r="H4366" s="48"/>
      <c r="I4366" s="48"/>
      <c r="J4366" s="48"/>
      <c r="L4366" s="65"/>
    </row>
    <row r="4367" spans="5:12">
      <c r="E4367" s="49">
        <v>45063.850694429682</v>
      </c>
      <c r="F4367" s="56">
        <v>0</v>
      </c>
      <c r="G4367" s="48"/>
      <c r="H4367" s="48"/>
      <c r="I4367" s="48"/>
      <c r="J4367" s="48"/>
      <c r="L4367" s="65"/>
    </row>
    <row r="4368" spans="5:12">
      <c r="E4368" s="49">
        <v>45063.854166651901</v>
      </c>
      <c r="F4368" s="56">
        <v>0</v>
      </c>
      <c r="G4368" s="48"/>
      <c r="H4368" s="48"/>
      <c r="I4368" s="48"/>
      <c r="J4368" s="48"/>
      <c r="L4368" s="65"/>
    </row>
    <row r="4369" spans="5:12">
      <c r="E4369" s="49">
        <v>45063.85763887412</v>
      </c>
      <c r="F4369" s="56">
        <v>0</v>
      </c>
      <c r="G4369" s="48"/>
      <c r="H4369" s="48"/>
      <c r="I4369" s="48"/>
      <c r="J4369" s="48"/>
      <c r="L4369" s="65"/>
    </row>
    <row r="4370" spans="5:12">
      <c r="E4370" s="49">
        <v>45063.861111096339</v>
      </c>
      <c r="F4370" s="56">
        <v>0</v>
      </c>
      <c r="G4370" s="48"/>
      <c r="H4370" s="48"/>
      <c r="I4370" s="48"/>
      <c r="J4370" s="48"/>
      <c r="L4370" s="65"/>
    </row>
    <row r="4371" spans="5:12">
      <c r="E4371" s="49">
        <v>45063.864583318558</v>
      </c>
      <c r="F4371" s="56">
        <v>0</v>
      </c>
      <c r="G4371" s="48"/>
      <c r="H4371" s="48"/>
      <c r="I4371" s="48"/>
      <c r="J4371" s="48"/>
      <c r="L4371" s="65"/>
    </row>
    <row r="4372" spans="5:12">
      <c r="E4372" s="49">
        <v>45063.868055540777</v>
      </c>
      <c r="F4372" s="56">
        <v>0</v>
      </c>
      <c r="G4372" s="48"/>
      <c r="H4372" s="48"/>
      <c r="I4372" s="48"/>
      <c r="J4372" s="48"/>
      <c r="L4372" s="65"/>
    </row>
    <row r="4373" spans="5:12">
      <c r="E4373" s="49">
        <v>45063.871527762996</v>
      </c>
      <c r="F4373" s="56">
        <v>0</v>
      </c>
      <c r="G4373" s="48"/>
      <c r="H4373" s="48"/>
      <c r="I4373" s="48"/>
      <c r="J4373" s="48"/>
      <c r="L4373" s="65"/>
    </row>
    <row r="4374" spans="5:12">
      <c r="E4374" s="49">
        <v>45063.874999985215</v>
      </c>
      <c r="F4374" s="56">
        <v>0</v>
      </c>
      <c r="G4374" s="48"/>
      <c r="H4374" s="48"/>
      <c r="I4374" s="48"/>
      <c r="J4374" s="48"/>
      <c r="L4374" s="65"/>
    </row>
    <row r="4375" spans="5:12">
      <c r="E4375" s="49">
        <v>45063.878472207434</v>
      </c>
      <c r="F4375" s="56">
        <v>0</v>
      </c>
      <c r="G4375" s="48"/>
      <c r="H4375" s="48"/>
      <c r="I4375" s="48"/>
      <c r="J4375" s="48"/>
      <c r="L4375" s="65"/>
    </row>
    <row r="4376" spans="5:12">
      <c r="E4376" s="49">
        <v>45063.881944429653</v>
      </c>
      <c r="F4376" s="56">
        <v>0</v>
      </c>
      <c r="G4376" s="48"/>
      <c r="H4376" s="48"/>
      <c r="I4376" s="48"/>
      <c r="J4376" s="48"/>
      <c r="L4376" s="65"/>
    </row>
    <row r="4377" spans="5:12">
      <c r="E4377" s="49">
        <v>45063.885416651872</v>
      </c>
      <c r="F4377" s="56">
        <v>0</v>
      </c>
      <c r="G4377" s="48"/>
      <c r="H4377" s="48"/>
      <c r="I4377" s="48"/>
      <c r="J4377" s="48"/>
      <c r="L4377" s="65"/>
    </row>
    <row r="4378" spans="5:12">
      <c r="E4378" s="49">
        <v>45063.888888874091</v>
      </c>
      <c r="F4378" s="56">
        <v>0</v>
      </c>
      <c r="G4378" s="48"/>
      <c r="H4378" s="48"/>
      <c r="I4378" s="48"/>
      <c r="J4378" s="48"/>
      <c r="L4378" s="65"/>
    </row>
    <row r="4379" spans="5:12">
      <c r="E4379" s="49">
        <v>45063.89236109631</v>
      </c>
      <c r="F4379" s="56">
        <v>0</v>
      </c>
      <c r="G4379" s="48"/>
      <c r="H4379" s="48"/>
      <c r="I4379" s="48"/>
      <c r="J4379" s="48"/>
      <c r="L4379" s="65"/>
    </row>
    <row r="4380" spans="5:12">
      <c r="E4380" s="49">
        <v>45063.895833318529</v>
      </c>
      <c r="F4380" s="56">
        <v>0</v>
      </c>
      <c r="G4380" s="48"/>
      <c r="H4380" s="48"/>
      <c r="I4380" s="48"/>
      <c r="J4380" s="48"/>
      <c r="L4380" s="65"/>
    </row>
    <row r="4381" spans="5:12">
      <c r="E4381" s="49">
        <v>45063.899305540748</v>
      </c>
      <c r="F4381" s="56">
        <v>0</v>
      </c>
      <c r="G4381" s="48"/>
      <c r="H4381" s="48"/>
      <c r="I4381" s="48"/>
      <c r="J4381" s="48"/>
      <c r="L4381" s="65"/>
    </row>
    <row r="4382" spans="5:12">
      <c r="E4382" s="49">
        <v>45063.902777762967</v>
      </c>
      <c r="F4382" s="56">
        <v>0</v>
      </c>
      <c r="G4382" s="48"/>
      <c r="H4382" s="48"/>
      <c r="I4382" s="48"/>
      <c r="J4382" s="48"/>
      <c r="L4382" s="65"/>
    </row>
    <row r="4383" spans="5:12">
      <c r="E4383" s="49">
        <v>45063.906249985186</v>
      </c>
      <c r="F4383" s="56">
        <v>0</v>
      </c>
      <c r="G4383" s="48"/>
      <c r="H4383" s="48"/>
      <c r="I4383" s="48"/>
      <c r="J4383" s="48"/>
      <c r="L4383" s="65"/>
    </row>
    <row r="4384" spans="5:12">
      <c r="E4384" s="49">
        <v>45063.909722207405</v>
      </c>
      <c r="F4384" s="56">
        <v>0</v>
      </c>
      <c r="G4384" s="48"/>
      <c r="H4384" s="48"/>
      <c r="I4384" s="48"/>
      <c r="J4384" s="48"/>
      <c r="L4384" s="65"/>
    </row>
    <row r="4385" spans="5:12">
      <c r="E4385" s="49">
        <v>45063.913194429624</v>
      </c>
      <c r="F4385" s="56">
        <v>0</v>
      </c>
      <c r="G4385" s="48"/>
      <c r="H4385" s="48"/>
      <c r="I4385" s="48"/>
      <c r="J4385" s="48"/>
      <c r="L4385" s="65"/>
    </row>
    <row r="4386" spans="5:12">
      <c r="E4386" s="49">
        <v>45063.916666651843</v>
      </c>
      <c r="F4386" s="56">
        <v>0</v>
      </c>
      <c r="G4386" s="48"/>
      <c r="H4386" s="48"/>
      <c r="I4386" s="48"/>
      <c r="J4386" s="48"/>
      <c r="L4386" s="65"/>
    </row>
    <row r="4387" spans="5:12">
      <c r="E4387" s="49">
        <v>45063.920138874062</v>
      </c>
      <c r="F4387" s="56">
        <v>0</v>
      </c>
      <c r="G4387" s="48"/>
      <c r="H4387" s="48"/>
      <c r="I4387" s="48"/>
      <c r="J4387" s="48"/>
      <c r="L4387" s="65"/>
    </row>
    <row r="4388" spans="5:12">
      <c r="E4388" s="49">
        <v>45063.923611096281</v>
      </c>
      <c r="F4388" s="56">
        <v>0</v>
      </c>
      <c r="G4388" s="48"/>
      <c r="H4388" s="48"/>
      <c r="I4388" s="48"/>
      <c r="J4388" s="48"/>
      <c r="L4388" s="65"/>
    </row>
    <row r="4389" spans="5:12">
      <c r="E4389" s="49">
        <v>45063.9270833185</v>
      </c>
      <c r="F4389" s="56">
        <v>0</v>
      </c>
      <c r="G4389" s="48"/>
      <c r="H4389" s="48"/>
      <c r="I4389" s="48"/>
      <c r="J4389" s="48"/>
      <c r="L4389" s="65"/>
    </row>
    <row r="4390" spans="5:12">
      <c r="E4390" s="49">
        <v>45063.930555540719</v>
      </c>
      <c r="F4390" s="56">
        <v>0</v>
      </c>
      <c r="G4390" s="48"/>
      <c r="H4390" s="48"/>
      <c r="I4390" s="48"/>
      <c r="J4390" s="48"/>
      <c r="L4390" s="65"/>
    </row>
    <row r="4391" spans="5:12">
      <c r="E4391" s="49">
        <v>45063.934027762938</v>
      </c>
      <c r="F4391" s="56">
        <v>0</v>
      </c>
      <c r="G4391" s="48"/>
      <c r="H4391" s="48"/>
      <c r="I4391" s="48"/>
      <c r="J4391" s="48"/>
      <c r="L4391" s="65"/>
    </row>
    <row r="4392" spans="5:12">
      <c r="E4392" s="49">
        <v>45063.937499985157</v>
      </c>
      <c r="F4392" s="56">
        <v>0</v>
      </c>
      <c r="G4392" s="48"/>
      <c r="H4392" s="48"/>
      <c r="I4392" s="48"/>
      <c r="J4392" s="48"/>
      <c r="L4392" s="65"/>
    </row>
    <row r="4393" spans="5:12">
      <c r="E4393" s="49">
        <v>45063.940972207376</v>
      </c>
      <c r="F4393" s="56">
        <v>0</v>
      </c>
      <c r="G4393" s="48"/>
      <c r="H4393" s="48"/>
      <c r="I4393" s="48"/>
      <c r="J4393" s="48"/>
      <c r="L4393" s="65"/>
    </row>
    <row r="4394" spans="5:12">
      <c r="E4394" s="49">
        <v>45063.944444429595</v>
      </c>
      <c r="F4394" s="56">
        <v>0</v>
      </c>
      <c r="G4394" s="48"/>
      <c r="H4394" s="48"/>
      <c r="I4394" s="48"/>
      <c r="J4394" s="48"/>
      <c r="L4394" s="65"/>
    </row>
    <row r="4395" spans="5:12">
      <c r="E4395" s="49">
        <v>45063.947916651814</v>
      </c>
      <c r="F4395" s="56">
        <v>0</v>
      </c>
      <c r="G4395" s="48"/>
      <c r="H4395" s="48"/>
      <c r="I4395" s="48"/>
      <c r="J4395" s="48"/>
      <c r="L4395" s="65"/>
    </row>
    <row r="4396" spans="5:12">
      <c r="E4396" s="49">
        <v>45063.951388874033</v>
      </c>
      <c r="F4396" s="56">
        <v>0</v>
      </c>
      <c r="G4396" s="48"/>
      <c r="H4396" s="48"/>
      <c r="I4396" s="48"/>
      <c r="J4396" s="48"/>
      <c r="L4396" s="65"/>
    </row>
    <row r="4397" spans="5:12">
      <c r="E4397" s="49">
        <v>45063.954861096252</v>
      </c>
      <c r="F4397" s="56">
        <v>0</v>
      </c>
      <c r="G4397" s="48"/>
      <c r="H4397" s="48"/>
      <c r="I4397" s="48"/>
      <c r="J4397" s="48"/>
      <c r="L4397" s="65"/>
    </row>
    <row r="4398" spans="5:12">
      <c r="E4398" s="49">
        <v>45063.958333318471</v>
      </c>
      <c r="F4398" s="56">
        <v>0</v>
      </c>
      <c r="G4398" s="48"/>
      <c r="H4398" s="48"/>
      <c r="I4398" s="48"/>
      <c r="J4398" s="48"/>
      <c r="L4398" s="65"/>
    </row>
    <row r="4399" spans="5:12">
      <c r="E4399" s="49">
        <v>45063.96180554069</v>
      </c>
      <c r="F4399" s="56">
        <v>0</v>
      </c>
      <c r="G4399" s="48"/>
      <c r="H4399" s="48"/>
      <c r="I4399" s="48"/>
      <c r="J4399" s="48"/>
      <c r="L4399" s="65"/>
    </row>
    <row r="4400" spans="5:12">
      <c r="E4400" s="49">
        <v>45063.965277762909</v>
      </c>
      <c r="F4400" s="56">
        <v>0</v>
      </c>
      <c r="G4400" s="48"/>
      <c r="H4400" s="48"/>
      <c r="I4400" s="48"/>
      <c r="J4400" s="48"/>
      <c r="L4400" s="65"/>
    </row>
    <row r="4401" spans="5:12">
      <c r="E4401" s="49">
        <v>45063.968749985128</v>
      </c>
      <c r="F4401" s="56">
        <v>0</v>
      </c>
      <c r="G4401" s="48"/>
      <c r="H4401" s="48"/>
      <c r="I4401" s="48"/>
      <c r="J4401" s="48"/>
      <c r="L4401" s="65"/>
    </row>
    <row r="4402" spans="5:12">
      <c r="E4402" s="49">
        <v>45063.972222207347</v>
      </c>
      <c r="F4402" s="56">
        <v>0</v>
      </c>
      <c r="G4402" s="48"/>
      <c r="H4402" s="48"/>
      <c r="I4402" s="48"/>
      <c r="J4402" s="48"/>
      <c r="L4402" s="65"/>
    </row>
    <row r="4403" spans="5:12">
      <c r="E4403" s="49">
        <v>45063.975694429566</v>
      </c>
      <c r="F4403" s="56">
        <v>0</v>
      </c>
      <c r="G4403" s="48"/>
      <c r="H4403" s="48"/>
      <c r="I4403" s="48"/>
      <c r="J4403" s="48"/>
      <c r="L4403" s="65"/>
    </row>
    <row r="4404" spans="5:12">
      <c r="E4404" s="49">
        <v>45063.979166651785</v>
      </c>
      <c r="F4404" s="56">
        <v>0</v>
      </c>
      <c r="G4404" s="48"/>
      <c r="H4404" s="48"/>
      <c r="I4404" s="48"/>
      <c r="J4404" s="48"/>
      <c r="L4404" s="65"/>
    </row>
    <row r="4405" spans="5:12">
      <c r="E4405" s="49">
        <v>45063.982638874004</v>
      </c>
      <c r="F4405" s="56">
        <v>0</v>
      </c>
      <c r="G4405" s="48"/>
      <c r="H4405" s="48"/>
      <c r="I4405" s="48"/>
      <c r="J4405" s="48"/>
      <c r="L4405" s="65"/>
    </row>
    <row r="4406" spans="5:12">
      <c r="E4406" s="49">
        <v>45063.986111096223</v>
      </c>
      <c r="F4406" s="56">
        <v>0</v>
      </c>
      <c r="G4406" s="48"/>
      <c r="H4406" s="48"/>
      <c r="I4406" s="48"/>
      <c r="J4406" s="48"/>
      <c r="L4406" s="65"/>
    </row>
    <row r="4407" spans="5:12">
      <c r="E4407" s="49">
        <v>45063.989583318442</v>
      </c>
      <c r="F4407" s="56">
        <v>0</v>
      </c>
      <c r="G4407" s="48"/>
      <c r="H4407" s="48"/>
      <c r="I4407" s="48"/>
      <c r="J4407" s="48"/>
      <c r="L4407" s="65"/>
    </row>
    <row r="4408" spans="5:12">
      <c r="E4408" s="49">
        <v>45063.993055540661</v>
      </c>
      <c r="F4408" s="56">
        <v>0</v>
      </c>
      <c r="G4408" s="48"/>
      <c r="H4408" s="48"/>
      <c r="I4408" s="48"/>
      <c r="J4408" s="48"/>
      <c r="L4408" s="65"/>
    </row>
    <row r="4409" spans="5:12">
      <c r="E4409" s="49">
        <v>45063.99652776288</v>
      </c>
      <c r="F4409" s="56">
        <v>0</v>
      </c>
      <c r="G4409" s="48"/>
      <c r="H4409" s="48"/>
      <c r="I4409" s="48"/>
      <c r="J4409" s="48"/>
      <c r="L4409" s="65"/>
    </row>
    <row r="4410" spans="5:12">
      <c r="E4410" s="49">
        <v>45063.999999985099</v>
      </c>
      <c r="F4410" s="56">
        <v>0</v>
      </c>
      <c r="G4410" s="48"/>
      <c r="H4410" s="48"/>
      <c r="I4410" s="48"/>
      <c r="J4410" s="48"/>
      <c r="L4410" s="65"/>
    </row>
    <row r="4411" spans="5:12">
      <c r="E4411" s="49">
        <v>45064.003472207318</v>
      </c>
      <c r="F4411" s="56">
        <v>0</v>
      </c>
      <c r="G4411" s="48"/>
      <c r="H4411" s="48"/>
      <c r="I4411" s="48"/>
      <c r="J4411" s="48"/>
      <c r="L4411" s="65"/>
    </row>
    <row r="4412" spans="5:12">
      <c r="E4412" s="49">
        <v>45064.006944429537</v>
      </c>
      <c r="F4412" s="56">
        <v>0</v>
      </c>
      <c r="G4412" s="48"/>
      <c r="H4412" s="48"/>
      <c r="I4412" s="48"/>
      <c r="J4412" s="48"/>
      <c r="L4412" s="65"/>
    </row>
    <row r="4413" spans="5:12">
      <c r="E4413" s="49">
        <v>45064.010416651756</v>
      </c>
      <c r="F4413" s="56">
        <v>0</v>
      </c>
      <c r="G4413" s="48"/>
      <c r="H4413" s="48"/>
      <c r="I4413" s="48"/>
      <c r="J4413" s="48"/>
      <c r="L4413" s="65"/>
    </row>
    <row r="4414" spans="5:12">
      <c r="E4414" s="49">
        <v>45064.013888873975</v>
      </c>
      <c r="F4414" s="56">
        <v>0</v>
      </c>
      <c r="G4414" s="48"/>
      <c r="H4414" s="48"/>
      <c r="I4414" s="48"/>
      <c r="J4414" s="48"/>
      <c r="L4414" s="65"/>
    </row>
    <row r="4415" spans="5:12">
      <c r="E4415" s="49">
        <v>45064.017361096194</v>
      </c>
      <c r="F4415" s="56">
        <v>0</v>
      </c>
      <c r="G4415" s="48"/>
      <c r="H4415" s="48"/>
      <c r="I4415" s="48"/>
      <c r="J4415" s="48"/>
      <c r="L4415" s="65"/>
    </row>
    <row r="4416" spans="5:12">
      <c r="E4416" s="49">
        <v>45064.020833318413</v>
      </c>
      <c r="F4416" s="56">
        <v>0</v>
      </c>
      <c r="G4416" s="48"/>
      <c r="H4416" s="48"/>
      <c r="I4416" s="48"/>
      <c r="J4416" s="48"/>
      <c r="L4416" s="65"/>
    </row>
    <row r="4417" spans="5:12">
      <c r="E4417" s="49">
        <v>45064.024305540632</v>
      </c>
      <c r="F4417" s="56">
        <v>0</v>
      </c>
      <c r="G4417" s="48"/>
      <c r="H4417" s="48"/>
      <c r="I4417" s="48"/>
      <c r="J4417" s="48"/>
      <c r="L4417" s="65"/>
    </row>
    <row r="4418" spans="5:12">
      <c r="E4418" s="49">
        <v>45064.027777762851</v>
      </c>
      <c r="F4418" s="56">
        <v>0</v>
      </c>
      <c r="G4418" s="48"/>
      <c r="H4418" s="48"/>
      <c r="I4418" s="48"/>
      <c r="J4418" s="48"/>
      <c r="L4418" s="65"/>
    </row>
    <row r="4419" spans="5:12">
      <c r="E4419" s="49">
        <v>45064.03124998507</v>
      </c>
      <c r="F4419" s="56">
        <v>0</v>
      </c>
      <c r="G4419" s="48"/>
      <c r="H4419" s="48"/>
      <c r="I4419" s="48"/>
      <c r="J4419" s="48"/>
      <c r="L4419" s="65"/>
    </row>
    <row r="4420" spans="5:12">
      <c r="E4420" s="49">
        <v>45064.034722207289</v>
      </c>
      <c r="F4420" s="56">
        <v>0</v>
      </c>
      <c r="G4420" s="48"/>
      <c r="H4420" s="48"/>
      <c r="I4420" s="48"/>
      <c r="J4420" s="48"/>
      <c r="L4420" s="65"/>
    </row>
    <row r="4421" spans="5:12">
      <c r="E4421" s="49">
        <v>45064.038194429508</v>
      </c>
      <c r="F4421" s="56">
        <v>0</v>
      </c>
      <c r="G4421" s="48"/>
      <c r="H4421" s="48"/>
      <c r="I4421" s="48"/>
      <c r="J4421" s="48"/>
      <c r="L4421" s="65"/>
    </row>
    <row r="4422" spans="5:12">
      <c r="E4422" s="49">
        <v>45064.041666651727</v>
      </c>
      <c r="F4422" s="56">
        <v>0</v>
      </c>
      <c r="G4422" s="48"/>
      <c r="H4422" s="48"/>
      <c r="I4422" s="48"/>
      <c r="J4422" s="48"/>
      <c r="L4422" s="65"/>
    </row>
    <row r="4423" spans="5:12">
      <c r="E4423" s="49">
        <v>45064.045138873946</v>
      </c>
      <c r="F4423" s="56">
        <v>0</v>
      </c>
      <c r="G4423" s="48"/>
      <c r="H4423" s="48"/>
      <c r="I4423" s="48"/>
      <c r="J4423" s="48"/>
      <c r="L4423" s="65"/>
    </row>
    <row r="4424" spans="5:12">
      <c r="E4424" s="49">
        <v>45064.048611096165</v>
      </c>
      <c r="F4424" s="56">
        <v>0</v>
      </c>
      <c r="G4424" s="48"/>
      <c r="H4424" s="48"/>
      <c r="I4424" s="48"/>
      <c r="J4424" s="48"/>
      <c r="L4424" s="65"/>
    </row>
    <row r="4425" spans="5:12">
      <c r="E4425" s="49">
        <v>45064.052083318384</v>
      </c>
      <c r="F4425" s="56">
        <v>0</v>
      </c>
      <c r="G4425" s="48"/>
      <c r="H4425" s="48"/>
      <c r="I4425" s="48"/>
      <c r="J4425" s="48"/>
      <c r="L4425" s="65"/>
    </row>
    <row r="4426" spans="5:12">
      <c r="E4426" s="49">
        <v>45064.055555540603</v>
      </c>
      <c r="F4426" s="56">
        <v>0</v>
      </c>
      <c r="G4426" s="48"/>
      <c r="H4426" s="48"/>
      <c r="I4426" s="48"/>
      <c r="J4426" s="48"/>
      <c r="L4426" s="65"/>
    </row>
    <row r="4427" spans="5:12">
      <c r="E4427" s="49">
        <v>45064.059027762822</v>
      </c>
      <c r="F4427" s="56">
        <v>0</v>
      </c>
      <c r="G4427" s="48"/>
      <c r="H4427" s="48"/>
      <c r="I4427" s="48"/>
      <c r="J4427" s="48"/>
      <c r="L4427" s="65"/>
    </row>
    <row r="4428" spans="5:12">
      <c r="E4428" s="49">
        <v>45064.062499985041</v>
      </c>
      <c r="F4428" s="56">
        <v>0</v>
      </c>
      <c r="G4428" s="48"/>
      <c r="H4428" s="48"/>
      <c r="I4428" s="48"/>
      <c r="J4428" s="48"/>
      <c r="L4428" s="65"/>
    </row>
    <row r="4429" spans="5:12">
      <c r="E4429" s="49">
        <v>45064.06597220726</v>
      </c>
      <c r="F4429" s="56">
        <v>0</v>
      </c>
      <c r="G4429" s="48"/>
      <c r="H4429" s="48"/>
      <c r="I4429" s="48"/>
      <c r="J4429" s="48"/>
      <c r="L4429" s="65"/>
    </row>
    <row r="4430" spans="5:12">
      <c r="E4430" s="49">
        <v>45064.069444429479</v>
      </c>
      <c r="F4430" s="56">
        <v>0</v>
      </c>
      <c r="G4430" s="48"/>
      <c r="H4430" s="48"/>
      <c r="I4430" s="48"/>
      <c r="J4430" s="48"/>
      <c r="L4430" s="65"/>
    </row>
    <row r="4431" spans="5:12">
      <c r="E4431" s="49">
        <v>45064.072916651698</v>
      </c>
      <c r="F4431" s="56">
        <v>0</v>
      </c>
      <c r="G4431" s="48"/>
      <c r="H4431" s="48"/>
      <c r="I4431" s="48"/>
      <c r="J4431" s="48"/>
      <c r="L4431" s="65"/>
    </row>
    <row r="4432" spans="5:12">
      <c r="E4432" s="49">
        <v>45064.076388873917</v>
      </c>
      <c r="F4432" s="56">
        <v>0</v>
      </c>
      <c r="G4432" s="48"/>
      <c r="H4432" s="48"/>
      <c r="I4432" s="48"/>
      <c r="J4432" s="48"/>
      <c r="L4432" s="65"/>
    </row>
    <row r="4433" spans="5:12">
      <c r="E4433" s="49">
        <v>45064.079861096136</v>
      </c>
      <c r="F4433" s="56">
        <v>0</v>
      </c>
      <c r="G4433" s="48"/>
      <c r="H4433" s="48"/>
      <c r="I4433" s="48"/>
      <c r="J4433" s="48"/>
      <c r="L4433" s="65"/>
    </row>
    <row r="4434" spans="5:12">
      <c r="E4434" s="49">
        <v>45064.083333318355</v>
      </c>
      <c r="F4434" s="56">
        <v>0</v>
      </c>
      <c r="G4434" s="48"/>
      <c r="H4434" s="48"/>
      <c r="I4434" s="48"/>
      <c r="J4434" s="48"/>
      <c r="L4434" s="65"/>
    </row>
    <row r="4435" spans="5:12">
      <c r="E4435" s="49">
        <v>45064.086805540574</v>
      </c>
      <c r="F4435" s="56">
        <v>0</v>
      </c>
      <c r="G4435" s="48"/>
      <c r="H4435" s="48"/>
      <c r="I4435" s="48"/>
      <c r="J4435" s="48"/>
      <c r="L4435" s="65"/>
    </row>
    <row r="4436" spans="5:12">
      <c r="E4436" s="49">
        <v>45064.090277762793</v>
      </c>
      <c r="F4436" s="56">
        <v>0</v>
      </c>
      <c r="G4436" s="48"/>
      <c r="H4436" s="48"/>
      <c r="I4436" s="48"/>
      <c r="J4436" s="48"/>
      <c r="L4436" s="65"/>
    </row>
    <row r="4437" spans="5:12">
      <c r="E4437" s="49">
        <v>45064.093749985012</v>
      </c>
      <c r="F4437" s="56">
        <v>0</v>
      </c>
      <c r="G4437" s="48"/>
      <c r="H4437" s="48"/>
      <c r="I4437" s="48"/>
      <c r="J4437" s="48"/>
      <c r="L4437" s="65"/>
    </row>
    <row r="4438" spans="5:12">
      <c r="E4438" s="49">
        <v>45064.097222207231</v>
      </c>
      <c r="F4438" s="56">
        <v>0</v>
      </c>
      <c r="G4438" s="48"/>
      <c r="H4438" s="48"/>
      <c r="I4438" s="48"/>
      <c r="J4438" s="48"/>
      <c r="L4438" s="65"/>
    </row>
    <row r="4439" spans="5:12">
      <c r="E4439" s="49">
        <v>45064.10069442945</v>
      </c>
      <c r="F4439" s="56">
        <v>0</v>
      </c>
      <c r="G4439" s="48"/>
      <c r="H4439" s="48"/>
      <c r="I4439" s="48"/>
      <c r="J4439" s="48"/>
      <c r="L4439" s="65"/>
    </row>
    <row r="4440" spans="5:12">
      <c r="E4440" s="49">
        <v>45064.104166651668</v>
      </c>
      <c r="F4440" s="56">
        <v>0</v>
      </c>
      <c r="G4440" s="48"/>
      <c r="H4440" s="48"/>
      <c r="I4440" s="48"/>
      <c r="J4440" s="48"/>
      <c r="L4440" s="65"/>
    </row>
    <row r="4441" spans="5:12">
      <c r="E4441" s="49">
        <v>45064.107638873887</v>
      </c>
      <c r="F4441" s="56">
        <v>0</v>
      </c>
      <c r="G4441" s="48"/>
      <c r="H4441" s="48"/>
      <c r="I4441" s="48"/>
      <c r="J4441" s="48"/>
      <c r="L4441" s="65"/>
    </row>
    <row r="4442" spans="5:12">
      <c r="E4442" s="49">
        <v>45064.111111096106</v>
      </c>
      <c r="F4442" s="56">
        <v>0</v>
      </c>
      <c r="G4442" s="48"/>
      <c r="H4442" s="48"/>
      <c r="I4442" s="48"/>
      <c r="J4442" s="48"/>
      <c r="L4442" s="65"/>
    </row>
    <row r="4443" spans="5:12">
      <c r="E4443" s="49">
        <v>45064.114583318325</v>
      </c>
      <c r="F4443" s="56">
        <v>0</v>
      </c>
      <c r="G4443" s="48"/>
      <c r="H4443" s="48"/>
      <c r="I4443" s="48"/>
      <c r="J4443" s="48"/>
      <c r="L4443" s="65"/>
    </row>
    <row r="4444" spans="5:12">
      <c r="E4444" s="49">
        <v>45064.118055540544</v>
      </c>
      <c r="F4444" s="56">
        <v>0</v>
      </c>
      <c r="G4444" s="48"/>
      <c r="H4444" s="48"/>
      <c r="I4444" s="48"/>
      <c r="J4444" s="48"/>
      <c r="L4444" s="65"/>
    </row>
    <row r="4445" spans="5:12">
      <c r="E4445" s="49">
        <v>45064.121527762763</v>
      </c>
      <c r="F4445" s="56">
        <v>0</v>
      </c>
      <c r="G4445" s="48"/>
      <c r="H4445" s="48"/>
      <c r="I4445" s="48"/>
      <c r="J4445" s="48"/>
      <c r="L4445" s="65"/>
    </row>
    <row r="4446" spans="5:12">
      <c r="E4446" s="49">
        <v>45064.124999984982</v>
      </c>
      <c r="F4446" s="56">
        <v>0</v>
      </c>
      <c r="G4446" s="48"/>
      <c r="H4446" s="48"/>
      <c r="I4446" s="48"/>
      <c r="J4446" s="48"/>
      <c r="L4446" s="65"/>
    </row>
    <row r="4447" spans="5:12">
      <c r="E4447" s="49">
        <v>45064.128472207201</v>
      </c>
      <c r="F4447" s="56">
        <v>0</v>
      </c>
      <c r="G4447" s="48"/>
      <c r="H4447" s="48"/>
      <c r="I4447" s="48"/>
      <c r="J4447" s="48"/>
      <c r="L4447" s="65"/>
    </row>
    <row r="4448" spans="5:12">
      <c r="E4448" s="49">
        <v>45064.13194442942</v>
      </c>
      <c r="F4448" s="56">
        <v>0</v>
      </c>
      <c r="G4448" s="48"/>
      <c r="H4448" s="48"/>
      <c r="I4448" s="48"/>
      <c r="J4448" s="48"/>
      <c r="L4448" s="65"/>
    </row>
    <row r="4449" spans="5:12">
      <c r="E4449" s="49">
        <v>45064.135416651639</v>
      </c>
      <c r="F4449" s="56">
        <v>0</v>
      </c>
      <c r="G4449" s="48"/>
      <c r="H4449" s="48"/>
      <c r="I4449" s="48"/>
      <c r="J4449" s="48"/>
      <c r="L4449" s="65"/>
    </row>
    <row r="4450" spans="5:12">
      <c r="E4450" s="49">
        <v>45064.138888873858</v>
      </c>
      <c r="F4450" s="56">
        <v>0</v>
      </c>
      <c r="G4450" s="48"/>
      <c r="H4450" s="48"/>
      <c r="I4450" s="48"/>
      <c r="J4450" s="48"/>
      <c r="L4450" s="65"/>
    </row>
    <row r="4451" spans="5:12">
      <c r="E4451" s="49">
        <v>45064.142361096077</v>
      </c>
      <c r="F4451" s="56">
        <v>0</v>
      </c>
      <c r="G4451" s="48"/>
      <c r="H4451" s="48"/>
      <c r="I4451" s="48"/>
      <c r="J4451" s="48"/>
      <c r="L4451" s="65"/>
    </row>
    <row r="4452" spans="5:12">
      <c r="E4452" s="49">
        <v>45064.145833318296</v>
      </c>
      <c r="F4452" s="56">
        <v>0</v>
      </c>
      <c r="G4452" s="48"/>
      <c r="H4452" s="48"/>
      <c r="I4452" s="48"/>
      <c r="J4452" s="48"/>
      <c r="L4452" s="65"/>
    </row>
    <row r="4453" spans="5:12">
      <c r="E4453" s="49">
        <v>45064.149305540515</v>
      </c>
      <c r="F4453" s="56">
        <v>0</v>
      </c>
      <c r="G4453" s="48"/>
      <c r="H4453" s="48"/>
      <c r="I4453" s="48"/>
      <c r="J4453" s="48"/>
      <c r="L4453" s="65"/>
    </row>
    <row r="4454" spans="5:12">
      <c r="E4454" s="49">
        <v>45064.152777762734</v>
      </c>
      <c r="F4454" s="56">
        <v>0</v>
      </c>
      <c r="G4454" s="48"/>
      <c r="H4454" s="48"/>
      <c r="I4454" s="48"/>
      <c r="J4454" s="48"/>
      <c r="L4454" s="65"/>
    </row>
    <row r="4455" spans="5:12">
      <c r="E4455" s="49">
        <v>45064.156249984953</v>
      </c>
      <c r="F4455" s="56">
        <v>0</v>
      </c>
      <c r="G4455" s="48"/>
      <c r="H4455" s="48"/>
      <c r="I4455" s="48"/>
      <c r="J4455" s="48"/>
      <c r="L4455" s="65"/>
    </row>
    <row r="4456" spans="5:12">
      <c r="E4456" s="49">
        <v>45064.159722207172</v>
      </c>
      <c r="F4456" s="56">
        <v>0</v>
      </c>
      <c r="G4456" s="48"/>
      <c r="H4456" s="48"/>
      <c r="I4456" s="48"/>
      <c r="J4456" s="48"/>
      <c r="L4456" s="65"/>
    </row>
    <row r="4457" spans="5:12">
      <c r="E4457" s="49">
        <v>45064.163194429391</v>
      </c>
      <c r="F4457" s="56">
        <v>0</v>
      </c>
      <c r="G4457" s="48"/>
      <c r="H4457" s="48"/>
      <c r="I4457" s="48"/>
      <c r="J4457" s="48"/>
      <c r="L4457" s="65"/>
    </row>
    <row r="4458" spans="5:12">
      <c r="E4458" s="49">
        <v>45064.16666665161</v>
      </c>
      <c r="F4458" s="56">
        <v>0</v>
      </c>
      <c r="G4458" s="48"/>
      <c r="H4458" s="48"/>
      <c r="I4458" s="48"/>
      <c r="J4458" s="48"/>
      <c r="L4458" s="65"/>
    </row>
    <row r="4459" spans="5:12">
      <c r="E4459" s="49">
        <v>45064.170138873829</v>
      </c>
      <c r="F4459" s="56">
        <v>0</v>
      </c>
      <c r="G4459" s="48"/>
      <c r="H4459" s="48"/>
      <c r="I4459" s="48"/>
      <c r="J4459" s="48"/>
      <c r="L4459" s="65"/>
    </row>
    <row r="4460" spans="5:12">
      <c r="E4460" s="49">
        <v>45064.173611096048</v>
      </c>
      <c r="F4460" s="56">
        <v>0</v>
      </c>
      <c r="G4460" s="48"/>
      <c r="H4460" s="48"/>
      <c r="I4460" s="48"/>
      <c r="J4460" s="48"/>
      <c r="L4460" s="65"/>
    </row>
    <row r="4461" spans="5:12">
      <c r="E4461" s="49">
        <v>45064.177083318267</v>
      </c>
      <c r="F4461" s="56">
        <v>0</v>
      </c>
      <c r="G4461" s="48"/>
      <c r="H4461" s="48"/>
      <c r="I4461" s="48"/>
      <c r="J4461" s="48"/>
      <c r="L4461" s="65"/>
    </row>
    <row r="4462" spans="5:12">
      <c r="E4462" s="49">
        <v>45064.180555540486</v>
      </c>
      <c r="F4462" s="56">
        <v>0</v>
      </c>
      <c r="G4462" s="48"/>
      <c r="H4462" s="48"/>
      <c r="I4462" s="48"/>
      <c r="J4462" s="48"/>
      <c r="L4462" s="65"/>
    </row>
    <row r="4463" spans="5:12">
      <c r="E4463" s="49">
        <v>45064.184027762705</v>
      </c>
      <c r="F4463" s="56">
        <v>0</v>
      </c>
      <c r="G4463" s="48"/>
      <c r="H4463" s="48"/>
      <c r="I4463" s="48"/>
      <c r="J4463" s="48"/>
      <c r="L4463" s="65"/>
    </row>
    <row r="4464" spans="5:12">
      <c r="E4464" s="49">
        <v>45064.187499984924</v>
      </c>
      <c r="F4464" s="56">
        <v>0</v>
      </c>
      <c r="G4464" s="48"/>
      <c r="H4464" s="48"/>
      <c r="I4464" s="48"/>
      <c r="J4464" s="48"/>
      <c r="L4464" s="65"/>
    </row>
    <row r="4465" spans="5:12">
      <c r="E4465" s="49">
        <v>45064.190972207143</v>
      </c>
      <c r="F4465" s="56">
        <v>0</v>
      </c>
      <c r="G4465" s="48"/>
      <c r="H4465" s="48"/>
      <c r="I4465" s="48"/>
      <c r="J4465" s="48"/>
      <c r="L4465" s="65"/>
    </row>
    <row r="4466" spans="5:12">
      <c r="E4466" s="49">
        <v>45064.194444429362</v>
      </c>
      <c r="F4466" s="56">
        <v>0</v>
      </c>
      <c r="G4466" s="48"/>
      <c r="H4466" s="48"/>
      <c r="I4466" s="48"/>
      <c r="J4466" s="48"/>
      <c r="L4466" s="65"/>
    </row>
    <row r="4467" spans="5:12">
      <c r="E4467" s="49">
        <v>45064.197916651581</v>
      </c>
      <c r="F4467" s="56">
        <v>0</v>
      </c>
      <c r="G4467" s="48"/>
      <c r="H4467" s="48"/>
      <c r="I4467" s="48"/>
      <c r="J4467" s="48"/>
      <c r="L4467" s="65"/>
    </row>
    <row r="4468" spans="5:12">
      <c r="E4468" s="49">
        <v>45064.2013888738</v>
      </c>
      <c r="F4468" s="56">
        <v>0</v>
      </c>
      <c r="G4468" s="48"/>
      <c r="H4468" s="48"/>
      <c r="I4468" s="48"/>
      <c r="J4468" s="48"/>
      <c r="L4468" s="65"/>
    </row>
    <row r="4469" spans="5:12">
      <c r="E4469" s="49">
        <v>45064.204861096019</v>
      </c>
      <c r="F4469" s="56">
        <v>0</v>
      </c>
      <c r="G4469" s="48"/>
      <c r="H4469" s="48"/>
      <c r="I4469" s="48"/>
      <c r="J4469" s="48"/>
      <c r="L4469" s="65"/>
    </row>
    <row r="4470" spans="5:12">
      <c r="E4470" s="49">
        <v>45064.208333318238</v>
      </c>
      <c r="F4470" s="56">
        <v>0</v>
      </c>
      <c r="G4470" s="48"/>
      <c r="H4470" s="48"/>
      <c r="I4470" s="48"/>
      <c r="J4470" s="48"/>
      <c r="L4470" s="65"/>
    </row>
    <row r="4471" spans="5:12">
      <c r="E4471" s="49">
        <v>45064.211805540457</v>
      </c>
      <c r="F4471" s="56">
        <v>0</v>
      </c>
      <c r="G4471" s="48"/>
      <c r="H4471" s="48"/>
      <c r="I4471" s="48"/>
      <c r="J4471" s="48"/>
      <c r="L4471" s="65"/>
    </row>
    <row r="4472" spans="5:12">
      <c r="E4472" s="49">
        <v>45064.215277762676</v>
      </c>
      <c r="F4472" s="56">
        <v>0</v>
      </c>
      <c r="G4472" s="48"/>
      <c r="H4472" s="48"/>
      <c r="I4472" s="48"/>
      <c r="J4472" s="48"/>
      <c r="L4472" s="65"/>
    </row>
    <row r="4473" spans="5:12">
      <c r="E4473" s="49">
        <v>45064.218749984895</v>
      </c>
      <c r="F4473" s="56">
        <v>0</v>
      </c>
      <c r="G4473" s="48"/>
      <c r="H4473" s="48"/>
      <c r="I4473" s="48"/>
      <c r="J4473" s="48"/>
      <c r="L4473" s="65"/>
    </row>
    <row r="4474" spans="5:12">
      <c r="E4474" s="49">
        <v>45064.222222207114</v>
      </c>
      <c r="F4474" s="56">
        <v>0</v>
      </c>
      <c r="G4474" s="48"/>
      <c r="H4474" s="48"/>
      <c r="I4474" s="48"/>
      <c r="J4474" s="48"/>
      <c r="L4474" s="65"/>
    </row>
    <row r="4475" spans="5:12">
      <c r="E4475" s="49">
        <v>45064.225694429333</v>
      </c>
      <c r="F4475" s="56">
        <v>0</v>
      </c>
      <c r="G4475" s="48"/>
      <c r="H4475" s="48"/>
      <c r="I4475" s="48"/>
      <c r="J4475" s="48"/>
      <c r="L4475" s="65"/>
    </row>
    <row r="4476" spans="5:12">
      <c r="E4476" s="49">
        <v>45064.229166651552</v>
      </c>
      <c r="F4476" s="56">
        <v>0</v>
      </c>
      <c r="G4476" s="48"/>
      <c r="H4476" s="48"/>
      <c r="I4476" s="48"/>
      <c r="J4476" s="48"/>
      <c r="L4476" s="65"/>
    </row>
    <row r="4477" spans="5:12">
      <c r="E4477" s="49">
        <v>45064.232638873771</v>
      </c>
      <c r="F4477" s="56">
        <v>0</v>
      </c>
      <c r="G4477" s="48"/>
      <c r="H4477" s="48"/>
      <c r="I4477" s="48"/>
      <c r="J4477" s="48"/>
      <c r="L4477" s="65"/>
    </row>
    <row r="4478" spans="5:12">
      <c r="E4478" s="49">
        <v>45064.23611109599</v>
      </c>
      <c r="F4478" s="56">
        <v>0</v>
      </c>
      <c r="G4478" s="48"/>
      <c r="H4478" s="48"/>
      <c r="I4478" s="48"/>
      <c r="J4478" s="48"/>
      <c r="L4478" s="65"/>
    </row>
    <row r="4479" spans="5:12">
      <c r="E4479" s="49">
        <v>45064.239583318209</v>
      </c>
      <c r="F4479" s="56">
        <v>0</v>
      </c>
      <c r="G4479" s="48"/>
      <c r="H4479" s="48"/>
      <c r="I4479" s="48"/>
      <c r="J4479" s="48"/>
      <c r="L4479" s="65"/>
    </row>
    <row r="4480" spans="5:12">
      <c r="E4480" s="49">
        <v>45064.243055540428</v>
      </c>
      <c r="F4480" s="56">
        <v>0</v>
      </c>
      <c r="G4480" s="48"/>
      <c r="H4480" s="48"/>
      <c r="I4480" s="48"/>
      <c r="J4480" s="48"/>
      <c r="L4480" s="65"/>
    </row>
    <row r="4481" spans="5:12">
      <c r="E4481" s="49">
        <v>45064.246527762647</v>
      </c>
      <c r="F4481" s="56">
        <v>0</v>
      </c>
      <c r="G4481" s="48"/>
      <c r="H4481" s="48"/>
      <c r="I4481" s="48"/>
      <c r="J4481" s="48"/>
      <c r="L4481" s="65"/>
    </row>
    <row r="4482" spans="5:12">
      <c r="E4482" s="49">
        <v>45064.249999984866</v>
      </c>
      <c r="F4482" s="56">
        <v>0</v>
      </c>
      <c r="G4482" s="48"/>
      <c r="H4482" s="48"/>
      <c r="I4482" s="48"/>
      <c r="J4482" s="48"/>
      <c r="L4482" s="65"/>
    </row>
    <row r="4483" spans="5:12">
      <c r="E4483" s="49">
        <v>45064.253472207085</v>
      </c>
      <c r="F4483" s="56">
        <v>0</v>
      </c>
      <c r="G4483" s="48"/>
      <c r="H4483" s="48"/>
      <c r="I4483" s="48"/>
      <c r="J4483" s="48"/>
      <c r="L4483" s="65"/>
    </row>
    <row r="4484" spans="5:12">
      <c r="E4484" s="49">
        <v>45064.256944429304</v>
      </c>
      <c r="F4484" s="56">
        <v>0</v>
      </c>
      <c r="G4484" s="48"/>
      <c r="H4484" s="48"/>
      <c r="I4484" s="48"/>
      <c r="J4484" s="48"/>
      <c r="L4484" s="65"/>
    </row>
    <row r="4485" spans="5:12">
      <c r="E4485" s="49">
        <v>45064.260416651523</v>
      </c>
      <c r="F4485" s="56">
        <v>0</v>
      </c>
      <c r="G4485" s="48"/>
      <c r="H4485" s="48"/>
      <c r="I4485" s="48"/>
      <c r="J4485" s="48"/>
      <c r="L4485" s="65"/>
    </row>
    <row r="4486" spans="5:12">
      <c r="E4486" s="49">
        <v>45064.263888873742</v>
      </c>
      <c r="F4486" s="56">
        <v>0</v>
      </c>
      <c r="G4486" s="48"/>
      <c r="H4486" s="48"/>
      <c r="I4486" s="48"/>
      <c r="J4486" s="48"/>
      <c r="L4486" s="65"/>
    </row>
    <row r="4487" spans="5:12">
      <c r="E4487" s="49">
        <v>45064.267361095961</v>
      </c>
      <c r="F4487" s="56">
        <v>0</v>
      </c>
      <c r="G4487" s="48"/>
      <c r="H4487" s="48"/>
      <c r="I4487" s="48"/>
      <c r="J4487" s="48"/>
      <c r="L4487" s="65"/>
    </row>
    <row r="4488" spans="5:12">
      <c r="E4488" s="49">
        <v>45064.27083331818</v>
      </c>
      <c r="F4488" s="56">
        <v>0</v>
      </c>
      <c r="G4488" s="48"/>
      <c r="H4488" s="48"/>
      <c r="I4488" s="48"/>
      <c r="J4488" s="48"/>
      <c r="L4488" s="65"/>
    </row>
    <row r="4489" spans="5:12">
      <c r="E4489" s="49">
        <v>45064.274305540399</v>
      </c>
      <c r="F4489" s="56">
        <v>0</v>
      </c>
      <c r="G4489" s="48"/>
      <c r="H4489" s="48"/>
      <c r="I4489" s="48"/>
      <c r="J4489" s="48"/>
      <c r="L4489" s="65"/>
    </row>
    <row r="4490" spans="5:12">
      <c r="E4490" s="49">
        <v>45064.277777762618</v>
      </c>
      <c r="F4490" s="56">
        <v>0</v>
      </c>
      <c r="G4490" s="48"/>
      <c r="H4490" s="48"/>
      <c r="I4490" s="48"/>
      <c r="J4490" s="48"/>
      <c r="L4490" s="65"/>
    </row>
    <row r="4491" spans="5:12">
      <c r="E4491" s="49">
        <v>45064.281249984837</v>
      </c>
      <c r="F4491" s="56">
        <v>0</v>
      </c>
      <c r="G4491" s="48"/>
      <c r="H4491" s="48"/>
      <c r="I4491" s="48"/>
      <c r="J4491" s="48"/>
      <c r="L4491" s="65"/>
    </row>
    <row r="4492" spans="5:12">
      <c r="E4492" s="49">
        <v>45064.284722207056</v>
      </c>
      <c r="F4492" s="56">
        <v>0</v>
      </c>
      <c r="G4492" s="48"/>
      <c r="H4492" s="48"/>
      <c r="I4492" s="48"/>
      <c r="J4492" s="48"/>
      <c r="L4492" s="65"/>
    </row>
    <row r="4493" spans="5:12">
      <c r="E4493" s="49">
        <v>45064.288194429275</v>
      </c>
      <c r="F4493" s="56">
        <v>0</v>
      </c>
      <c r="G4493" s="48"/>
      <c r="H4493" s="48"/>
      <c r="I4493" s="48"/>
      <c r="J4493" s="48"/>
      <c r="L4493" s="65"/>
    </row>
    <row r="4494" spans="5:12">
      <c r="E4494" s="49">
        <v>45064.291666651494</v>
      </c>
      <c r="F4494" s="56">
        <v>0</v>
      </c>
      <c r="G4494" s="48"/>
      <c r="H4494" s="48"/>
      <c r="I4494" s="48"/>
      <c r="J4494" s="48"/>
      <c r="L4494" s="65"/>
    </row>
    <row r="4495" spans="5:12">
      <c r="E4495" s="49">
        <v>45064.295138873713</v>
      </c>
      <c r="F4495" s="56">
        <v>0</v>
      </c>
      <c r="G4495" s="48"/>
      <c r="H4495" s="48"/>
      <c r="I4495" s="48"/>
      <c r="J4495" s="48"/>
      <c r="L4495" s="65"/>
    </row>
    <row r="4496" spans="5:12">
      <c r="E4496" s="49">
        <v>45064.298611095932</v>
      </c>
      <c r="F4496" s="56">
        <v>0</v>
      </c>
      <c r="G4496" s="48"/>
      <c r="H4496" s="48"/>
      <c r="I4496" s="48"/>
      <c r="J4496" s="48"/>
      <c r="L4496" s="65"/>
    </row>
    <row r="4497" spans="5:12">
      <c r="E4497" s="49">
        <v>45064.302083318151</v>
      </c>
      <c r="F4497" s="56">
        <v>0</v>
      </c>
      <c r="G4497" s="48"/>
      <c r="H4497" s="48"/>
      <c r="I4497" s="48"/>
      <c r="J4497" s="48"/>
      <c r="L4497" s="65"/>
    </row>
    <row r="4498" spans="5:12">
      <c r="E4498" s="49">
        <v>45064.30555554037</v>
      </c>
      <c r="F4498" s="56">
        <v>0</v>
      </c>
      <c r="G4498" s="48"/>
      <c r="H4498" s="48"/>
      <c r="I4498" s="48"/>
      <c r="J4498" s="48"/>
      <c r="L4498" s="65"/>
    </row>
    <row r="4499" spans="5:12">
      <c r="E4499" s="49">
        <v>45064.309027762589</v>
      </c>
      <c r="F4499" s="56">
        <v>0</v>
      </c>
      <c r="G4499" s="48"/>
      <c r="H4499" s="48"/>
      <c r="I4499" s="48"/>
      <c r="J4499" s="48"/>
      <c r="L4499" s="65"/>
    </row>
    <row r="4500" spans="5:12">
      <c r="E4500" s="49">
        <v>45064.312499984808</v>
      </c>
      <c r="F4500" s="56">
        <v>0</v>
      </c>
      <c r="G4500" s="48"/>
      <c r="H4500" s="48"/>
      <c r="I4500" s="48"/>
      <c r="J4500" s="48"/>
      <c r="L4500" s="65"/>
    </row>
    <row r="4501" spans="5:12">
      <c r="E4501" s="49">
        <v>45064.315972207027</v>
      </c>
      <c r="F4501" s="56">
        <v>0</v>
      </c>
      <c r="G4501" s="48"/>
      <c r="H4501" s="48"/>
      <c r="I4501" s="48"/>
      <c r="J4501" s="48"/>
      <c r="L4501" s="65"/>
    </row>
    <row r="4502" spans="5:12">
      <c r="E4502" s="49">
        <v>45064.319444429246</v>
      </c>
      <c r="F4502" s="56">
        <v>0</v>
      </c>
      <c r="G4502" s="48"/>
      <c r="H4502" s="48"/>
      <c r="I4502" s="48"/>
      <c r="J4502" s="48"/>
      <c r="L4502" s="65"/>
    </row>
    <row r="4503" spans="5:12">
      <c r="E4503" s="49">
        <v>45064.322916651465</v>
      </c>
      <c r="F4503" s="56">
        <v>0</v>
      </c>
      <c r="G4503" s="48"/>
      <c r="H4503" s="48"/>
      <c r="I4503" s="48"/>
      <c r="J4503" s="48"/>
      <c r="L4503" s="65"/>
    </row>
    <row r="4504" spans="5:12">
      <c r="E4504" s="49">
        <v>45064.326388873684</v>
      </c>
      <c r="F4504" s="56">
        <v>0</v>
      </c>
      <c r="G4504" s="48"/>
      <c r="H4504" s="48"/>
      <c r="I4504" s="48"/>
      <c r="J4504" s="48"/>
      <c r="L4504" s="65"/>
    </row>
    <row r="4505" spans="5:12">
      <c r="E4505" s="49">
        <v>45064.329861095903</v>
      </c>
      <c r="F4505" s="56">
        <v>0</v>
      </c>
      <c r="G4505" s="48"/>
      <c r="H4505" s="48"/>
      <c r="I4505" s="48"/>
      <c r="J4505" s="48"/>
      <c r="L4505" s="65"/>
    </row>
    <row r="4506" spans="5:12">
      <c r="E4506" s="49">
        <v>45064.333333318122</v>
      </c>
      <c r="F4506" s="56">
        <v>0</v>
      </c>
      <c r="G4506" s="48"/>
      <c r="H4506" s="48"/>
      <c r="I4506" s="48"/>
      <c r="J4506" s="48"/>
      <c r="L4506" s="65"/>
    </row>
    <row r="4507" spans="5:12">
      <c r="E4507" s="49">
        <v>45064.336805540341</v>
      </c>
      <c r="F4507" s="56">
        <v>0</v>
      </c>
      <c r="G4507" s="48"/>
      <c r="H4507" s="48"/>
      <c r="I4507" s="48"/>
      <c r="J4507" s="48"/>
      <c r="L4507" s="65"/>
    </row>
    <row r="4508" spans="5:12">
      <c r="E4508" s="49">
        <v>45064.34027776256</v>
      </c>
      <c r="F4508" s="56">
        <v>0</v>
      </c>
      <c r="G4508" s="48"/>
      <c r="H4508" s="48"/>
      <c r="I4508" s="48"/>
      <c r="J4508" s="48"/>
      <c r="L4508" s="65"/>
    </row>
    <row r="4509" spans="5:12">
      <c r="E4509" s="49">
        <v>45064.343749984779</v>
      </c>
      <c r="F4509" s="56">
        <v>0</v>
      </c>
      <c r="G4509" s="48"/>
      <c r="H4509" s="48"/>
      <c r="I4509" s="48"/>
      <c r="J4509" s="48"/>
      <c r="L4509" s="65"/>
    </row>
    <row r="4510" spans="5:12">
      <c r="E4510" s="49">
        <v>45064.347222206998</v>
      </c>
      <c r="F4510" s="56">
        <v>0</v>
      </c>
      <c r="G4510" s="48"/>
      <c r="H4510" s="48"/>
      <c r="I4510" s="48"/>
      <c r="J4510" s="48"/>
      <c r="L4510" s="65"/>
    </row>
    <row r="4511" spans="5:12">
      <c r="E4511" s="49">
        <v>45064.350694429217</v>
      </c>
      <c r="F4511" s="56">
        <v>0</v>
      </c>
      <c r="G4511" s="48"/>
      <c r="H4511" s="48"/>
      <c r="I4511" s="48"/>
      <c r="J4511" s="48"/>
      <c r="L4511" s="65"/>
    </row>
    <row r="4512" spans="5:12">
      <c r="E4512" s="49">
        <v>45064.354166651436</v>
      </c>
      <c r="F4512" s="56">
        <v>0</v>
      </c>
      <c r="G4512" s="48"/>
      <c r="H4512" s="48"/>
      <c r="I4512" s="48"/>
      <c r="J4512" s="48"/>
      <c r="L4512" s="65"/>
    </row>
    <row r="4513" spans="5:12">
      <c r="E4513" s="49">
        <v>45064.357638873655</v>
      </c>
      <c r="F4513" s="56">
        <v>0</v>
      </c>
      <c r="G4513" s="48"/>
      <c r="H4513" s="48"/>
      <c r="I4513" s="48"/>
      <c r="J4513" s="48"/>
      <c r="L4513" s="65"/>
    </row>
    <row r="4514" spans="5:12">
      <c r="E4514" s="49">
        <v>45064.361111095874</v>
      </c>
      <c r="F4514" s="56">
        <v>0</v>
      </c>
      <c r="G4514" s="48"/>
      <c r="H4514" s="48"/>
      <c r="I4514" s="48"/>
      <c r="J4514" s="48"/>
      <c r="L4514" s="65"/>
    </row>
    <row r="4515" spans="5:12">
      <c r="E4515" s="49">
        <v>45064.364583318093</v>
      </c>
      <c r="F4515" s="56">
        <v>0</v>
      </c>
      <c r="G4515" s="48"/>
      <c r="H4515" s="48"/>
      <c r="I4515" s="48"/>
      <c r="J4515" s="48"/>
      <c r="L4515" s="65"/>
    </row>
    <row r="4516" spans="5:12">
      <c r="E4516" s="49">
        <v>45064.368055540312</v>
      </c>
      <c r="F4516" s="56">
        <v>0</v>
      </c>
      <c r="G4516" s="48"/>
      <c r="H4516" s="48"/>
      <c r="I4516" s="48"/>
      <c r="J4516" s="48"/>
      <c r="L4516" s="65"/>
    </row>
    <row r="4517" spans="5:12">
      <c r="E4517" s="49">
        <v>45064.371527762531</v>
      </c>
      <c r="F4517" s="56">
        <v>0</v>
      </c>
      <c r="G4517" s="48"/>
      <c r="H4517" s="48"/>
      <c r="I4517" s="48"/>
      <c r="J4517" s="48"/>
      <c r="L4517" s="65"/>
    </row>
    <row r="4518" spans="5:12">
      <c r="E4518" s="49">
        <v>45064.37499998475</v>
      </c>
      <c r="F4518" s="56">
        <v>0</v>
      </c>
      <c r="G4518" s="48"/>
      <c r="H4518" s="48"/>
      <c r="I4518" s="48"/>
      <c r="J4518" s="48"/>
      <c r="L4518" s="65"/>
    </row>
    <row r="4519" spans="5:12">
      <c r="E4519" s="49">
        <v>45064.378472206969</v>
      </c>
      <c r="F4519" s="56">
        <v>0</v>
      </c>
      <c r="G4519" s="48"/>
      <c r="H4519" s="48"/>
      <c r="I4519" s="48"/>
      <c r="J4519" s="48"/>
      <c r="L4519" s="65"/>
    </row>
    <row r="4520" spans="5:12">
      <c r="E4520" s="49">
        <v>45064.381944429188</v>
      </c>
      <c r="F4520" s="56">
        <v>0</v>
      </c>
      <c r="G4520" s="48"/>
      <c r="H4520" s="48"/>
      <c r="I4520" s="48"/>
      <c r="J4520" s="48"/>
      <c r="L4520" s="65"/>
    </row>
    <row r="4521" spans="5:12">
      <c r="E4521" s="49">
        <v>45064.385416651407</v>
      </c>
      <c r="F4521" s="56">
        <v>0</v>
      </c>
      <c r="G4521" s="48"/>
      <c r="H4521" s="48"/>
      <c r="I4521" s="48"/>
      <c r="J4521" s="48"/>
      <c r="L4521" s="65"/>
    </row>
    <row r="4522" spans="5:12">
      <c r="E4522" s="49">
        <v>45064.388888873626</v>
      </c>
      <c r="F4522" s="56">
        <v>0</v>
      </c>
      <c r="G4522" s="48"/>
      <c r="H4522" s="48"/>
      <c r="I4522" s="48"/>
      <c r="J4522" s="48"/>
      <c r="L4522" s="65"/>
    </row>
    <row r="4523" spans="5:12">
      <c r="E4523" s="49">
        <v>45064.392361095845</v>
      </c>
      <c r="F4523" s="56">
        <v>0</v>
      </c>
      <c r="G4523" s="48"/>
      <c r="H4523" s="48"/>
      <c r="I4523" s="48"/>
      <c r="J4523" s="48"/>
      <c r="L4523" s="65"/>
    </row>
    <row r="4524" spans="5:12">
      <c r="E4524" s="49">
        <v>45064.395833318064</v>
      </c>
      <c r="F4524" s="56">
        <v>0</v>
      </c>
      <c r="G4524" s="48"/>
      <c r="H4524" s="48"/>
      <c r="I4524" s="48"/>
      <c r="J4524" s="48"/>
      <c r="L4524" s="65"/>
    </row>
    <row r="4525" spans="5:12">
      <c r="E4525" s="49">
        <v>45064.399305540283</v>
      </c>
      <c r="F4525" s="56">
        <v>0</v>
      </c>
      <c r="G4525" s="48"/>
      <c r="H4525" s="48"/>
      <c r="I4525" s="48"/>
      <c r="J4525" s="48"/>
      <c r="L4525" s="65"/>
    </row>
    <row r="4526" spans="5:12">
      <c r="E4526" s="49">
        <v>45064.402777762502</v>
      </c>
      <c r="F4526" s="56">
        <v>0</v>
      </c>
      <c r="G4526" s="48"/>
      <c r="H4526" s="48"/>
      <c r="I4526" s="48"/>
      <c r="J4526" s="48"/>
      <c r="L4526" s="65"/>
    </row>
    <row r="4527" spans="5:12">
      <c r="E4527" s="49">
        <v>45064.40624998472</v>
      </c>
      <c r="F4527" s="56">
        <v>0</v>
      </c>
      <c r="G4527" s="48"/>
      <c r="H4527" s="48"/>
      <c r="I4527" s="48"/>
      <c r="J4527" s="48"/>
      <c r="L4527" s="65"/>
    </row>
    <row r="4528" spans="5:12">
      <c r="E4528" s="49">
        <v>45064.409722206939</v>
      </c>
      <c r="F4528" s="56">
        <v>0</v>
      </c>
      <c r="G4528" s="48"/>
      <c r="H4528" s="48"/>
      <c r="I4528" s="48"/>
      <c r="J4528" s="48"/>
      <c r="L4528" s="65"/>
    </row>
    <row r="4529" spans="5:12">
      <c r="E4529" s="49">
        <v>45064.413194429158</v>
      </c>
      <c r="F4529" s="56">
        <v>0</v>
      </c>
      <c r="G4529" s="48"/>
      <c r="H4529" s="48"/>
      <c r="I4529" s="48"/>
      <c r="J4529" s="48"/>
      <c r="L4529" s="65"/>
    </row>
    <row r="4530" spans="5:12">
      <c r="E4530" s="49">
        <v>45064.416666651377</v>
      </c>
      <c r="F4530" s="56">
        <v>0</v>
      </c>
      <c r="G4530" s="48"/>
      <c r="H4530" s="48"/>
      <c r="I4530" s="48"/>
      <c r="J4530" s="48"/>
      <c r="L4530" s="65"/>
    </row>
    <row r="4531" spans="5:12">
      <c r="E4531" s="49">
        <v>45064.420138873596</v>
      </c>
      <c r="F4531" s="56">
        <v>0</v>
      </c>
      <c r="G4531" s="48"/>
      <c r="H4531" s="48"/>
      <c r="I4531" s="48"/>
      <c r="J4531" s="48"/>
      <c r="L4531" s="65"/>
    </row>
    <row r="4532" spans="5:12">
      <c r="E4532" s="49">
        <v>45064.423611095815</v>
      </c>
      <c r="F4532" s="56">
        <v>0</v>
      </c>
      <c r="G4532" s="48"/>
      <c r="H4532" s="48"/>
      <c r="I4532" s="48"/>
      <c r="J4532" s="48"/>
      <c r="L4532" s="65"/>
    </row>
    <row r="4533" spans="5:12">
      <c r="E4533" s="49">
        <v>45064.427083318034</v>
      </c>
      <c r="F4533" s="56">
        <v>0</v>
      </c>
      <c r="G4533" s="48"/>
      <c r="H4533" s="48"/>
      <c r="I4533" s="48"/>
      <c r="J4533" s="48"/>
      <c r="L4533" s="65"/>
    </row>
    <row r="4534" spans="5:12">
      <c r="E4534" s="49">
        <v>45064.430555540253</v>
      </c>
      <c r="F4534" s="56">
        <v>0</v>
      </c>
      <c r="G4534" s="48"/>
      <c r="H4534" s="48"/>
      <c r="I4534" s="48"/>
      <c r="J4534" s="48"/>
      <c r="L4534" s="65"/>
    </row>
    <row r="4535" spans="5:12">
      <c r="E4535" s="49">
        <v>45064.434027762472</v>
      </c>
      <c r="F4535" s="56">
        <v>0</v>
      </c>
      <c r="G4535" s="48"/>
      <c r="H4535" s="48"/>
      <c r="I4535" s="48"/>
      <c r="J4535" s="48"/>
      <c r="L4535" s="65"/>
    </row>
    <row r="4536" spans="5:12">
      <c r="E4536" s="49">
        <v>45064.437499984691</v>
      </c>
      <c r="F4536" s="56">
        <v>0</v>
      </c>
      <c r="G4536" s="48"/>
      <c r="H4536" s="48"/>
      <c r="I4536" s="48"/>
      <c r="J4536" s="48"/>
      <c r="L4536" s="65"/>
    </row>
    <row r="4537" spans="5:12">
      <c r="E4537" s="49">
        <v>45064.44097220691</v>
      </c>
      <c r="F4537" s="56">
        <v>0</v>
      </c>
      <c r="G4537" s="48"/>
      <c r="H4537" s="48"/>
      <c r="I4537" s="48"/>
      <c r="J4537" s="48"/>
      <c r="L4537" s="65"/>
    </row>
    <row r="4538" spans="5:12">
      <c r="E4538" s="49">
        <v>45064.444444429129</v>
      </c>
      <c r="F4538" s="56">
        <v>0</v>
      </c>
      <c r="G4538" s="48"/>
      <c r="H4538" s="48"/>
      <c r="I4538" s="48"/>
      <c r="J4538" s="48"/>
      <c r="L4538" s="65"/>
    </row>
    <row r="4539" spans="5:12">
      <c r="E4539" s="49">
        <v>45064.447916651348</v>
      </c>
      <c r="F4539" s="56">
        <v>0</v>
      </c>
      <c r="G4539" s="48"/>
      <c r="H4539" s="48"/>
      <c r="I4539" s="48"/>
      <c r="J4539" s="48"/>
      <c r="L4539" s="65"/>
    </row>
    <row r="4540" spans="5:12">
      <c r="E4540" s="49">
        <v>45064.451388873567</v>
      </c>
      <c r="F4540" s="56">
        <v>0</v>
      </c>
      <c r="G4540" s="48"/>
      <c r="H4540" s="48"/>
      <c r="I4540" s="48"/>
      <c r="J4540" s="48"/>
      <c r="L4540" s="65"/>
    </row>
    <row r="4541" spans="5:12">
      <c r="E4541" s="49">
        <v>45064.454861095786</v>
      </c>
      <c r="F4541" s="56">
        <v>0</v>
      </c>
      <c r="G4541" s="48"/>
      <c r="H4541" s="48"/>
      <c r="I4541" s="48"/>
      <c r="J4541" s="48"/>
      <c r="L4541" s="65"/>
    </row>
    <row r="4542" spans="5:12">
      <c r="E4542" s="49">
        <v>45064.458333318005</v>
      </c>
      <c r="F4542" s="56">
        <v>0</v>
      </c>
      <c r="G4542" s="48"/>
      <c r="H4542" s="48"/>
      <c r="I4542" s="48"/>
      <c r="J4542" s="48"/>
      <c r="L4542" s="65"/>
    </row>
    <row r="4543" spans="5:12">
      <c r="E4543" s="49">
        <v>45064.461805540224</v>
      </c>
      <c r="F4543" s="56">
        <v>0</v>
      </c>
      <c r="G4543" s="48"/>
      <c r="H4543" s="48"/>
      <c r="I4543" s="48"/>
      <c r="J4543" s="48"/>
      <c r="L4543" s="65"/>
    </row>
    <row r="4544" spans="5:12">
      <c r="E4544" s="49">
        <v>45064.465277762443</v>
      </c>
      <c r="F4544" s="56">
        <v>0</v>
      </c>
      <c r="G4544" s="48"/>
      <c r="H4544" s="48"/>
      <c r="I4544" s="48"/>
      <c r="J4544" s="48"/>
      <c r="L4544" s="65"/>
    </row>
    <row r="4545" spans="5:12">
      <c r="E4545" s="49">
        <v>45064.468749984662</v>
      </c>
      <c r="F4545" s="56">
        <v>0</v>
      </c>
      <c r="G4545" s="48"/>
      <c r="H4545" s="48"/>
      <c r="I4545" s="48"/>
      <c r="J4545" s="48"/>
      <c r="L4545" s="65"/>
    </row>
    <row r="4546" spans="5:12">
      <c r="E4546" s="49">
        <v>45064.472222206881</v>
      </c>
      <c r="F4546" s="56">
        <v>0</v>
      </c>
      <c r="G4546" s="48"/>
      <c r="H4546" s="48"/>
      <c r="I4546" s="48"/>
      <c r="J4546" s="48"/>
      <c r="L4546" s="65"/>
    </row>
    <row r="4547" spans="5:12">
      <c r="E4547" s="49">
        <v>45064.4756944291</v>
      </c>
      <c r="F4547" s="56">
        <v>0</v>
      </c>
      <c r="G4547" s="48"/>
      <c r="H4547" s="48"/>
      <c r="I4547" s="48"/>
      <c r="J4547" s="48"/>
      <c r="L4547" s="65"/>
    </row>
    <row r="4548" spans="5:12">
      <c r="E4548" s="49">
        <v>45064.479166651319</v>
      </c>
      <c r="F4548" s="56">
        <v>0</v>
      </c>
      <c r="G4548" s="48"/>
      <c r="H4548" s="48"/>
      <c r="I4548" s="48"/>
      <c r="J4548" s="48"/>
      <c r="L4548" s="65"/>
    </row>
    <row r="4549" spans="5:12">
      <c r="E4549" s="49">
        <v>45064.482638873538</v>
      </c>
      <c r="F4549" s="56">
        <v>0</v>
      </c>
      <c r="G4549" s="48"/>
      <c r="H4549" s="48"/>
      <c r="I4549" s="48"/>
      <c r="J4549" s="48"/>
      <c r="L4549" s="65"/>
    </row>
    <row r="4550" spans="5:12">
      <c r="E4550" s="49">
        <v>45064.486111095757</v>
      </c>
      <c r="F4550" s="56">
        <v>0</v>
      </c>
      <c r="G4550" s="48"/>
      <c r="H4550" s="48"/>
      <c r="I4550" s="48"/>
      <c r="J4550" s="48"/>
      <c r="L4550" s="65"/>
    </row>
    <row r="4551" spans="5:12">
      <c r="E4551" s="49">
        <v>45064.489583317976</v>
      </c>
      <c r="F4551" s="56">
        <v>0</v>
      </c>
      <c r="G4551" s="48"/>
      <c r="H4551" s="48"/>
      <c r="I4551" s="48"/>
      <c r="J4551" s="48"/>
      <c r="L4551" s="65"/>
    </row>
    <row r="4552" spans="5:12">
      <c r="E4552" s="49">
        <v>45064.493055540195</v>
      </c>
      <c r="F4552" s="56">
        <v>0</v>
      </c>
      <c r="G4552" s="48"/>
      <c r="H4552" s="48"/>
      <c r="I4552" s="48"/>
      <c r="J4552" s="48"/>
      <c r="L4552" s="65"/>
    </row>
    <row r="4553" spans="5:12">
      <c r="E4553" s="49">
        <v>45064.496527762414</v>
      </c>
      <c r="F4553" s="56">
        <v>0</v>
      </c>
      <c r="G4553" s="48"/>
      <c r="H4553" s="48"/>
      <c r="I4553" s="48"/>
      <c r="J4553" s="48"/>
      <c r="L4553" s="65"/>
    </row>
    <row r="4554" spans="5:12">
      <c r="E4554" s="49">
        <v>45064.499999984633</v>
      </c>
      <c r="F4554" s="56">
        <v>0</v>
      </c>
      <c r="G4554" s="48"/>
      <c r="H4554" s="48"/>
      <c r="I4554" s="48"/>
      <c r="J4554" s="48"/>
      <c r="L4554" s="65"/>
    </row>
    <row r="4555" spans="5:12">
      <c r="E4555" s="49">
        <v>45064.503472206852</v>
      </c>
      <c r="F4555" s="56">
        <v>0</v>
      </c>
      <c r="G4555" s="48"/>
      <c r="H4555" s="48"/>
      <c r="I4555" s="48"/>
      <c r="J4555" s="48"/>
      <c r="L4555" s="65"/>
    </row>
    <row r="4556" spans="5:12">
      <c r="E4556" s="49">
        <v>45064.506944429071</v>
      </c>
      <c r="F4556" s="56">
        <v>0</v>
      </c>
      <c r="G4556" s="48"/>
      <c r="H4556" s="48"/>
      <c r="I4556" s="48"/>
      <c r="J4556" s="48"/>
      <c r="L4556" s="65"/>
    </row>
    <row r="4557" spans="5:12">
      <c r="E4557" s="49">
        <v>45064.51041665129</v>
      </c>
      <c r="F4557" s="56">
        <v>0</v>
      </c>
      <c r="G4557" s="48"/>
      <c r="H4557" s="48"/>
      <c r="I4557" s="48"/>
      <c r="J4557" s="48"/>
      <c r="L4557" s="65"/>
    </row>
    <row r="4558" spans="5:12">
      <c r="E4558" s="49">
        <v>45064.513888873509</v>
      </c>
      <c r="F4558" s="56">
        <v>0</v>
      </c>
      <c r="G4558" s="48"/>
      <c r="H4558" s="48"/>
      <c r="I4558" s="48"/>
      <c r="J4558" s="48"/>
      <c r="L4558" s="65"/>
    </row>
    <row r="4559" spans="5:12">
      <c r="E4559" s="49">
        <v>45064.517361095728</v>
      </c>
      <c r="F4559" s="56">
        <v>0</v>
      </c>
      <c r="G4559" s="48"/>
      <c r="H4559" s="48"/>
      <c r="I4559" s="48"/>
      <c r="J4559" s="48"/>
      <c r="L4559" s="65"/>
    </row>
    <row r="4560" spans="5:12">
      <c r="E4560" s="49">
        <v>45064.520833317947</v>
      </c>
      <c r="F4560" s="56">
        <v>0</v>
      </c>
      <c r="G4560" s="48"/>
      <c r="H4560" s="48"/>
      <c r="I4560" s="48"/>
      <c r="J4560" s="48"/>
      <c r="L4560" s="65"/>
    </row>
    <row r="4561" spans="5:12">
      <c r="E4561" s="49">
        <v>45064.524305540166</v>
      </c>
      <c r="F4561" s="56">
        <v>0</v>
      </c>
      <c r="G4561" s="48"/>
      <c r="H4561" s="48"/>
      <c r="I4561" s="48"/>
      <c r="J4561" s="48"/>
      <c r="L4561" s="65"/>
    </row>
    <row r="4562" spans="5:12">
      <c r="E4562" s="49">
        <v>45064.527777762385</v>
      </c>
      <c r="F4562" s="56">
        <v>0</v>
      </c>
      <c r="G4562" s="48"/>
      <c r="H4562" s="48"/>
      <c r="I4562" s="48"/>
      <c r="J4562" s="48"/>
      <c r="L4562" s="65"/>
    </row>
    <row r="4563" spans="5:12">
      <c r="E4563" s="49">
        <v>45064.531249984604</v>
      </c>
      <c r="F4563" s="56">
        <v>0</v>
      </c>
      <c r="G4563" s="48"/>
      <c r="H4563" s="48"/>
      <c r="I4563" s="48"/>
      <c r="J4563" s="48"/>
      <c r="L4563" s="65"/>
    </row>
    <row r="4564" spans="5:12">
      <c r="E4564" s="49">
        <v>45064.534722206823</v>
      </c>
      <c r="F4564" s="56">
        <v>0</v>
      </c>
      <c r="G4564" s="48"/>
      <c r="H4564" s="48"/>
      <c r="I4564" s="48"/>
      <c r="J4564" s="48"/>
      <c r="L4564" s="65"/>
    </row>
    <row r="4565" spans="5:12">
      <c r="E4565" s="49">
        <v>45064.538194429042</v>
      </c>
      <c r="F4565" s="56">
        <v>0</v>
      </c>
      <c r="G4565" s="48"/>
      <c r="H4565" s="48"/>
      <c r="I4565" s="48"/>
      <c r="J4565" s="48"/>
      <c r="L4565" s="65"/>
    </row>
    <row r="4566" spans="5:12">
      <c r="E4566" s="49">
        <v>45064.541666651261</v>
      </c>
      <c r="F4566" s="56">
        <v>0</v>
      </c>
      <c r="G4566" s="48"/>
      <c r="H4566" s="48"/>
      <c r="I4566" s="48"/>
      <c r="J4566" s="48"/>
      <c r="L4566" s="65"/>
    </row>
    <row r="4567" spans="5:12">
      <c r="E4567" s="49">
        <v>45064.54513887348</v>
      </c>
      <c r="F4567" s="56">
        <v>0</v>
      </c>
      <c r="G4567" s="48"/>
      <c r="H4567" s="48"/>
      <c r="I4567" s="48"/>
      <c r="J4567" s="48"/>
      <c r="L4567" s="65"/>
    </row>
    <row r="4568" spans="5:12">
      <c r="E4568" s="49">
        <v>45064.548611095699</v>
      </c>
      <c r="F4568" s="56">
        <v>0</v>
      </c>
      <c r="G4568" s="48"/>
      <c r="H4568" s="48"/>
      <c r="I4568" s="48"/>
      <c r="J4568" s="48"/>
      <c r="L4568" s="65"/>
    </row>
    <row r="4569" spans="5:12">
      <c r="E4569" s="49">
        <v>45064.552083317918</v>
      </c>
      <c r="F4569" s="56">
        <v>0</v>
      </c>
      <c r="G4569" s="48"/>
      <c r="H4569" s="48"/>
      <c r="I4569" s="48"/>
      <c r="J4569" s="48"/>
      <c r="L4569" s="65"/>
    </row>
    <row r="4570" spans="5:12">
      <c r="E4570" s="49">
        <v>45064.555555540137</v>
      </c>
      <c r="F4570" s="56">
        <v>0</v>
      </c>
      <c r="G4570" s="48"/>
      <c r="H4570" s="48"/>
      <c r="I4570" s="48"/>
      <c r="J4570" s="48"/>
      <c r="L4570" s="65"/>
    </row>
    <row r="4571" spans="5:12">
      <c r="E4571" s="49">
        <v>45064.559027762356</v>
      </c>
      <c r="F4571" s="56">
        <v>0</v>
      </c>
      <c r="G4571" s="48"/>
      <c r="H4571" s="48"/>
      <c r="I4571" s="48"/>
      <c r="J4571" s="48"/>
      <c r="L4571" s="65"/>
    </row>
    <row r="4572" spans="5:12">
      <c r="E4572" s="49">
        <v>45064.562499984575</v>
      </c>
      <c r="F4572" s="56">
        <v>0</v>
      </c>
      <c r="G4572" s="48"/>
      <c r="H4572" s="48"/>
      <c r="I4572" s="48"/>
      <c r="J4572" s="48"/>
      <c r="L4572" s="65"/>
    </row>
    <row r="4573" spans="5:12">
      <c r="E4573" s="49">
        <v>45064.565972206794</v>
      </c>
      <c r="F4573" s="56">
        <v>0</v>
      </c>
      <c r="G4573" s="48"/>
      <c r="H4573" s="48"/>
      <c r="I4573" s="48"/>
      <c r="J4573" s="48"/>
      <c r="L4573" s="65"/>
    </row>
    <row r="4574" spans="5:12">
      <c r="E4574" s="49">
        <v>45064.569444429013</v>
      </c>
      <c r="F4574" s="56">
        <v>0</v>
      </c>
      <c r="G4574" s="48"/>
      <c r="H4574" s="48"/>
      <c r="I4574" s="48"/>
      <c r="J4574" s="48"/>
      <c r="L4574" s="65"/>
    </row>
    <row r="4575" spans="5:12">
      <c r="E4575" s="49">
        <v>45064.572916651232</v>
      </c>
      <c r="F4575" s="56">
        <v>0</v>
      </c>
      <c r="G4575" s="48"/>
      <c r="H4575" s="48"/>
      <c r="I4575" s="48"/>
      <c r="J4575" s="48"/>
      <c r="L4575" s="65"/>
    </row>
    <row r="4576" spans="5:12">
      <c r="E4576" s="49">
        <v>45064.576388873451</v>
      </c>
      <c r="F4576" s="56">
        <v>0</v>
      </c>
      <c r="G4576" s="48"/>
      <c r="H4576" s="48"/>
      <c r="I4576" s="48"/>
      <c r="J4576" s="48"/>
      <c r="L4576" s="65"/>
    </row>
    <row r="4577" spans="5:12">
      <c r="E4577" s="49">
        <v>45064.57986109567</v>
      </c>
      <c r="F4577" s="56">
        <v>0</v>
      </c>
      <c r="G4577" s="48"/>
      <c r="H4577" s="48"/>
      <c r="I4577" s="48"/>
      <c r="J4577" s="48"/>
      <c r="L4577" s="65"/>
    </row>
    <row r="4578" spans="5:12">
      <c r="E4578" s="49">
        <v>45064.583333317889</v>
      </c>
      <c r="F4578" s="56">
        <v>0</v>
      </c>
      <c r="G4578" s="48"/>
      <c r="H4578" s="48"/>
      <c r="I4578" s="48"/>
      <c r="J4578" s="48"/>
      <c r="L4578" s="65"/>
    </row>
    <row r="4579" spans="5:12">
      <c r="E4579" s="49">
        <v>45064.586805540108</v>
      </c>
      <c r="F4579" s="56">
        <v>0</v>
      </c>
      <c r="G4579" s="48"/>
      <c r="H4579" s="48"/>
      <c r="I4579" s="48"/>
      <c r="J4579" s="48"/>
      <c r="L4579" s="65"/>
    </row>
    <row r="4580" spans="5:12">
      <c r="E4580" s="49">
        <v>45064.590277762327</v>
      </c>
      <c r="F4580" s="56">
        <v>0</v>
      </c>
      <c r="G4580" s="48"/>
      <c r="H4580" s="48"/>
      <c r="I4580" s="48"/>
      <c r="J4580" s="48"/>
      <c r="L4580" s="65"/>
    </row>
    <row r="4581" spans="5:12">
      <c r="E4581" s="49">
        <v>45064.593749984546</v>
      </c>
      <c r="F4581" s="56">
        <v>0</v>
      </c>
      <c r="G4581" s="48"/>
      <c r="H4581" s="48"/>
      <c r="I4581" s="48"/>
      <c r="J4581" s="48"/>
      <c r="L4581" s="65"/>
    </row>
    <row r="4582" spans="5:12">
      <c r="E4582" s="49">
        <v>45064.597222206765</v>
      </c>
      <c r="F4582" s="56">
        <v>0</v>
      </c>
      <c r="G4582" s="48"/>
      <c r="H4582" s="48"/>
      <c r="I4582" s="48"/>
      <c r="J4582" s="48"/>
      <c r="L4582" s="65"/>
    </row>
    <row r="4583" spans="5:12">
      <c r="E4583" s="49">
        <v>45064.600694428984</v>
      </c>
      <c r="F4583" s="56">
        <v>0</v>
      </c>
      <c r="G4583" s="48"/>
      <c r="H4583" s="48"/>
      <c r="I4583" s="48"/>
      <c r="J4583" s="48"/>
      <c r="L4583" s="65"/>
    </row>
    <row r="4584" spans="5:12">
      <c r="E4584" s="49">
        <v>45064.604166651203</v>
      </c>
      <c r="F4584" s="56">
        <v>0</v>
      </c>
      <c r="G4584" s="48"/>
      <c r="H4584" s="48"/>
      <c r="I4584" s="48"/>
      <c r="J4584" s="48"/>
      <c r="L4584" s="65"/>
    </row>
    <row r="4585" spans="5:12">
      <c r="E4585" s="49">
        <v>45064.607638873422</v>
      </c>
      <c r="F4585" s="56">
        <v>0</v>
      </c>
      <c r="G4585" s="48"/>
      <c r="H4585" s="48"/>
      <c r="I4585" s="48"/>
      <c r="J4585" s="48"/>
      <c r="L4585" s="65"/>
    </row>
    <row r="4586" spans="5:12">
      <c r="E4586" s="49">
        <v>45064.611111095641</v>
      </c>
      <c r="F4586" s="56">
        <v>0</v>
      </c>
      <c r="G4586" s="48"/>
      <c r="H4586" s="48"/>
      <c r="I4586" s="48"/>
      <c r="J4586" s="48"/>
      <c r="L4586" s="65"/>
    </row>
    <row r="4587" spans="5:12">
      <c r="E4587" s="49">
        <v>45064.61458331786</v>
      </c>
      <c r="F4587" s="56">
        <v>0</v>
      </c>
      <c r="G4587" s="48"/>
      <c r="H4587" s="48"/>
      <c r="I4587" s="48"/>
      <c r="J4587" s="48"/>
      <c r="L4587" s="65"/>
    </row>
    <row r="4588" spans="5:12">
      <c r="E4588" s="49">
        <v>45064.618055540079</v>
      </c>
      <c r="F4588" s="56">
        <v>0</v>
      </c>
      <c r="G4588" s="48"/>
      <c r="H4588" s="48"/>
      <c r="I4588" s="48"/>
      <c r="J4588" s="48"/>
      <c r="L4588" s="65"/>
    </row>
    <row r="4589" spans="5:12">
      <c r="E4589" s="49">
        <v>45064.621527762298</v>
      </c>
      <c r="F4589" s="56">
        <v>0</v>
      </c>
      <c r="G4589" s="48"/>
      <c r="H4589" s="48"/>
      <c r="I4589" s="48"/>
      <c r="J4589" s="48"/>
      <c r="L4589" s="65"/>
    </row>
    <row r="4590" spans="5:12">
      <c r="E4590" s="49">
        <v>45064.624999984517</v>
      </c>
      <c r="F4590" s="56">
        <v>0</v>
      </c>
      <c r="G4590" s="48"/>
      <c r="H4590" s="48"/>
      <c r="I4590" s="48"/>
      <c r="J4590" s="48"/>
      <c r="L4590" s="65"/>
    </row>
    <row r="4591" spans="5:12">
      <c r="E4591" s="49">
        <v>45064.628472206736</v>
      </c>
      <c r="F4591" s="56">
        <v>0</v>
      </c>
      <c r="G4591" s="48"/>
      <c r="H4591" s="48"/>
      <c r="I4591" s="48"/>
      <c r="J4591" s="48"/>
      <c r="L4591" s="65"/>
    </row>
    <row r="4592" spans="5:12">
      <c r="E4592" s="49">
        <v>45064.631944428955</v>
      </c>
      <c r="F4592" s="56">
        <v>0</v>
      </c>
      <c r="G4592" s="48"/>
      <c r="H4592" s="48"/>
      <c r="I4592" s="48"/>
      <c r="J4592" s="48"/>
      <c r="L4592" s="65"/>
    </row>
    <row r="4593" spans="5:12">
      <c r="E4593" s="49">
        <v>45064.635416651174</v>
      </c>
      <c r="F4593" s="56">
        <v>0</v>
      </c>
      <c r="G4593" s="48"/>
      <c r="H4593" s="48"/>
      <c r="I4593" s="48"/>
      <c r="J4593" s="48"/>
      <c r="L4593" s="65"/>
    </row>
    <row r="4594" spans="5:12">
      <c r="E4594" s="49">
        <v>45064.638888873393</v>
      </c>
      <c r="F4594" s="56">
        <v>0</v>
      </c>
      <c r="G4594" s="48"/>
      <c r="H4594" s="48"/>
      <c r="I4594" s="48"/>
      <c r="J4594" s="48"/>
      <c r="L4594" s="65"/>
    </row>
    <row r="4595" spans="5:12">
      <c r="E4595" s="49">
        <v>45064.642361095612</v>
      </c>
      <c r="F4595" s="56">
        <v>0</v>
      </c>
      <c r="G4595" s="48"/>
      <c r="H4595" s="48"/>
      <c r="I4595" s="48"/>
      <c r="J4595" s="48"/>
      <c r="L4595" s="65"/>
    </row>
    <row r="4596" spans="5:12">
      <c r="E4596" s="49">
        <v>45064.645833317831</v>
      </c>
      <c r="F4596" s="56">
        <v>0</v>
      </c>
      <c r="G4596" s="48"/>
      <c r="H4596" s="48"/>
      <c r="I4596" s="48"/>
      <c r="J4596" s="48"/>
      <c r="L4596" s="65"/>
    </row>
    <row r="4597" spans="5:12">
      <c r="E4597" s="49">
        <v>45064.64930554005</v>
      </c>
      <c r="F4597" s="56">
        <v>0</v>
      </c>
      <c r="G4597" s="48"/>
      <c r="H4597" s="48"/>
      <c r="I4597" s="48"/>
      <c r="J4597" s="48"/>
      <c r="L4597" s="65"/>
    </row>
    <row r="4598" spans="5:12">
      <c r="E4598" s="49">
        <v>45064.652777762269</v>
      </c>
      <c r="F4598" s="56">
        <v>0</v>
      </c>
      <c r="G4598" s="48"/>
      <c r="H4598" s="48"/>
      <c r="I4598" s="48"/>
      <c r="J4598" s="48"/>
      <c r="L4598" s="65"/>
    </row>
    <row r="4599" spans="5:12">
      <c r="E4599" s="49">
        <v>45064.656249984488</v>
      </c>
      <c r="F4599" s="56">
        <v>0</v>
      </c>
      <c r="G4599" s="48"/>
      <c r="H4599" s="48"/>
      <c r="I4599" s="48"/>
      <c r="J4599" s="48"/>
      <c r="L4599" s="65"/>
    </row>
    <row r="4600" spans="5:12">
      <c r="E4600" s="49">
        <v>45064.659722206707</v>
      </c>
      <c r="F4600" s="56">
        <v>0</v>
      </c>
      <c r="G4600" s="48"/>
      <c r="H4600" s="48"/>
      <c r="I4600" s="48"/>
      <c r="J4600" s="48"/>
      <c r="L4600" s="65"/>
    </row>
    <row r="4601" spans="5:12">
      <c r="E4601" s="49">
        <v>45064.663194428926</v>
      </c>
      <c r="F4601" s="56">
        <v>0</v>
      </c>
      <c r="G4601" s="48"/>
      <c r="H4601" s="48"/>
      <c r="I4601" s="48"/>
      <c r="J4601" s="48"/>
      <c r="L4601" s="65"/>
    </row>
    <row r="4602" spans="5:12">
      <c r="E4602" s="49">
        <v>45064.666666651145</v>
      </c>
      <c r="F4602" s="56">
        <v>0</v>
      </c>
      <c r="G4602" s="48"/>
      <c r="H4602" s="48"/>
      <c r="I4602" s="48"/>
      <c r="J4602" s="48"/>
      <c r="L4602" s="65"/>
    </row>
    <row r="4603" spans="5:12">
      <c r="E4603" s="49">
        <v>45064.670138873364</v>
      </c>
      <c r="F4603" s="56">
        <v>0</v>
      </c>
      <c r="G4603" s="48"/>
      <c r="H4603" s="48"/>
      <c r="I4603" s="48"/>
      <c r="J4603" s="48"/>
      <c r="L4603" s="65"/>
    </row>
    <row r="4604" spans="5:12">
      <c r="E4604" s="49">
        <v>45064.673611095583</v>
      </c>
      <c r="F4604" s="56">
        <v>0</v>
      </c>
      <c r="G4604" s="48"/>
      <c r="H4604" s="48"/>
      <c r="I4604" s="48"/>
      <c r="J4604" s="48"/>
      <c r="L4604" s="65"/>
    </row>
    <row r="4605" spans="5:12">
      <c r="E4605" s="49">
        <v>45064.677083317802</v>
      </c>
      <c r="F4605" s="56">
        <v>0</v>
      </c>
      <c r="G4605" s="48"/>
      <c r="H4605" s="48"/>
      <c r="I4605" s="48"/>
      <c r="J4605" s="48"/>
      <c r="L4605" s="65"/>
    </row>
    <row r="4606" spans="5:12">
      <c r="E4606" s="49">
        <v>45064.680555540021</v>
      </c>
      <c r="F4606" s="56">
        <v>0</v>
      </c>
      <c r="G4606" s="48"/>
      <c r="H4606" s="48"/>
      <c r="I4606" s="48"/>
      <c r="J4606" s="48"/>
      <c r="L4606" s="65"/>
    </row>
    <row r="4607" spans="5:12">
      <c r="E4607" s="49">
        <v>45064.68402776224</v>
      </c>
      <c r="F4607" s="56">
        <v>0</v>
      </c>
      <c r="G4607" s="48"/>
      <c r="H4607" s="48"/>
      <c r="I4607" s="48"/>
      <c r="J4607" s="48"/>
      <c r="L4607" s="65"/>
    </row>
    <row r="4608" spans="5:12">
      <c r="E4608" s="49">
        <v>45064.687499984459</v>
      </c>
      <c r="F4608" s="56">
        <v>0</v>
      </c>
      <c r="G4608" s="48"/>
      <c r="H4608" s="48"/>
      <c r="I4608" s="48"/>
      <c r="J4608" s="48"/>
      <c r="L4608" s="65"/>
    </row>
    <row r="4609" spans="5:12">
      <c r="E4609" s="49">
        <v>45064.690972206678</v>
      </c>
      <c r="F4609" s="56">
        <v>0</v>
      </c>
      <c r="G4609" s="48"/>
      <c r="H4609" s="48"/>
      <c r="I4609" s="48"/>
      <c r="J4609" s="48"/>
      <c r="L4609" s="65"/>
    </row>
    <row r="4610" spans="5:12">
      <c r="E4610" s="49">
        <v>45064.694444428897</v>
      </c>
      <c r="F4610" s="56">
        <v>0</v>
      </c>
      <c r="G4610" s="48"/>
      <c r="H4610" s="48"/>
      <c r="I4610" s="48"/>
      <c r="J4610" s="48"/>
      <c r="L4610" s="65"/>
    </row>
    <row r="4611" spans="5:12">
      <c r="E4611" s="49">
        <v>45064.697916651116</v>
      </c>
      <c r="F4611" s="56">
        <v>0</v>
      </c>
      <c r="G4611" s="48"/>
      <c r="H4611" s="48"/>
      <c r="I4611" s="48"/>
      <c r="J4611" s="48"/>
      <c r="L4611" s="65"/>
    </row>
    <row r="4612" spans="5:12">
      <c r="E4612" s="49">
        <v>45064.701388873335</v>
      </c>
      <c r="F4612" s="56">
        <v>0</v>
      </c>
      <c r="G4612" s="48"/>
      <c r="H4612" s="48"/>
      <c r="I4612" s="48"/>
      <c r="J4612" s="48"/>
      <c r="L4612" s="65"/>
    </row>
    <row r="4613" spans="5:12">
      <c r="E4613" s="49">
        <v>45064.704861095553</v>
      </c>
      <c r="F4613" s="56">
        <v>0</v>
      </c>
      <c r="G4613" s="48"/>
      <c r="H4613" s="48"/>
      <c r="I4613" s="48"/>
      <c r="J4613" s="48"/>
      <c r="L4613" s="65"/>
    </row>
    <row r="4614" spans="5:12">
      <c r="E4614" s="49">
        <v>45064.708333317772</v>
      </c>
      <c r="F4614" s="56">
        <v>0</v>
      </c>
      <c r="G4614" s="48"/>
      <c r="H4614" s="48"/>
      <c r="I4614" s="48"/>
      <c r="J4614" s="48"/>
      <c r="L4614" s="65"/>
    </row>
    <row r="4615" spans="5:12">
      <c r="E4615" s="49">
        <v>45064.711805539991</v>
      </c>
      <c r="F4615" s="56">
        <v>0</v>
      </c>
      <c r="G4615" s="48"/>
      <c r="H4615" s="48"/>
      <c r="I4615" s="48"/>
      <c r="J4615" s="48"/>
      <c r="L4615" s="65"/>
    </row>
    <row r="4616" spans="5:12">
      <c r="E4616" s="49">
        <v>45064.71527776221</v>
      </c>
      <c r="F4616" s="56">
        <v>0</v>
      </c>
      <c r="G4616" s="48"/>
      <c r="H4616" s="48"/>
      <c r="I4616" s="48"/>
      <c r="J4616" s="48"/>
      <c r="L4616" s="65"/>
    </row>
    <row r="4617" spans="5:12">
      <c r="E4617" s="49">
        <v>45064.718749984429</v>
      </c>
      <c r="F4617" s="56">
        <v>0</v>
      </c>
      <c r="G4617" s="48"/>
      <c r="H4617" s="48"/>
      <c r="I4617" s="48"/>
      <c r="J4617" s="48"/>
      <c r="L4617" s="65"/>
    </row>
    <row r="4618" spans="5:12">
      <c r="E4618" s="49">
        <v>45064.722222206648</v>
      </c>
      <c r="F4618" s="56">
        <v>0</v>
      </c>
      <c r="G4618" s="48"/>
      <c r="H4618" s="48"/>
      <c r="I4618" s="48"/>
      <c r="J4618" s="48"/>
      <c r="L4618" s="65"/>
    </row>
    <row r="4619" spans="5:12">
      <c r="E4619" s="49">
        <v>45064.725694428867</v>
      </c>
      <c r="F4619" s="56">
        <v>0</v>
      </c>
      <c r="G4619" s="48"/>
      <c r="H4619" s="48"/>
      <c r="I4619" s="48"/>
      <c r="J4619" s="48"/>
      <c r="L4619" s="65"/>
    </row>
    <row r="4620" spans="5:12">
      <c r="E4620" s="49">
        <v>45064.729166651086</v>
      </c>
      <c r="F4620" s="56">
        <v>0</v>
      </c>
      <c r="G4620" s="48"/>
      <c r="H4620" s="48"/>
      <c r="I4620" s="48"/>
      <c r="J4620" s="48"/>
      <c r="L4620" s="65"/>
    </row>
    <row r="4621" spans="5:12">
      <c r="E4621" s="49">
        <v>45064.732638873305</v>
      </c>
      <c r="F4621" s="56">
        <v>0</v>
      </c>
      <c r="G4621" s="48"/>
      <c r="H4621" s="48"/>
      <c r="I4621" s="48"/>
      <c r="J4621" s="48"/>
      <c r="L4621" s="65"/>
    </row>
    <row r="4622" spans="5:12">
      <c r="E4622" s="49">
        <v>45064.736111095524</v>
      </c>
      <c r="F4622" s="56">
        <v>0</v>
      </c>
      <c r="G4622" s="48"/>
      <c r="H4622" s="48"/>
      <c r="I4622" s="48"/>
      <c r="J4622" s="48"/>
      <c r="L4622" s="65"/>
    </row>
    <row r="4623" spans="5:12">
      <c r="E4623" s="49">
        <v>45064.739583317743</v>
      </c>
      <c r="F4623" s="56">
        <v>0</v>
      </c>
      <c r="G4623" s="48"/>
      <c r="H4623" s="48"/>
      <c r="I4623" s="48"/>
      <c r="J4623" s="48"/>
      <c r="L4623" s="65"/>
    </row>
    <row r="4624" spans="5:12">
      <c r="E4624" s="49">
        <v>45064.743055539962</v>
      </c>
      <c r="F4624" s="56">
        <v>0</v>
      </c>
      <c r="G4624" s="48"/>
      <c r="H4624" s="48"/>
      <c r="I4624" s="48"/>
      <c r="J4624" s="48"/>
      <c r="L4624" s="65"/>
    </row>
    <row r="4625" spans="5:12">
      <c r="E4625" s="49">
        <v>45064.746527762181</v>
      </c>
      <c r="F4625" s="56">
        <v>0</v>
      </c>
      <c r="G4625" s="48"/>
      <c r="H4625" s="48"/>
      <c r="I4625" s="48"/>
      <c r="J4625" s="48"/>
      <c r="L4625" s="65"/>
    </row>
    <row r="4626" spans="5:12">
      <c r="E4626" s="49">
        <v>45064.7499999844</v>
      </c>
      <c r="F4626" s="56">
        <v>0</v>
      </c>
      <c r="G4626" s="48"/>
      <c r="H4626" s="48"/>
      <c r="I4626" s="48"/>
      <c r="J4626" s="48"/>
      <c r="L4626" s="65"/>
    </row>
    <row r="4627" spans="5:12">
      <c r="E4627" s="49">
        <v>45064.753472206619</v>
      </c>
      <c r="F4627" s="56">
        <v>0</v>
      </c>
      <c r="G4627" s="48"/>
      <c r="H4627" s="48"/>
      <c r="I4627" s="48"/>
      <c r="J4627" s="48"/>
      <c r="L4627" s="65"/>
    </row>
    <row r="4628" spans="5:12">
      <c r="E4628" s="49">
        <v>45064.756944428838</v>
      </c>
      <c r="F4628" s="56">
        <v>0</v>
      </c>
      <c r="G4628" s="48"/>
      <c r="H4628" s="48"/>
      <c r="I4628" s="48"/>
      <c r="J4628" s="48"/>
      <c r="L4628" s="65"/>
    </row>
    <row r="4629" spans="5:12">
      <c r="E4629" s="49">
        <v>45064.760416651057</v>
      </c>
      <c r="F4629" s="56">
        <v>0</v>
      </c>
      <c r="G4629" s="48"/>
      <c r="H4629" s="48"/>
      <c r="I4629" s="48"/>
      <c r="J4629" s="48"/>
      <c r="L4629" s="65"/>
    </row>
    <row r="4630" spans="5:12">
      <c r="E4630" s="49">
        <v>45064.763888873276</v>
      </c>
      <c r="F4630" s="56">
        <v>0</v>
      </c>
      <c r="G4630" s="48"/>
      <c r="H4630" s="48"/>
      <c r="I4630" s="48"/>
      <c r="J4630" s="48"/>
      <c r="L4630" s="65"/>
    </row>
    <row r="4631" spans="5:12">
      <c r="E4631" s="49">
        <v>45064.767361095495</v>
      </c>
      <c r="F4631" s="56">
        <v>0</v>
      </c>
      <c r="G4631" s="48"/>
      <c r="H4631" s="48"/>
      <c r="I4631" s="48"/>
      <c r="J4631" s="48"/>
      <c r="L4631" s="65"/>
    </row>
    <row r="4632" spans="5:12">
      <c r="E4632" s="49">
        <v>45064.770833317714</v>
      </c>
      <c r="F4632" s="56">
        <v>0</v>
      </c>
      <c r="G4632" s="48"/>
      <c r="H4632" s="48"/>
      <c r="I4632" s="48"/>
      <c r="J4632" s="48"/>
      <c r="L4632" s="65"/>
    </row>
    <row r="4633" spans="5:12">
      <c r="E4633" s="49">
        <v>45064.774305539933</v>
      </c>
      <c r="F4633" s="56">
        <v>0</v>
      </c>
      <c r="G4633" s="48"/>
      <c r="H4633" s="48"/>
      <c r="I4633" s="48"/>
      <c r="J4633" s="48"/>
      <c r="L4633" s="65"/>
    </row>
    <row r="4634" spans="5:12">
      <c r="E4634" s="49">
        <v>45064.777777762152</v>
      </c>
      <c r="F4634" s="56">
        <v>0</v>
      </c>
      <c r="G4634" s="48"/>
      <c r="H4634" s="48"/>
      <c r="I4634" s="48"/>
      <c r="J4634" s="48"/>
      <c r="L4634" s="65"/>
    </row>
    <row r="4635" spans="5:12">
      <c r="E4635" s="49">
        <v>45064.781249984371</v>
      </c>
      <c r="F4635" s="56">
        <v>0</v>
      </c>
      <c r="G4635" s="48"/>
      <c r="H4635" s="48"/>
      <c r="I4635" s="48"/>
      <c r="J4635" s="48"/>
      <c r="L4635" s="65"/>
    </row>
    <row r="4636" spans="5:12">
      <c r="E4636" s="49">
        <v>45064.78472220659</v>
      </c>
      <c r="F4636" s="56">
        <v>0</v>
      </c>
      <c r="G4636" s="48"/>
      <c r="H4636" s="48"/>
      <c r="I4636" s="48"/>
      <c r="J4636" s="48"/>
      <c r="L4636" s="65"/>
    </row>
    <row r="4637" spans="5:12">
      <c r="E4637" s="49">
        <v>45064.788194428809</v>
      </c>
      <c r="F4637" s="56">
        <v>0</v>
      </c>
      <c r="G4637" s="48"/>
      <c r="H4637" s="48"/>
      <c r="I4637" s="48"/>
      <c r="J4637" s="48"/>
      <c r="L4637" s="65"/>
    </row>
    <row r="4638" spans="5:12">
      <c r="E4638" s="49">
        <v>45064.791666651028</v>
      </c>
      <c r="F4638" s="56">
        <v>0</v>
      </c>
      <c r="G4638" s="48"/>
      <c r="H4638" s="48"/>
      <c r="I4638" s="48"/>
      <c r="J4638" s="48"/>
      <c r="L4638" s="65"/>
    </row>
    <row r="4639" spans="5:12">
      <c r="E4639" s="49">
        <v>45064.795138873247</v>
      </c>
      <c r="F4639" s="56">
        <v>0</v>
      </c>
      <c r="G4639" s="48"/>
      <c r="H4639" s="48"/>
      <c r="I4639" s="48"/>
      <c r="J4639" s="48"/>
      <c r="L4639" s="65"/>
    </row>
    <row r="4640" spans="5:12">
      <c r="E4640" s="49">
        <v>45064.798611095466</v>
      </c>
      <c r="F4640" s="56">
        <v>0</v>
      </c>
      <c r="G4640" s="48"/>
      <c r="H4640" s="48"/>
      <c r="I4640" s="48"/>
      <c r="J4640" s="48"/>
      <c r="L4640" s="65"/>
    </row>
    <row r="4641" spans="5:12">
      <c r="E4641" s="49">
        <v>45064.802083317685</v>
      </c>
      <c r="F4641" s="56">
        <v>0</v>
      </c>
      <c r="G4641" s="48"/>
      <c r="H4641" s="48"/>
      <c r="I4641" s="48"/>
      <c r="J4641" s="48"/>
      <c r="L4641" s="65"/>
    </row>
    <row r="4642" spans="5:12">
      <c r="E4642" s="49">
        <v>45064.805555539904</v>
      </c>
      <c r="F4642" s="56">
        <v>0</v>
      </c>
      <c r="G4642" s="48"/>
      <c r="H4642" s="48"/>
      <c r="I4642" s="48"/>
      <c r="J4642" s="48"/>
      <c r="L4642" s="65"/>
    </row>
    <row r="4643" spans="5:12">
      <c r="E4643" s="49">
        <v>45064.809027762123</v>
      </c>
      <c r="F4643" s="56">
        <v>0</v>
      </c>
      <c r="G4643" s="48"/>
      <c r="H4643" s="48"/>
      <c r="I4643" s="48"/>
      <c r="J4643" s="48"/>
      <c r="L4643" s="65"/>
    </row>
    <row r="4644" spans="5:12">
      <c r="E4644" s="49">
        <v>45064.812499984342</v>
      </c>
      <c r="F4644" s="56">
        <v>0</v>
      </c>
      <c r="G4644" s="48"/>
      <c r="H4644" s="48"/>
      <c r="I4644" s="48"/>
      <c r="J4644" s="48"/>
      <c r="L4644" s="65"/>
    </row>
    <row r="4645" spans="5:12">
      <c r="E4645" s="49">
        <v>45064.815972206561</v>
      </c>
      <c r="F4645" s="56">
        <v>0</v>
      </c>
      <c r="G4645" s="48"/>
      <c r="H4645" s="48"/>
      <c r="I4645" s="48"/>
      <c r="J4645" s="48"/>
      <c r="L4645" s="65"/>
    </row>
    <row r="4646" spans="5:12">
      <c r="E4646" s="49">
        <v>45064.81944442878</v>
      </c>
      <c r="F4646" s="56">
        <v>0</v>
      </c>
      <c r="G4646" s="48"/>
      <c r="H4646" s="48"/>
      <c r="I4646" s="48"/>
      <c r="J4646" s="48"/>
      <c r="L4646" s="65"/>
    </row>
    <row r="4647" spans="5:12">
      <c r="E4647" s="49">
        <v>45064.822916650999</v>
      </c>
      <c r="F4647" s="56">
        <v>0</v>
      </c>
      <c r="G4647" s="48"/>
      <c r="H4647" s="48"/>
      <c r="I4647" s="48"/>
      <c r="J4647" s="48"/>
      <c r="L4647" s="65"/>
    </row>
    <row r="4648" spans="5:12">
      <c r="E4648" s="49">
        <v>45064.826388873218</v>
      </c>
      <c r="F4648" s="56">
        <v>0</v>
      </c>
      <c r="G4648" s="48"/>
      <c r="H4648" s="48"/>
      <c r="I4648" s="48"/>
      <c r="J4648" s="48"/>
      <c r="L4648" s="65"/>
    </row>
    <row r="4649" spans="5:12">
      <c r="E4649" s="49">
        <v>45064.829861095437</v>
      </c>
      <c r="F4649" s="56">
        <v>0</v>
      </c>
      <c r="G4649" s="48"/>
      <c r="H4649" s="48"/>
      <c r="I4649" s="48"/>
      <c r="J4649" s="48"/>
      <c r="L4649" s="65"/>
    </row>
    <row r="4650" spans="5:12">
      <c r="E4650" s="49">
        <v>45064.833333317656</v>
      </c>
      <c r="F4650" s="56">
        <v>0</v>
      </c>
      <c r="G4650" s="48"/>
      <c r="H4650" s="48"/>
      <c r="I4650" s="48"/>
      <c r="J4650" s="48"/>
      <c r="L4650" s="65"/>
    </row>
    <row r="4651" spans="5:12">
      <c r="E4651" s="49">
        <v>45064.836805539875</v>
      </c>
      <c r="F4651" s="56">
        <v>0</v>
      </c>
      <c r="G4651" s="48"/>
      <c r="H4651" s="48"/>
      <c r="I4651" s="48"/>
      <c r="J4651" s="48"/>
      <c r="L4651" s="65"/>
    </row>
    <row r="4652" spans="5:12">
      <c r="E4652" s="49">
        <v>45064.840277762094</v>
      </c>
      <c r="F4652" s="56">
        <v>0</v>
      </c>
      <c r="G4652" s="48"/>
      <c r="H4652" s="48"/>
      <c r="I4652" s="48"/>
      <c r="J4652" s="48"/>
      <c r="L4652" s="65"/>
    </row>
    <row r="4653" spans="5:12">
      <c r="E4653" s="49">
        <v>45064.843749984313</v>
      </c>
      <c r="F4653" s="56">
        <v>0</v>
      </c>
      <c r="G4653" s="48"/>
      <c r="H4653" s="48"/>
      <c r="I4653" s="48"/>
      <c r="J4653" s="48"/>
      <c r="L4653" s="65"/>
    </row>
    <row r="4654" spans="5:12">
      <c r="E4654" s="49">
        <v>45064.847222206532</v>
      </c>
      <c r="F4654" s="56">
        <v>0</v>
      </c>
      <c r="G4654" s="48"/>
      <c r="H4654" s="48"/>
      <c r="I4654" s="48"/>
      <c r="J4654" s="48"/>
      <c r="L4654" s="65"/>
    </row>
    <row r="4655" spans="5:12">
      <c r="E4655" s="49">
        <v>45064.850694428751</v>
      </c>
      <c r="F4655" s="56">
        <v>0</v>
      </c>
      <c r="G4655" s="48"/>
      <c r="H4655" s="48"/>
      <c r="I4655" s="48"/>
      <c r="J4655" s="48"/>
      <c r="L4655" s="65"/>
    </row>
    <row r="4656" spans="5:12">
      <c r="E4656" s="49">
        <v>45064.85416665097</v>
      </c>
      <c r="F4656" s="56">
        <v>0</v>
      </c>
      <c r="G4656" s="48"/>
      <c r="H4656" s="48"/>
      <c r="I4656" s="48"/>
      <c r="J4656" s="48"/>
      <c r="L4656" s="65"/>
    </row>
    <row r="4657" spans="5:12">
      <c r="E4657" s="49">
        <v>45064.857638873189</v>
      </c>
      <c r="F4657" s="56">
        <v>0</v>
      </c>
      <c r="G4657" s="48"/>
      <c r="H4657" s="48"/>
      <c r="I4657" s="48"/>
      <c r="J4657" s="48"/>
      <c r="L4657" s="65"/>
    </row>
    <row r="4658" spans="5:12">
      <c r="E4658" s="49">
        <v>45064.861111095408</v>
      </c>
      <c r="F4658" s="56">
        <v>0</v>
      </c>
      <c r="G4658" s="48"/>
      <c r="H4658" s="48"/>
      <c r="I4658" s="48"/>
      <c r="J4658" s="48"/>
      <c r="L4658" s="65"/>
    </row>
    <row r="4659" spans="5:12">
      <c r="E4659" s="49">
        <v>45064.864583317627</v>
      </c>
      <c r="F4659" s="56">
        <v>0</v>
      </c>
      <c r="G4659" s="48"/>
      <c r="H4659" s="48"/>
      <c r="I4659" s="48"/>
      <c r="J4659" s="48"/>
      <c r="L4659" s="65"/>
    </row>
    <row r="4660" spans="5:12">
      <c r="E4660" s="49">
        <v>45064.868055539846</v>
      </c>
      <c r="F4660" s="56">
        <v>0</v>
      </c>
      <c r="G4660" s="48"/>
      <c r="H4660" s="48"/>
      <c r="I4660" s="48"/>
      <c r="J4660" s="48"/>
      <c r="L4660" s="65"/>
    </row>
    <row r="4661" spans="5:12">
      <c r="E4661" s="49">
        <v>45064.871527762065</v>
      </c>
      <c r="F4661" s="56">
        <v>0</v>
      </c>
      <c r="G4661" s="48"/>
      <c r="H4661" s="48"/>
      <c r="I4661" s="48"/>
      <c r="J4661" s="48"/>
      <c r="L4661" s="65"/>
    </row>
    <row r="4662" spans="5:12">
      <c r="E4662" s="49">
        <v>45064.874999984284</v>
      </c>
      <c r="F4662" s="56">
        <v>0</v>
      </c>
      <c r="G4662" s="48"/>
      <c r="H4662" s="48"/>
      <c r="I4662" s="48"/>
      <c r="J4662" s="48"/>
      <c r="L4662" s="65"/>
    </row>
    <row r="4663" spans="5:12">
      <c r="E4663" s="49">
        <v>45064.878472206503</v>
      </c>
      <c r="F4663" s="56">
        <v>0</v>
      </c>
      <c r="G4663" s="48"/>
      <c r="H4663" s="48"/>
      <c r="I4663" s="48"/>
      <c r="J4663" s="48"/>
      <c r="L4663" s="65"/>
    </row>
    <row r="4664" spans="5:12">
      <c r="E4664" s="49">
        <v>45064.881944428722</v>
      </c>
      <c r="F4664" s="56">
        <v>0</v>
      </c>
      <c r="G4664" s="48"/>
      <c r="H4664" s="48"/>
      <c r="I4664" s="48"/>
      <c r="J4664" s="48"/>
      <c r="L4664" s="65"/>
    </row>
    <row r="4665" spans="5:12">
      <c r="E4665" s="49">
        <v>45064.885416650941</v>
      </c>
      <c r="F4665" s="56">
        <v>0</v>
      </c>
      <c r="G4665" s="48"/>
      <c r="H4665" s="48"/>
      <c r="I4665" s="48"/>
      <c r="J4665" s="48"/>
      <c r="L4665" s="65"/>
    </row>
    <row r="4666" spans="5:12">
      <c r="E4666" s="49">
        <v>45064.88888887316</v>
      </c>
      <c r="F4666" s="56">
        <v>0</v>
      </c>
      <c r="G4666" s="48"/>
      <c r="H4666" s="48"/>
      <c r="I4666" s="48"/>
      <c r="J4666" s="48"/>
      <c r="L4666" s="65"/>
    </row>
    <row r="4667" spans="5:12">
      <c r="E4667" s="49">
        <v>45064.892361095379</v>
      </c>
      <c r="F4667" s="56">
        <v>0</v>
      </c>
      <c r="G4667" s="48"/>
      <c r="H4667" s="48"/>
      <c r="I4667" s="48"/>
      <c r="J4667" s="48"/>
      <c r="L4667" s="65"/>
    </row>
    <row r="4668" spans="5:12">
      <c r="E4668" s="49">
        <v>45064.895833317598</v>
      </c>
      <c r="F4668" s="56">
        <v>0</v>
      </c>
      <c r="G4668" s="48"/>
      <c r="H4668" s="48"/>
      <c r="I4668" s="48"/>
      <c r="J4668" s="48"/>
      <c r="L4668" s="65"/>
    </row>
    <row r="4669" spans="5:12">
      <c r="E4669" s="49">
        <v>45064.899305539817</v>
      </c>
      <c r="F4669" s="56">
        <v>0</v>
      </c>
      <c r="G4669" s="48"/>
      <c r="H4669" s="48"/>
      <c r="I4669" s="48"/>
      <c r="J4669" s="48"/>
      <c r="L4669" s="65"/>
    </row>
    <row r="4670" spans="5:12">
      <c r="E4670" s="49">
        <v>45064.902777762036</v>
      </c>
      <c r="F4670" s="56">
        <v>0</v>
      </c>
      <c r="G4670" s="48"/>
      <c r="H4670" s="48"/>
      <c r="I4670" s="48"/>
      <c r="J4670" s="48"/>
      <c r="L4670" s="65"/>
    </row>
    <row r="4671" spans="5:12">
      <c r="E4671" s="49">
        <v>45064.906249984255</v>
      </c>
      <c r="F4671" s="56">
        <v>0</v>
      </c>
      <c r="G4671" s="48"/>
      <c r="H4671" s="48"/>
      <c r="I4671" s="48"/>
      <c r="J4671" s="48"/>
      <c r="L4671" s="65"/>
    </row>
    <row r="4672" spans="5:12">
      <c r="E4672" s="49">
        <v>45064.909722206474</v>
      </c>
      <c r="F4672" s="56">
        <v>0</v>
      </c>
      <c r="G4672" s="48"/>
      <c r="H4672" s="48"/>
      <c r="I4672" s="48"/>
      <c r="J4672" s="48"/>
      <c r="L4672" s="65"/>
    </row>
    <row r="4673" spans="5:12">
      <c r="E4673" s="49">
        <v>45064.913194428693</v>
      </c>
      <c r="F4673" s="56">
        <v>0</v>
      </c>
      <c r="G4673" s="48"/>
      <c r="H4673" s="48"/>
      <c r="I4673" s="48"/>
      <c r="J4673" s="48"/>
      <c r="L4673" s="65"/>
    </row>
    <row r="4674" spans="5:12">
      <c r="E4674" s="49">
        <v>45064.916666650912</v>
      </c>
      <c r="F4674" s="56">
        <v>0</v>
      </c>
      <c r="G4674" s="48"/>
      <c r="H4674" s="48"/>
      <c r="I4674" s="48"/>
      <c r="J4674" s="48"/>
      <c r="L4674" s="65"/>
    </row>
    <row r="4675" spans="5:12">
      <c r="E4675" s="49">
        <v>45064.920138873131</v>
      </c>
      <c r="F4675" s="56">
        <v>0</v>
      </c>
      <c r="G4675" s="48"/>
      <c r="H4675" s="48"/>
      <c r="I4675" s="48"/>
      <c r="J4675" s="48"/>
      <c r="L4675" s="65"/>
    </row>
    <row r="4676" spans="5:12">
      <c r="E4676" s="49">
        <v>45064.92361109535</v>
      </c>
      <c r="F4676" s="56">
        <v>0</v>
      </c>
      <c r="G4676" s="48"/>
      <c r="H4676" s="48"/>
      <c r="I4676" s="48"/>
      <c r="J4676" s="48"/>
      <c r="L4676" s="65"/>
    </row>
    <row r="4677" spans="5:12">
      <c r="E4677" s="49">
        <v>45064.927083317569</v>
      </c>
      <c r="F4677" s="56">
        <v>0</v>
      </c>
      <c r="G4677" s="48"/>
      <c r="H4677" s="48"/>
      <c r="I4677" s="48"/>
      <c r="J4677" s="48"/>
      <c r="L4677" s="65"/>
    </row>
    <row r="4678" spans="5:12">
      <c r="E4678" s="49">
        <v>45064.930555539788</v>
      </c>
      <c r="F4678" s="56">
        <v>0</v>
      </c>
      <c r="G4678" s="48"/>
      <c r="H4678" s="48"/>
      <c r="I4678" s="48"/>
      <c r="J4678" s="48"/>
      <c r="L4678" s="65"/>
    </row>
    <row r="4679" spans="5:12">
      <c r="E4679" s="49">
        <v>45064.934027762007</v>
      </c>
      <c r="F4679" s="56">
        <v>0</v>
      </c>
      <c r="G4679" s="48"/>
      <c r="H4679" s="48"/>
      <c r="I4679" s="48"/>
      <c r="J4679" s="48"/>
      <c r="L4679" s="65"/>
    </row>
    <row r="4680" spans="5:12">
      <c r="E4680" s="49">
        <v>45064.937499984226</v>
      </c>
      <c r="F4680" s="56">
        <v>0</v>
      </c>
      <c r="G4680" s="48"/>
      <c r="H4680" s="48"/>
      <c r="I4680" s="48"/>
      <c r="J4680" s="48"/>
      <c r="L4680" s="65"/>
    </row>
    <row r="4681" spans="5:12">
      <c r="E4681" s="49">
        <v>45064.940972206445</v>
      </c>
      <c r="F4681" s="56">
        <v>0</v>
      </c>
      <c r="G4681" s="48"/>
      <c r="H4681" s="48"/>
      <c r="I4681" s="48"/>
      <c r="J4681" s="48"/>
      <c r="L4681" s="65"/>
    </row>
    <row r="4682" spans="5:12">
      <c r="E4682" s="49">
        <v>45064.944444428664</v>
      </c>
      <c r="F4682" s="56">
        <v>0</v>
      </c>
      <c r="G4682" s="48"/>
      <c r="H4682" s="48"/>
      <c r="I4682" s="48"/>
      <c r="J4682" s="48"/>
      <c r="L4682" s="65"/>
    </row>
    <row r="4683" spans="5:12">
      <c r="E4683" s="49">
        <v>45064.947916650883</v>
      </c>
      <c r="F4683" s="56">
        <v>0</v>
      </c>
      <c r="G4683" s="48"/>
      <c r="H4683" s="48"/>
      <c r="I4683" s="48"/>
      <c r="J4683" s="48"/>
      <c r="L4683" s="65"/>
    </row>
    <row r="4684" spans="5:12">
      <c r="E4684" s="49">
        <v>45064.951388873102</v>
      </c>
      <c r="F4684" s="56">
        <v>0</v>
      </c>
      <c r="G4684" s="48"/>
      <c r="H4684" s="48"/>
      <c r="I4684" s="48"/>
      <c r="J4684" s="48"/>
      <c r="L4684" s="65"/>
    </row>
    <row r="4685" spans="5:12">
      <c r="E4685" s="49">
        <v>45064.954861095321</v>
      </c>
      <c r="F4685" s="56">
        <v>0</v>
      </c>
      <c r="G4685" s="48"/>
      <c r="H4685" s="48"/>
      <c r="I4685" s="48"/>
      <c r="J4685" s="48"/>
      <c r="L4685" s="65"/>
    </row>
    <row r="4686" spans="5:12">
      <c r="E4686" s="49">
        <v>45064.95833331754</v>
      </c>
      <c r="F4686" s="56">
        <v>0</v>
      </c>
      <c r="G4686" s="48"/>
      <c r="H4686" s="48"/>
      <c r="I4686" s="48"/>
      <c r="J4686" s="48"/>
      <c r="L4686" s="65"/>
    </row>
    <row r="4687" spans="5:12">
      <c r="E4687" s="49">
        <v>45064.961805539759</v>
      </c>
      <c r="F4687" s="56">
        <v>0</v>
      </c>
      <c r="G4687" s="48"/>
      <c r="H4687" s="48"/>
      <c r="I4687" s="48"/>
      <c r="J4687" s="48"/>
      <c r="L4687" s="65"/>
    </row>
    <row r="4688" spans="5:12">
      <c r="E4688" s="49">
        <v>45064.965277761978</v>
      </c>
      <c r="F4688" s="56">
        <v>0</v>
      </c>
      <c r="G4688" s="48"/>
      <c r="H4688" s="48"/>
      <c r="I4688" s="48"/>
      <c r="J4688" s="48"/>
      <c r="L4688" s="65"/>
    </row>
    <row r="4689" spans="5:12">
      <c r="E4689" s="49">
        <v>45064.968749984197</v>
      </c>
      <c r="F4689" s="56">
        <v>0</v>
      </c>
      <c r="G4689" s="48"/>
      <c r="H4689" s="48"/>
      <c r="I4689" s="48"/>
      <c r="J4689" s="48"/>
      <c r="L4689" s="65"/>
    </row>
    <row r="4690" spans="5:12">
      <c r="E4690" s="49">
        <v>45064.972222206416</v>
      </c>
      <c r="F4690" s="56">
        <v>0</v>
      </c>
      <c r="G4690" s="48"/>
      <c r="H4690" s="48"/>
      <c r="I4690" s="48"/>
      <c r="J4690" s="48"/>
      <c r="L4690" s="65"/>
    </row>
    <row r="4691" spans="5:12">
      <c r="E4691" s="49">
        <v>45064.975694428635</v>
      </c>
      <c r="F4691" s="56">
        <v>0</v>
      </c>
      <c r="G4691" s="48"/>
      <c r="H4691" s="48"/>
      <c r="I4691" s="48"/>
      <c r="J4691" s="48"/>
      <c r="L4691" s="65"/>
    </row>
    <row r="4692" spans="5:12">
      <c r="E4692" s="49">
        <v>45064.979166650854</v>
      </c>
      <c r="F4692" s="56">
        <v>0</v>
      </c>
      <c r="G4692" s="48"/>
      <c r="H4692" s="48"/>
      <c r="I4692" s="48"/>
      <c r="J4692" s="48"/>
      <c r="L4692" s="65"/>
    </row>
    <row r="4693" spans="5:12">
      <c r="E4693" s="49">
        <v>45064.982638873073</v>
      </c>
      <c r="F4693" s="56">
        <v>0</v>
      </c>
      <c r="G4693" s="48"/>
      <c r="H4693" s="48"/>
      <c r="I4693" s="48"/>
      <c r="J4693" s="48"/>
      <c r="L4693" s="65"/>
    </row>
    <row r="4694" spans="5:12">
      <c r="E4694" s="49">
        <v>45064.986111095292</v>
      </c>
      <c r="F4694" s="56">
        <v>0</v>
      </c>
      <c r="G4694" s="48"/>
      <c r="H4694" s="48"/>
      <c r="I4694" s="48"/>
      <c r="J4694" s="48"/>
      <c r="L4694" s="65"/>
    </row>
    <row r="4695" spans="5:12">
      <c r="E4695" s="49">
        <v>45064.989583317511</v>
      </c>
      <c r="F4695" s="56">
        <v>0</v>
      </c>
      <c r="G4695" s="48"/>
      <c r="H4695" s="48"/>
      <c r="I4695" s="48"/>
      <c r="J4695" s="48"/>
      <c r="L4695" s="65"/>
    </row>
    <row r="4696" spans="5:12">
      <c r="E4696" s="49">
        <v>45064.99305553973</v>
      </c>
      <c r="F4696" s="56">
        <v>0</v>
      </c>
      <c r="G4696" s="48"/>
      <c r="H4696" s="48"/>
      <c r="I4696" s="48"/>
      <c r="J4696" s="48"/>
      <c r="L4696" s="65"/>
    </row>
    <row r="4697" spans="5:12">
      <c r="E4697" s="49">
        <v>45064.996527761949</v>
      </c>
      <c r="F4697" s="56">
        <v>0</v>
      </c>
      <c r="G4697" s="48"/>
      <c r="H4697" s="48"/>
      <c r="I4697" s="48"/>
      <c r="J4697" s="48"/>
      <c r="L4697" s="65"/>
    </row>
    <row r="4698" spans="5:12">
      <c r="E4698" s="49">
        <v>45064.999999984168</v>
      </c>
      <c r="F4698" s="56">
        <v>0</v>
      </c>
      <c r="G4698" s="48"/>
      <c r="H4698" s="48"/>
      <c r="I4698" s="48"/>
      <c r="J4698" s="48"/>
      <c r="L4698" s="65"/>
    </row>
    <row r="4699" spans="5:12">
      <c r="E4699" s="49">
        <v>45065.003472206387</v>
      </c>
      <c r="F4699" s="56">
        <v>0</v>
      </c>
      <c r="G4699" s="48"/>
      <c r="H4699" s="48"/>
      <c r="I4699" s="48"/>
      <c r="J4699" s="48"/>
      <c r="L4699" s="65"/>
    </row>
    <row r="4700" spans="5:12">
      <c r="E4700" s="49">
        <v>45065.006944428605</v>
      </c>
      <c r="F4700" s="56">
        <v>0</v>
      </c>
      <c r="G4700" s="48"/>
      <c r="H4700" s="48"/>
      <c r="I4700" s="48"/>
      <c r="J4700" s="48"/>
      <c r="L4700" s="65"/>
    </row>
    <row r="4701" spans="5:12">
      <c r="E4701" s="49">
        <v>45065.010416650824</v>
      </c>
      <c r="F4701" s="56">
        <v>0</v>
      </c>
      <c r="G4701" s="48"/>
      <c r="H4701" s="48"/>
      <c r="I4701" s="48"/>
      <c r="J4701" s="48"/>
      <c r="L4701" s="65"/>
    </row>
    <row r="4702" spans="5:12">
      <c r="E4702" s="49">
        <v>45065.013888873043</v>
      </c>
      <c r="F4702" s="56">
        <v>0</v>
      </c>
      <c r="G4702" s="48"/>
      <c r="H4702" s="48"/>
      <c r="I4702" s="48"/>
      <c r="J4702" s="48"/>
      <c r="L4702" s="65"/>
    </row>
    <row r="4703" spans="5:12">
      <c r="E4703" s="49">
        <v>45065.017361095262</v>
      </c>
      <c r="F4703" s="56">
        <v>0</v>
      </c>
      <c r="G4703" s="48"/>
      <c r="H4703" s="48"/>
      <c r="I4703" s="48"/>
      <c r="J4703" s="48"/>
      <c r="L4703" s="65"/>
    </row>
    <row r="4704" spans="5:12">
      <c r="E4704" s="49">
        <v>45065.020833317481</v>
      </c>
      <c r="F4704" s="56">
        <v>0</v>
      </c>
      <c r="G4704" s="48"/>
      <c r="H4704" s="48"/>
      <c r="I4704" s="48"/>
      <c r="J4704" s="48"/>
      <c r="L4704" s="65"/>
    </row>
    <row r="4705" spans="5:12">
      <c r="E4705" s="49">
        <v>45065.0243055397</v>
      </c>
      <c r="F4705" s="56">
        <v>0</v>
      </c>
      <c r="G4705" s="48"/>
      <c r="H4705" s="48"/>
      <c r="I4705" s="48"/>
      <c r="J4705" s="48"/>
      <c r="L4705" s="65"/>
    </row>
    <row r="4706" spans="5:12">
      <c r="E4706" s="49">
        <v>45065.027777761919</v>
      </c>
      <c r="F4706" s="56">
        <v>0</v>
      </c>
      <c r="G4706" s="48"/>
      <c r="H4706" s="48"/>
      <c r="I4706" s="48"/>
      <c r="J4706" s="48"/>
      <c r="L4706" s="65"/>
    </row>
    <row r="4707" spans="5:12">
      <c r="E4707" s="49">
        <v>45065.031249984138</v>
      </c>
      <c r="F4707" s="56">
        <v>0</v>
      </c>
      <c r="G4707" s="48"/>
      <c r="H4707" s="48"/>
      <c r="I4707" s="48"/>
      <c r="J4707" s="48"/>
      <c r="L4707" s="65"/>
    </row>
    <row r="4708" spans="5:12">
      <c r="E4708" s="49">
        <v>45065.034722206357</v>
      </c>
      <c r="F4708" s="56">
        <v>0</v>
      </c>
      <c r="G4708" s="48"/>
      <c r="H4708" s="48"/>
      <c r="I4708" s="48"/>
      <c r="J4708" s="48"/>
      <c r="L4708" s="65"/>
    </row>
    <row r="4709" spans="5:12">
      <c r="E4709" s="49">
        <v>45065.038194428576</v>
      </c>
      <c r="F4709" s="56">
        <v>0</v>
      </c>
      <c r="G4709" s="48"/>
      <c r="H4709" s="48"/>
      <c r="I4709" s="48"/>
      <c r="J4709" s="48"/>
      <c r="L4709" s="65"/>
    </row>
    <row r="4710" spans="5:12">
      <c r="E4710" s="49">
        <v>45065.041666650795</v>
      </c>
      <c r="F4710" s="56">
        <v>0</v>
      </c>
      <c r="G4710" s="48"/>
      <c r="H4710" s="48"/>
      <c r="I4710" s="48"/>
      <c r="J4710" s="48"/>
      <c r="L4710" s="65"/>
    </row>
    <row r="4711" spans="5:12">
      <c r="E4711" s="49">
        <v>45065.045138873014</v>
      </c>
      <c r="F4711" s="56">
        <v>0</v>
      </c>
      <c r="G4711" s="48"/>
      <c r="H4711" s="48"/>
      <c r="I4711" s="48"/>
      <c r="J4711" s="48"/>
      <c r="L4711" s="65"/>
    </row>
    <row r="4712" spans="5:12">
      <c r="E4712" s="49">
        <v>45065.048611095233</v>
      </c>
      <c r="F4712" s="56">
        <v>0</v>
      </c>
      <c r="G4712" s="48"/>
      <c r="H4712" s="48"/>
      <c r="I4712" s="48"/>
      <c r="J4712" s="48"/>
      <c r="L4712" s="65"/>
    </row>
    <row r="4713" spans="5:12">
      <c r="E4713" s="49">
        <v>45065.052083317452</v>
      </c>
      <c r="F4713" s="56">
        <v>0</v>
      </c>
      <c r="G4713" s="48"/>
      <c r="H4713" s="48"/>
      <c r="I4713" s="48"/>
      <c r="J4713" s="48"/>
      <c r="L4713" s="65"/>
    </row>
    <row r="4714" spans="5:12">
      <c r="E4714" s="49">
        <v>45065.055555539671</v>
      </c>
      <c r="F4714" s="56">
        <v>0</v>
      </c>
      <c r="G4714" s="48"/>
      <c r="H4714" s="48"/>
      <c r="I4714" s="48"/>
      <c r="J4714" s="48"/>
      <c r="L4714" s="65"/>
    </row>
    <row r="4715" spans="5:12">
      <c r="E4715" s="49">
        <v>45065.05902776189</v>
      </c>
      <c r="F4715" s="56">
        <v>0</v>
      </c>
      <c r="G4715" s="48"/>
      <c r="H4715" s="48"/>
      <c r="I4715" s="48"/>
      <c r="J4715" s="48"/>
      <c r="L4715" s="65"/>
    </row>
    <row r="4716" spans="5:12">
      <c r="E4716" s="49">
        <v>45065.062499984109</v>
      </c>
      <c r="F4716" s="56">
        <v>0</v>
      </c>
      <c r="G4716" s="48"/>
      <c r="H4716" s="48"/>
      <c r="I4716" s="48"/>
      <c r="J4716" s="48"/>
      <c r="L4716" s="65"/>
    </row>
    <row r="4717" spans="5:12">
      <c r="E4717" s="49">
        <v>45065.065972206328</v>
      </c>
      <c r="F4717" s="56">
        <v>0</v>
      </c>
      <c r="G4717" s="48"/>
      <c r="H4717" s="48"/>
      <c r="I4717" s="48"/>
      <c r="J4717" s="48"/>
      <c r="L4717" s="65"/>
    </row>
    <row r="4718" spans="5:12">
      <c r="E4718" s="49">
        <v>45065.069444428547</v>
      </c>
      <c r="F4718" s="56">
        <v>0</v>
      </c>
      <c r="G4718" s="48"/>
      <c r="H4718" s="48"/>
      <c r="I4718" s="48"/>
      <c r="J4718" s="48"/>
      <c r="L4718" s="65"/>
    </row>
    <row r="4719" spans="5:12">
      <c r="E4719" s="49">
        <v>45065.072916650766</v>
      </c>
      <c r="F4719" s="56">
        <v>0</v>
      </c>
      <c r="G4719" s="48"/>
      <c r="H4719" s="48"/>
      <c r="I4719" s="48"/>
      <c r="J4719" s="48"/>
      <c r="L4719" s="65"/>
    </row>
    <row r="4720" spans="5:12">
      <c r="E4720" s="49">
        <v>45065.076388872985</v>
      </c>
      <c r="F4720" s="56">
        <v>0</v>
      </c>
      <c r="G4720" s="48"/>
      <c r="H4720" s="48"/>
      <c r="I4720" s="48"/>
      <c r="J4720" s="48"/>
      <c r="L4720" s="65"/>
    </row>
    <row r="4721" spans="5:12">
      <c r="E4721" s="49">
        <v>45065.079861095204</v>
      </c>
      <c r="F4721" s="56">
        <v>0</v>
      </c>
      <c r="G4721" s="48"/>
      <c r="H4721" s="48"/>
      <c r="I4721" s="48"/>
      <c r="J4721" s="48"/>
      <c r="L4721" s="65"/>
    </row>
    <row r="4722" spans="5:12">
      <c r="E4722" s="49">
        <v>45065.083333317423</v>
      </c>
      <c r="F4722" s="56">
        <v>0</v>
      </c>
      <c r="G4722" s="48"/>
      <c r="H4722" s="48"/>
      <c r="I4722" s="48"/>
      <c r="J4722" s="48"/>
      <c r="L4722" s="65"/>
    </row>
    <row r="4723" spans="5:12">
      <c r="E4723" s="49">
        <v>45065.086805539642</v>
      </c>
      <c r="F4723" s="56">
        <v>0</v>
      </c>
      <c r="G4723" s="48"/>
      <c r="H4723" s="48"/>
      <c r="I4723" s="48"/>
      <c r="J4723" s="48"/>
      <c r="L4723" s="65"/>
    </row>
    <row r="4724" spans="5:12">
      <c r="E4724" s="49">
        <v>45065.090277761861</v>
      </c>
      <c r="F4724" s="56">
        <v>0</v>
      </c>
      <c r="G4724" s="48"/>
      <c r="H4724" s="48"/>
      <c r="I4724" s="48"/>
      <c r="J4724" s="48"/>
      <c r="L4724" s="65"/>
    </row>
    <row r="4725" spans="5:12">
      <c r="E4725" s="49">
        <v>45065.09374998408</v>
      </c>
      <c r="F4725" s="56">
        <v>0</v>
      </c>
      <c r="G4725" s="48"/>
      <c r="H4725" s="48"/>
      <c r="I4725" s="48"/>
      <c r="J4725" s="48"/>
      <c r="L4725" s="65"/>
    </row>
    <row r="4726" spans="5:12">
      <c r="E4726" s="49">
        <v>45065.097222206299</v>
      </c>
      <c r="F4726" s="56">
        <v>0</v>
      </c>
      <c r="G4726" s="48"/>
      <c r="H4726" s="48"/>
      <c r="I4726" s="48"/>
      <c r="J4726" s="48"/>
      <c r="L4726" s="65"/>
    </row>
    <row r="4727" spans="5:12">
      <c r="E4727" s="49">
        <v>45065.100694428518</v>
      </c>
      <c r="F4727" s="56">
        <v>0</v>
      </c>
      <c r="G4727" s="48"/>
      <c r="H4727" s="48"/>
      <c r="I4727" s="48"/>
      <c r="J4727" s="48"/>
      <c r="L4727" s="65"/>
    </row>
    <row r="4728" spans="5:12">
      <c r="E4728" s="49">
        <v>45065.104166650737</v>
      </c>
      <c r="F4728" s="56">
        <v>0</v>
      </c>
      <c r="G4728" s="48"/>
      <c r="H4728" s="48"/>
      <c r="I4728" s="48"/>
      <c r="J4728" s="48"/>
      <c r="L4728" s="65"/>
    </row>
    <row r="4729" spans="5:12">
      <c r="E4729" s="49">
        <v>45065.107638872956</v>
      </c>
      <c r="F4729" s="56">
        <v>0</v>
      </c>
      <c r="G4729" s="48"/>
      <c r="H4729" s="48"/>
      <c r="I4729" s="48"/>
      <c r="J4729" s="48"/>
      <c r="L4729" s="65"/>
    </row>
    <row r="4730" spans="5:12">
      <c r="E4730" s="49">
        <v>45065.111111095175</v>
      </c>
      <c r="F4730" s="56">
        <v>0</v>
      </c>
      <c r="G4730" s="48"/>
      <c r="H4730" s="48"/>
      <c r="I4730" s="48"/>
      <c r="J4730" s="48"/>
      <c r="L4730" s="65"/>
    </row>
    <row r="4731" spans="5:12">
      <c r="E4731" s="49">
        <v>45065.114583317394</v>
      </c>
      <c r="F4731" s="56">
        <v>0</v>
      </c>
      <c r="G4731" s="48"/>
      <c r="H4731" s="48"/>
      <c r="I4731" s="48"/>
      <c r="J4731" s="48"/>
      <c r="L4731" s="65"/>
    </row>
    <row r="4732" spans="5:12">
      <c r="E4732" s="49">
        <v>45065.118055539613</v>
      </c>
      <c r="F4732" s="56">
        <v>0</v>
      </c>
      <c r="G4732" s="48"/>
      <c r="H4732" s="48"/>
      <c r="I4732" s="48"/>
      <c r="J4732" s="48"/>
      <c r="L4732" s="65"/>
    </row>
    <row r="4733" spans="5:12">
      <c r="E4733" s="49">
        <v>45065.121527761832</v>
      </c>
      <c r="F4733" s="56">
        <v>0</v>
      </c>
      <c r="G4733" s="48"/>
      <c r="H4733" s="48"/>
      <c r="I4733" s="48"/>
      <c r="J4733" s="48"/>
      <c r="L4733" s="65"/>
    </row>
    <row r="4734" spans="5:12">
      <c r="E4734" s="49">
        <v>45065.124999984051</v>
      </c>
      <c r="F4734" s="56">
        <v>0</v>
      </c>
      <c r="G4734" s="48"/>
      <c r="H4734" s="48"/>
      <c r="I4734" s="48"/>
      <c r="J4734" s="48"/>
      <c r="L4734" s="65"/>
    </row>
    <row r="4735" spans="5:12">
      <c r="E4735" s="49">
        <v>45065.12847220627</v>
      </c>
      <c r="F4735" s="56">
        <v>0</v>
      </c>
      <c r="G4735" s="48"/>
      <c r="H4735" s="48"/>
      <c r="I4735" s="48"/>
      <c r="J4735" s="48"/>
      <c r="L4735" s="65"/>
    </row>
    <row r="4736" spans="5:12">
      <c r="E4736" s="49">
        <v>45065.131944428489</v>
      </c>
      <c r="F4736" s="56">
        <v>0</v>
      </c>
      <c r="G4736" s="48"/>
      <c r="H4736" s="48"/>
      <c r="I4736" s="48"/>
      <c r="J4736" s="48"/>
      <c r="L4736" s="65"/>
    </row>
    <row r="4737" spans="5:12">
      <c r="E4737" s="49">
        <v>45065.135416650708</v>
      </c>
      <c r="F4737" s="56">
        <v>0</v>
      </c>
      <c r="G4737" s="48"/>
      <c r="H4737" s="48"/>
      <c r="I4737" s="48"/>
      <c r="J4737" s="48"/>
      <c r="L4737" s="65"/>
    </row>
    <row r="4738" spans="5:12">
      <c r="E4738" s="49">
        <v>45065.138888872927</v>
      </c>
      <c r="F4738" s="56">
        <v>0</v>
      </c>
      <c r="G4738" s="48"/>
      <c r="H4738" s="48"/>
      <c r="I4738" s="48"/>
      <c r="J4738" s="48"/>
      <c r="L4738" s="65"/>
    </row>
    <row r="4739" spans="5:12">
      <c r="E4739" s="49">
        <v>45065.142361095146</v>
      </c>
      <c r="F4739" s="56">
        <v>0</v>
      </c>
      <c r="G4739" s="48"/>
      <c r="H4739" s="48"/>
      <c r="I4739" s="48"/>
      <c r="J4739" s="48"/>
      <c r="L4739" s="65"/>
    </row>
    <row r="4740" spans="5:12">
      <c r="E4740" s="49">
        <v>45065.145833317365</v>
      </c>
      <c r="F4740" s="56">
        <v>0</v>
      </c>
      <c r="G4740" s="48"/>
      <c r="H4740" s="48"/>
      <c r="I4740" s="48"/>
      <c r="J4740" s="48"/>
      <c r="L4740" s="65"/>
    </row>
    <row r="4741" spans="5:12">
      <c r="E4741" s="49">
        <v>45065.149305539584</v>
      </c>
      <c r="F4741" s="56">
        <v>0</v>
      </c>
      <c r="G4741" s="48"/>
      <c r="H4741" s="48"/>
      <c r="I4741" s="48"/>
      <c r="J4741" s="48"/>
      <c r="L4741" s="65"/>
    </row>
    <row r="4742" spans="5:12">
      <c r="E4742" s="49">
        <v>45065.152777761803</v>
      </c>
      <c r="F4742" s="56">
        <v>0</v>
      </c>
      <c r="G4742" s="48"/>
      <c r="H4742" s="48"/>
      <c r="I4742" s="48"/>
      <c r="J4742" s="48"/>
      <c r="L4742" s="65"/>
    </row>
    <row r="4743" spans="5:12">
      <c r="E4743" s="49">
        <v>45065.156249984022</v>
      </c>
      <c r="F4743" s="56">
        <v>0</v>
      </c>
      <c r="G4743" s="48"/>
      <c r="H4743" s="48"/>
      <c r="I4743" s="48"/>
      <c r="J4743" s="48"/>
      <c r="L4743" s="65"/>
    </row>
    <row r="4744" spans="5:12">
      <c r="E4744" s="49">
        <v>45065.159722206241</v>
      </c>
      <c r="F4744" s="56">
        <v>0</v>
      </c>
      <c r="G4744" s="48"/>
      <c r="H4744" s="48"/>
      <c r="I4744" s="48"/>
      <c r="J4744" s="48"/>
      <c r="L4744" s="65"/>
    </row>
    <row r="4745" spans="5:12">
      <c r="E4745" s="49">
        <v>45065.16319442846</v>
      </c>
      <c r="F4745" s="56">
        <v>0</v>
      </c>
      <c r="G4745" s="48"/>
      <c r="H4745" s="48"/>
      <c r="I4745" s="48"/>
      <c r="J4745" s="48"/>
      <c r="L4745" s="65"/>
    </row>
    <row r="4746" spans="5:12">
      <c r="E4746" s="49">
        <v>45065.166666650679</v>
      </c>
      <c r="F4746" s="56">
        <v>0</v>
      </c>
      <c r="G4746" s="48"/>
      <c r="H4746" s="48"/>
      <c r="I4746" s="48"/>
      <c r="J4746" s="48"/>
      <c r="L4746" s="65"/>
    </row>
    <row r="4747" spans="5:12">
      <c r="E4747" s="49">
        <v>45065.170138872898</v>
      </c>
      <c r="F4747" s="56">
        <v>0</v>
      </c>
      <c r="G4747" s="48"/>
      <c r="H4747" s="48"/>
      <c r="I4747" s="48"/>
      <c r="J4747" s="48"/>
      <c r="L4747" s="65"/>
    </row>
    <row r="4748" spans="5:12">
      <c r="E4748" s="49">
        <v>45065.173611095117</v>
      </c>
      <c r="F4748" s="56">
        <v>0</v>
      </c>
      <c r="G4748" s="48"/>
      <c r="H4748" s="48"/>
      <c r="I4748" s="48"/>
      <c r="J4748" s="48"/>
      <c r="L4748" s="65"/>
    </row>
    <row r="4749" spans="5:12">
      <c r="E4749" s="49">
        <v>45065.177083317336</v>
      </c>
      <c r="F4749" s="56">
        <v>0</v>
      </c>
      <c r="G4749" s="48"/>
      <c r="H4749" s="48"/>
      <c r="I4749" s="48"/>
      <c r="J4749" s="48"/>
      <c r="L4749" s="65"/>
    </row>
    <row r="4750" spans="5:12">
      <c r="E4750" s="49">
        <v>45065.180555539555</v>
      </c>
      <c r="F4750" s="56">
        <v>0</v>
      </c>
      <c r="G4750" s="48"/>
      <c r="H4750" s="48"/>
      <c r="I4750" s="48"/>
      <c r="J4750" s="48"/>
      <c r="L4750" s="65"/>
    </row>
    <row r="4751" spans="5:12">
      <c r="E4751" s="49">
        <v>45065.184027761774</v>
      </c>
      <c r="F4751" s="56">
        <v>0</v>
      </c>
      <c r="G4751" s="48"/>
      <c r="H4751" s="48"/>
      <c r="I4751" s="48"/>
      <c r="J4751" s="48"/>
      <c r="L4751" s="65"/>
    </row>
    <row r="4752" spans="5:12">
      <c r="E4752" s="49">
        <v>45065.187499983993</v>
      </c>
      <c r="F4752" s="56">
        <v>0</v>
      </c>
      <c r="G4752" s="48"/>
      <c r="H4752" s="48"/>
      <c r="I4752" s="48"/>
      <c r="J4752" s="48"/>
      <c r="L4752" s="65"/>
    </row>
    <row r="4753" spans="5:12">
      <c r="E4753" s="49">
        <v>45065.190972206212</v>
      </c>
      <c r="F4753" s="56">
        <v>0</v>
      </c>
      <c r="G4753" s="48"/>
      <c r="H4753" s="48"/>
      <c r="I4753" s="48"/>
      <c r="J4753" s="48"/>
      <c r="L4753" s="65"/>
    </row>
    <row r="4754" spans="5:12">
      <c r="E4754" s="49">
        <v>45065.194444428431</v>
      </c>
      <c r="F4754" s="56">
        <v>0</v>
      </c>
      <c r="G4754" s="48"/>
      <c r="H4754" s="48"/>
      <c r="I4754" s="48"/>
      <c r="J4754" s="48"/>
      <c r="L4754" s="65"/>
    </row>
    <row r="4755" spans="5:12">
      <c r="E4755" s="49">
        <v>45065.19791665065</v>
      </c>
      <c r="F4755" s="56">
        <v>0</v>
      </c>
      <c r="G4755" s="48"/>
      <c r="H4755" s="48"/>
      <c r="I4755" s="48"/>
      <c r="J4755" s="48"/>
      <c r="L4755" s="65"/>
    </row>
    <row r="4756" spans="5:12">
      <c r="E4756" s="49">
        <v>45065.201388872869</v>
      </c>
      <c r="F4756" s="56">
        <v>0</v>
      </c>
      <c r="G4756" s="48"/>
      <c r="H4756" s="48"/>
      <c r="I4756" s="48"/>
      <c r="J4756" s="48"/>
      <c r="L4756" s="65"/>
    </row>
    <row r="4757" spans="5:12">
      <c r="E4757" s="49">
        <v>45065.204861095088</v>
      </c>
      <c r="F4757" s="56">
        <v>0</v>
      </c>
      <c r="G4757" s="48"/>
      <c r="H4757" s="48"/>
      <c r="I4757" s="48"/>
      <c r="J4757" s="48"/>
      <c r="L4757" s="65"/>
    </row>
    <row r="4758" spans="5:12">
      <c r="E4758" s="49">
        <v>45065.208333317307</v>
      </c>
      <c r="F4758" s="56">
        <v>0</v>
      </c>
      <c r="G4758" s="48"/>
      <c r="H4758" s="48"/>
      <c r="I4758" s="48"/>
      <c r="J4758" s="48"/>
      <c r="L4758" s="65"/>
    </row>
    <row r="4759" spans="5:12">
      <c r="E4759" s="49">
        <v>45065.211805539526</v>
      </c>
      <c r="F4759" s="56">
        <v>0</v>
      </c>
      <c r="G4759" s="48"/>
      <c r="H4759" s="48"/>
      <c r="I4759" s="48"/>
      <c r="J4759" s="48"/>
      <c r="L4759" s="65"/>
    </row>
    <row r="4760" spans="5:12">
      <c r="E4760" s="49">
        <v>45065.215277761745</v>
      </c>
      <c r="F4760" s="56">
        <v>0</v>
      </c>
      <c r="G4760" s="48"/>
      <c r="H4760" s="48"/>
      <c r="I4760" s="48"/>
      <c r="J4760" s="48"/>
      <c r="L4760" s="65"/>
    </row>
    <row r="4761" spans="5:12">
      <c r="E4761" s="49">
        <v>45065.218749983964</v>
      </c>
      <c r="F4761" s="56">
        <v>0</v>
      </c>
      <c r="G4761" s="48"/>
      <c r="H4761" s="48"/>
      <c r="I4761" s="48"/>
      <c r="J4761" s="48"/>
      <c r="L4761" s="65"/>
    </row>
    <row r="4762" spans="5:12">
      <c r="E4762" s="49">
        <v>45065.222222206183</v>
      </c>
      <c r="F4762" s="56">
        <v>0</v>
      </c>
      <c r="G4762" s="48"/>
      <c r="H4762" s="48"/>
      <c r="I4762" s="48"/>
      <c r="J4762" s="48"/>
      <c r="L4762" s="65"/>
    </row>
    <row r="4763" spans="5:12">
      <c r="E4763" s="49">
        <v>45065.225694428402</v>
      </c>
      <c r="F4763" s="56">
        <v>0</v>
      </c>
      <c r="G4763" s="48"/>
      <c r="H4763" s="48"/>
      <c r="I4763" s="48"/>
      <c r="J4763" s="48"/>
      <c r="L4763" s="65"/>
    </row>
    <row r="4764" spans="5:12">
      <c r="E4764" s="49">
        <v>45065.229166650621</v>
      </c>
      <c r="F4764" s="56">
        <v>0</v>
      </c>
      <c r="G4764" s="48"/>
      <c r="H4764" s="48"/>
      <c r="I4764" s="48"/>
      <c r="J4764" s="48"/>
      <c r="L4764" s="65"/>
    </row>
    <row r="4765" spans="5:12">
      <c r="E4765" s="49">
        <v>45065.23263887284</v>
      </c>
      <c r="F4765" s="56">
        <v>0</v>
      </c>
      <c r="G4765" s="48"/>
      <c r="H4765" s="48"/>
      <c r="I4765" s="48"/>
      <c r="J4765" s="48"/>
      <c r="L4765" s="65"/>
    </row>
    <row r="4766" spans="5:12">
      <c r="E4766" s="49">
        <v>45065.236111095059</v>
      </c>
      <c r="F4766" s="56">
        <v>0</v>
      </c>
      <c r="G4766" s="48"/>
      <c r="H4766" s="48"/>
      <c r="I4766" s="48"/>
      <c r="J4766" s="48"/>
      <c r="L4766" s="65"/>
    </row>
    <row r="4767" spans="5:12">
      <c r="E4767" s="49">
        <v>45065.239583317278</v>
      </c>
      <c r="F4767" s="56">
        <v>0</v>
      </c>
      <c r="G4767" s="48"/>
      <c r="H4767" s="48"/>
      <c r="I4767" s="48"/>
      <c r="J4767" s="48"/>
      <c r="L4767" s="65"/>
    </row>
    <row r="4768" spans="5:12">
      <c r="E4768" s="49">
        <v>45065.243055539497</v>
      </c>
      <c r="F4768" s="56">
        <v>0</v>
      </c>
      <c r="G4768" s="48"/>
      <c r="H4768" s="48"/>
      <c r="I4768" s="48"/>
      <c r="J4768" s="48"/>
      <c r="L4768" s="65"/>
    </row>
    <row r="4769" spans="5:12">
      <c r="E4769" s="49">
        <v>45065.246527761716</v>
      </c>
      <c r="F4769" s="56">
        <v>0</v>
      </c>
      <c r="G4769" s="48"/>
      <c r="H4769" s="48"/>
      <c r="I4769" s="48"/>
      <c r="J4769" s="48"/>
      <c r="L4769" s="65"/>
    </row>
    <row r="4770" spans="5:12">
      <c r="E4770" s="49">
        <v>45065.249999983935</v>
      </c>
      <c r="F4770" s="56">
        <v>0</v>
      </c>
      <c r="G4770" s="48"/>
      <c r="H4770" s="48"/>
      <c r="I4770" s="48"/>
      <c r="J4770" s="48"/>
      <c r="L4770" s="65"/>
    </row>
    <row r="4771" spans="5:12">
      <c r="E4771" s="49">
        <v>45065.253472206154</v>
      </c>
      <c r="F4771" s="56">
        <v>0</v>
      </c>
      <c r="G4771" s="48"/>
      <c r="H4771" s="48"/>
      <c r="I4771" s="48"/>
      <c r="J4771" s="48"/>
      <c r="L4771" s="65"/>
    </row>
    <row r="4772" spans="5:12">
      <c r="E4772" s="49">
        <v>45065.256944428373</v>
      </c>
      <c r="F4772" s="56">
        <v>0</v>
      </c>
      <c r="G4772" s="48"/>
      <c r="H4772" s="48"/>
      <c r="I4772" s="48"/>
      <c r="J4772" s="48"/>
      <c r="L4772" s="65"/>
    </row>
    <row r="4773" spans="5:12">
      <c r="E4773" s="49">
        <v>45065.260416650592</v>
      </c>
      <c r="F4773" s="56">
        <v>0</v>
      </c>
      <c r="G4773" s="48"/>
      <c r="H4773" s="48"/>
      <c r="I4773" s="48"/>
      <c r="J4773" s="48"/>
      <c r="L4773" s="65"/>
    </row>
    <row r="4774" spans="5:12">
      <c r="E4774" s="49">
        <v>45065.263888872811</v>
      </c>
      <c r="F4774" s="56">
        <v>0</v>
      </c>
      <c r="G4774" s="48"/>
      <c r="H4774" s="48"/>
      <c r="I4774" s="48"/>
      <c r="J4774" s="48"/>
      <c r="L4774" s="65"/>
    </row>
    <row r="4775" spans="5:12">
      <c r="E4775" s="49">
        <v>45065.26736109503</v>
      </c>
      <c r="F4775" s="56">
        <v>0</v>
      </c>
      <c r="G4775" s="48"/>
      <c r="H4775" s="48"/>
      <c r="I4775" s="48"/>
      <c r="J4775" s="48"/>
      <c r="L4775" s="65"/>
    </row>
    <row r="4776" spans="5:12">
      <c r="E4776" s="49">
        <v>45065.270833317249</v>
      </c>
      <c r="F4776" s="56">
        <v>0</v>
      </c>
      <c r="G4776" s="48"/>
      <c r="H4776" s="48"/>
      <c r="I4776" s="48"/>
      <c r="J4776" s="48"/>
      <c r="L4776" s="65"/>
    </row>
    <row r="4777" spans="5:12">
      <c r="E4777" s="49">
        <v>45065.274305539468</v>
      </c>
      <c r="F4777" s="56">
        <v>0</v>
      </c>
      <c r="G4777" s="48"/>
      <c r="H4777" s="48"/>
      <c r="I4777" s="48"/>
      <c r="J4777" s="48"/>
      <c r="L4777" s="65"/>
    </row>
    <row r="4778" spans="5:12">
      <c r="E4778" s="49">
        <v>45065.277777761687</v>
      </c>
      <c r="F4778" s="56">
        <v>0</v>
      </c>
      <c r="G4778" s="48"/>
      <c r="H4778" s="48"/>
      <c r="I4778" s="48"/>
      <c r="J4778" s="48"/>
      <c r="L4778" s="65"/>
    </row>
    <row r="4779" spans="5:12">
      <c r="E4779" s="49">
        <v>45065.281249983906</v>
      </c>
      <c r="F4779" s="56">
        <v>0</v>
      </c>
      <c r="G4779" s="48"/>
      <c r="H4779" s="48"/>
      <c r="I4779" s="48"/>
      <c r="J4779" s="48"/>
      <c r="L4779" s="65"/>
    </row>
    <row r="4780" spans="5:12">
      <c r="E4780" s="49">
        <v>45065.284722206125</v>
      </c>
      <c r="F4780" s="56">
        <v>0</v>
      </c>
      <c r="G4780" s="48"/>
      <c r="H4780" s="48"/>
      <c r="I4780" s="48"/>
      <c r="J4780" s="48"/>
      <c r="L4780" s="65"/>
    </row>
    <row r="4781" spans="5:12">
      <c r="E4781" s="49">
        <v>45065.288194428344</v>
      </c>
      <c r="F4781" s="56">
        <v>0</v>
      </c>
      <c r="G4781" s="48"/>
      <c r="H4781" s="48"/>
      <c r="I4781" s="48"/>
      <c r="J4781" s="48"/>
      <c r="L4781" s="65"/>
    </row>
    <row r="4782" spans="5:12">
      <c r="E4782" s="49">
        <v>45065.291666650563</v>
      </c>
      <c r="F4782" s="56">
        <v>0</v>
      </c>
      <c r="G4782" s="48"/>
      <c r="H4782" s="48"/>
      <c r="I4782" s="48"/>
      <c r="J4782" s="48"/>
      <c r="L4782" s="65"/>
    </row>
    <row r="4783" spans="5:12">
      <c r="E4783" s="49">
        <v>45065.295138872782</v>
      </c>
      <c r="F4783" s="56">
        <v>0</v>
      </c>
      <c r="G4783" s="48"/>
      <c r="H4783" s="48"/>
      <c r="I4783" s="48"/>
      <c r="J4783" s="48"/>
      <c r="L4783" s="65"/>
    </row>
    <row r="4784" spans="5:12">
      <c r="E4784" s="49">
        <v>45065.298611095001</v>
      </c>
      <c r="F4784" s="56">
        <v>0</v>
      </c>
      <c r="G4784" s="48"/>
      <c r="H4784" s="48"/>
      <c r="I4784" s="48"/>
      <c r="J4784" s="48"/>
      <c r="L4784" s="65"/>
    </row>
    <row r="4785" spans="5:12">
      <c r="E4785" s="49">
        <v>45065.30208331722</v>
      </c>
      <c r="F4785" s="56">
        <v>0</v>
      </c>
      <c r="G4785" s="48"/>
      <c r="H4785" s="48"/>
      <c r="I4785" s="48"/>
      <c r="J4785" s="48"/>
      <c r="L4785" s="65"/>
    </row>
    <row r="4786" spans="5:12">
      <c r="E4786" s="49">
        <v>45065.305555539439</v>
      </c>
      <c r="F4786" s="56">
        <v>0</v>
      </c>
      <c r="G4786" s="48"/>
      <c r="H4786" s="48"/>
      <c r="I4786" s="48"/>
      <c r="J4786" s="48"/>
      <c r="L4786" s="65"/>
    </row>
    <row r="4787" spans="5:12">
      <c r="E4787" s="49">
        <v>45065.309027761657</v>
      </c>
      <c r="F4787" s="56">
        <v>0</v>
      </c>
      <c r="G4787" s="48"/>
      <c r="H4787" s="48"/>
      <c r="I4787" s="48"/>
      <c r="J4787" s="48"/>
      <c r="L4787" s="65"/>
    </row>
    <row r="4788" spans="5:12">
      <c r="E4788" s="49">
        <v>45065.312499983876</v>
      </c>
      <c r="F4788" s="56">
        <v>0</v>
      </c>
      <c r="G4788" s="48"/>
      <c r="H4788" s="48"/>
      <c r="I4788" s="48"/>
      <c r="J4788" s="48"/>
      <c r="L4788" s="65"/>
    </row>
    <row r="4789" spans="5:12">
      <c r="E4789" s="49">
        <v>45065.315972206095</v>
      </c>
      <c r="F4789" s="56">
        <v>0</v>
      </c>
      <c r="G4789" s="48"/>
      <c r="H4789" s="48"/>
      <c r="I4789" s="48"/>
      <c r="J4789" s="48"/>
      <c r="L4789" s="65"/>
    </row>
    <row r="4790" spans="5:12">
      <c r="E4790" s="49">
        <v>45065.319444428314</v>
      </c>
      <c r="F4790" s="56">
        <v>0</v>
      </c>
      <c r="G4790" s="48"/>
      <c r="H4790" s="48"/>
      <c r="I4790" s="48"/>
      <c r="J4790" s="48"/>
      <c r="L4790" s="65"/>
    </row>
    <row r="4791" spans="5:12">
      <c r="E4791" s="49">
        <v>45065.322916650533</v>
      </c>
      <c r="F4791" s="56">
        <v>0</v>
      </c>
      <c r="G4791" s="48"/>
      <c r="H4791" s="48"/>
      <c r="I4791" s="48"/>
      <c r="J4791" s="48"/>
      <c r="L4791" s="65"/>
    </row>
    <row r="4792" spans="5:12">
      <c r="E4792" s="49">
        <v>45065.326388872752</v>
      </c>
      <c r="F4792" s="56">
        <v>0</v>
      </c>
      <c r="G4792" s="48"/>
      <c r="H4792" s="48"/>
      <c r="I4792" s="48"/>
      <c r="J4792" s="48"/>
      <c r="L4792" s="65"/>
    </row>
    <row r="4793" spans="5:12">
      <c r="E4793" s="49">
        <v>45065.329861094971</v>
      </c>
      <c r="F4793" s="56">
        <v>0</v>
      </c>
      <c r="G4793" s="48"/>
      <c r="H4793" s="48"/>
      <c r="I4793" s="48"/>
      <c r="J4793" s="48"/>
      <c r="L4793" s="65"/>
    </row>
    <row r="4794" spans="5:12">
      <c r="E4794" s="49">
        <v>45065.33333331719</v>
      </c>
      <c r="F4794" s="56">
        <v>0</v>
      </c>
      <c r="G4794" s="48"/>
      <c r="H4794" s="48"/>
      <c r="I4794" s="48"/>
      <c r="J4794" s="48"/>
      <c r="L4794" s="65"/>
    </row>
    <row r="4795" spans="5:12">
      <c r="E4795" s="49">
        <v>45065.336805539409</v>
      </c>
      <c r="F4795" s="56">
        <v>0</v>
      </c>
      <c r="G4795" s="48"/>
      <c r="H4795" s="48"/>
      <c r="I4795" s="48"/>
      <c r="J4795" s="48"/>
      <c r="L4795" s="65"/>
    </row>
    <row r="4796" spans="5:12">
      <c r="E4796" s="49">
        <v>45065.340277761628</v>
      </c>
      <c r="F4796" s="56">
        <v>0</v>
      </c>
      <c r="G4796" s="48"/>
      <c r="H4796" s="48"/>
      <c r="I4796" s="48"/>
      <c r="J4796" s="48"/>
      <c r="L4796" s="65"/>
    </row>
    <row r="4797" spans="5:12">
      <c r="E4797" s="49">
        <v>45065.343749983847</v>
      </c>
      <c r="F4797" s="56">
        <v>0</v>
      </c>
      <c r="G4797" s="48"/>
      <c r="H4797" s="48"/>
      <c r="I4797" s="48"/>
      <c r="J4797" s="48"/>
      <c r="L4797" s="65"/>
    </row>
    <row r="4798" spans="5:12">
      <c r="E4798" s="49">
        <v>45065.347222206066</v>
      </c>
      <c r="F4798" s="56">
        <v>0</v>
      </c>
      <c r="G4798" s="48"/>
      <c r="H4798" s="48"/>
      <c r="I4798" s="48"/>
      <c r="J4798" s="48"/>
      <c r="L4798" s="65"/>
    </row>
    <row r="4799" spans="5:12">
      <c r="E4799" s="49">
        <v>45065.350694428285</v>
      </c>
      <c r="F4799" s="56">
        <v>0</v>
      </c>
      <c r="G4799" s="48"/>
      <c r="H4799" s="48"/>
      <c r="I4799" s="48"/>
      <c r="J4799" s="48"/>
      <c r="L4799" s="65"/>
    </row>
    <row r="4800" spans="5:12">
      <c r="E4800" s="49">
        <v>45065.354166650504</v>
      </c>
      <c r="F4800" s="56">
        <v>0</v>
      </c>
      <c r="G4800" s="48"/>
      <c r="H4800" s="48"/>
      <c r="I4800" s="48"/>
      <c r="J4800" s="48"/>
      <c r="L4800" s="65"/>
    </row>
    <row r="4801" spans="5:12">
      <c r="E4801" s="49">
        <v>45065.357638872723</v>
      </c>
      <c r="F4801" s="56">
        <v>0</v>
      </c>
      <c r="G4801" s="48"/>
      <c r="H4801" s="48"/>
      <c r="I4801" s="48"/>
      <c r="J4801" s="48"/>
      <c r="L4801" s="65"/>
    </row>
    <row r="4802" spans="5:12">
      <c r="E4802" s="49">
        <v>45065.361111094942</v>
      </c>
      <c r="F4802" s="56">
        <v>0</v>
      </c>
      <c r="G4802" s="48"/>
      <c r="H4802" s="48"/>
      <c r="I4802" s="48"/>
      <c r="J4802" s="48"/>
      <c r="L4802" s="65"/>
    </row>
    <row r="4803" spans="5:12">
      <c r="E4803" s="49">
        <v>45065.364583317161</v>
      </c>
      <c r="F4803" s="56">
        <v>0</v>
      </c>
      <c r="G4803" s="48"/>
      <c r="H4803" s="48"/>
      <c r="I4803" s="48"/>
      <c r="J4803" s="48"/>
      <c r="L4803" s="65"/>
    </row>
    <row r="4804" spans="5:12">
      <c r="E4804" s="49">
        <v>45065.36805553938</v>
      </c>
      <c r="F4804" s="56">
        <v>0</v>
      </c>
      <c r="G4804" s="48"/>
      <c r="H4804" s="48"/>
      <c r="I4804" s="48"/>
      <c r="J4804" s="48"/>
      <c r="L4804" s="65"/>
    </row>
    <row r="4805" spans="5:12">
      <c r="E4805" s="49">
        <v>45065.371527761599</v>
      </c>
      <c r="F4805" s="56">
        <v>0</v>
      </c>
      <c r="G4805" s="48"/>
      <c r="H4805" s="48"/>
      <c r="I4805" s="48"/>
      <c r="J4805" s="48"/>
      <c r="L4805" s="65"/>
    </row>
    <row r="4806" spans="5:12">
      <c r="E4806" s="49">
        <v>45065.374999983818</v>
      </c>
      <c r="F4806" s="56">
        <v>0</v>
      </c>
      <c r="G4806" s="48"/>
      <c r="H4806" s="48"/>
      <c r="I4806" s="48"/>
      <c r="J4806" s="48"/>
      <c r="L4806" s="65"/>
    </row>
    <row r="4807" spans="5:12">
      <c r="E4807" s="49">
        <v>45065.378472206037</v>
      </c>
      <c r="F4807" s="56">
        <v>0</v>
      </c>
      <c r="G4807" s="48"/>
      <c r="H4807" s="48"/>
      <c r="I4807" s="48"/>
      <c r="J4807" s="48"/>
      <c r="L4807" s="65"/>
    </row>
    <row r="4808" spans="5:12">
      <c r="E4808" s="49">
        <v>45065.381944428256</v>
      </c>
      <c r="F4808" s="56">
        <v>0</v>
      </c>
      <c r="G4808" s="48"/>
      <c r="H4808" s="48"/>
      <c r="I4808" s="48"/>
      <c r="J4808" s="48"/>
      <c r="L4808" s="65"/>
    </row>
    <row r="4809" spans="5:12">
      <c r="E4809" s="49">
        <v>45065.385416650475</v>
      </c>
      <c r="F4809" s="56">
        <v>0</v>
      </c>
      <c r="G4809" s="48"/>
      <c r="H4809" s="48"/>
      <c r="I4809" s="48"/>
      <c r="J4809" s="48"/>
      <c r="L4809" s="65"/>
    </row>
    <row r="4810" spans="5:12">
      <c r="E4810" s="49">
        <v>45065.388888872694</v>
      </c>
      <c r="F4810" s="56">
        <v>0</v>
      </c>
      <c r="G4810" s="48"/>
      <c r="H4810" s="48"/>
      <c r="I4810" s="48"/>
      <c r="J4810" s="48"/>
      <c r="L4810" s="65"/>
    </row>
    <row r="4811" spans="5:12">
      <c r="E4811" s="49">
        <v>45065.392361094913</v>
      </c>
      <c r="F4811" s="56">
        <v>0</v>
      </c>
      <c r="G4811" s="48"/>
      <c r="H4811" s="48"/>
      <c r="I4811" s="48"/>
      <c r="J4811" s="48"/>
      <c r="L4811" s="65"/>
    </row>
    <row r="4812" spans="5:12">
      <c r="E4812" s="49">
        <v>45065.395833317132</v>
      </c>
      <c r="F4812" s="56">
        <v>0</v>
      </c>
      <c r="G4812" s="48"/>
      <c r="H4812" s="48"/>
      <c r="I4812" s="48"/>
      <c r="J4812" s="48"/>
      <c r="L4812" s="65"/>
    </row>
    <row r="4813" spans="5:12">
      <c r="E4813" s="49">
        <v>45065.399305539351</v>
      </c>
      <c r="F4813" s="56">
        <v>0</v>
      </c>
      <c r="G4813" s="48"/>
      <c r="H4813" s="48"/>
      <c r="I4813" s="48"/>
      <c r="J4813" s="48"/>
      <c r="L4813" s="65"/>
    </row>
    <row r="4814" spans="5:12">
      <c r="E4814" s="49">
        <v>45065.40277776157</v>
      </c>
      <c r="F4814" s="56">
        <v>0</v>
      </c>
      <c r="G4814" s="48"/>
      <c r="H4814" s="48"/>
      <c r="I4814" s="48"/>
      <c r="J4814" s="48"/>
      <c r="L4814" s="65"/>
    </row>
    <row r="4815" spans="5:12">
      <c r="E4815" s="49">
        <v>45065.406249983789</v>
      </c>
      <c r="F4815" s="56">
        <v>0</v>
      </c>
      <c r="G4815" s="48"/>
      <c r="H4815" s="48"/>
      <c r="I4815" s="48"/>
      <c r="J4815" s="48"/>
      <c r="L4815" s="65"/>
    </row>
    <row r="4816" spans="5:12">
      <c r="E4816" s="49">
        <v>45065.409722206008</v>
      </c>
      <c r="F4816" s="56">
        <v>0</v>
      </c>
      <c r="G4816" s="48"/>
      <c r="H4816" s="48"/>
      <c r="I4816" s="48"/>
      <c r="J4816" s="48"/>
      <c r="L4816" s="65"/>
    </row>
    <row r="4817" spans="5:12">
      <c r="E4817" s="49">
        <v>45065.413194428227</v>
      </c>
      <c r="F4817" s="56">
        <v>0</v>
      </c>
      <c r="G4817" s="48"/>
      <c r="H4817" s="48"/>
      <c r="I4817" s="48"/>
      <c r="J4817" s="48"/>
      <c r="L4817" s="65"/>
    </row>
    <row r="4818" spans="5:12">
      <c r="E4818" s="49">
        <v>45065.416666650446</v>
      </c>
      <c r="F4818" s="56">
        <v>0</v>
      </c>
      <c r="G4818" s="48"/>
      <c r="H4818" s="48"/>
      <c r="I4818" s="48"/>
      <c r="J4818" s="48"/>
      <c r="L4818" s="65"/>
    </row>
    <row r="4819" spans="5:12">
      <c r="E4819" s="49">
        <v>45065.420138872665</v>
      </c>
      <c r="F4819" s="56">
        <v>0</v>
      </c>
      <c r="G4819" s="48"/>
      <c r="H4819" s="48"/>
      <c r="I4819" s="48"/>
      <c r="J4819" s="48"/>
      <c r="L4819" s="65"/>
    </row>
    <row r="4820" spans="5:12">
      <c r="E4820" s="49">
        <v>45065.423611094884</v>
      </c>
      <c r="F4820" s="56">
        <v>0</v>
      </c>
      <c r="G4820" s="48"/>
      <c r="H4820" s="48"/>
      <c r="I4820" s="48"/>
      <c r="J4820" s="48"/>
      <c r="L4820" s="65"/>
    </row>
    <row r="4821" spans="5:12">
      <c r="E4821" s="49">
        <v>45065.427083317103</v>
      </c>
      <c r="F4821" s="56">
        <v>0</v>
      </c>
      <c r="G4821" s="48"/>
      <c r="H4821" s="48"/>
      <c r="I4821" s="48"/>
      <c r="J4821" s="48"/>
      <c r="L4821" s="65"/>
    </row>
    <row r="4822" spans="5:12">
      <c r="E4822" s="49">
        <v>45065.430555539322</v>
      </c>
      <c r="F4822" s="56">
        <v>0</v>
      </c>
      <c r="G4822" s="48"/>
      <c r="H4822" s="48"/>
      <c r="I4822" s="48"/>
      <c r="J4822" s="48"/>
      <c r="L4822" s="65"/>
    </row>
    <row r="4823" spans="5:12">
      <c r="E4823" s="49">
        <v>45065.434027761541</v>
      </c>
      <c r="F4823" s="56">
        <v>0</v>
      </c>
      <c r="G4823" s="48"/>
      <c r="H4823" s="48"/>
      <c r="I4823" s="48"/>
      <c r="J4823" s="48"/>
      <c r="L4823" s="65"/>
    </row>
    <row r="4824" spans="5:12">
      <c r="E4824" s="49">
        <v>45065.43749998376</v>
      </c>
      <c r="F4824" s="56">
        <v>0</v>
      </c>
      <c r="G4824" s="48"/>
      <c r="H4824" s="48"/>
      <c r="I4824" s="48"/>
      <c r="J4824" s="48"/>
      <c r="L4824" s="65"/>
    </row>
    <row r="4825" spans="5:12">
      <c r="E4825" s="49">
        <v>45065.440972205979</v>
      </c>
      <c r="F4825" s="56">
        <v>0</v>
      </c>
      <c r="G4825" s="48"/>
      <c r="H4825" s="48"/>
      <c r="I4825" s="48"/>
      <c r="J4825" s="48"/>
      <c r="L4825" s="65"/>
    </row>
    <row r="4826" spans="5:12">
      <c r="E4826" s="49">
        <v>45065.444444428198</v>
      </c>
      <c r="F4826" s="56">
        <v>0</v>
      </c>
      <c r="G4826" s="48"/>
      <c r="H4826" s="48"/>
      <c r="I4826" s="48"/>
      <c r="J4826" s="48"/>
      <c r="L4826" s="65"/>
    </row>
    <row r="4827" spans="5:12">
      <c r="E4827" s="49">
        <v>45065.447916650417</v>
      </c>
      <c r="F4827" s="56">
        <v>0</v>
      </c>
      <c r="G4827" s="48"/>
      <c r="H4827" s="48"/>
      <c r="I4827" s="48"/>
      <c r="J4827" s="48"/>
      <c r="L4827" s="65"/>
    </row>
    <row r="4828" spans="5:12">
      <c r="E4828" s="49">
        <v>45065.451388872636</v>
      </c>
      <c r="F4828" s="56">
        <v>0</v>
      </c>
      <c r="G4828" s="48"/>
      <c r="H4828" s="48"/>
      <c r="I4828" s="48"/>
      <c r="J4828" s="48"/>
      <c r="L4828" s="65"/>
    </row>
    <row r="4829" spans="5:12">
      <c r="E4829" s="49">
        <v>45065.454861094855</v>
      </c>
      <c r="F4829" s="56">
        <v>0</v>
      </c>
      <c r="G4829" s="48"/>
      <c r="H4829" s="48"/>
      <c r="I4829" s="48"/>
      <c r="J4829" s="48"/>
      <c r="L4829" s="65"/>
    </row>
    <row r="4830" spans="5:12">
      <c r="E4830" s="49">
        <v>45065.458333317074</v>
      </c>
      <c r="F4830" s="56">
        <v>0</v>
      </c>
      <c r="G4830" s="48"/>
      <c r="H4830" s="48"/>
      <c r="I4830" s="48"/>
      <c r="J4830" s="48"/>
      <c r="L4830" s="65"/>
    </row>
    <row r="4831" spans="5:12">
      <c r="E4831" s="49">
        <v>45065.461805539293</v>
      </c>
      <c r="F4831" s="56">
        <v>0</v>
      </c>
      <c r="G4831" s="48"/>
      <c r="H4831" s="48"/>
      <c r="I4831" s="48"/>
      <c r="J4831" s="48"/>
      <c r="L4831" s="65"/>
    </row>
    <row r="4832" spans="5:12">
      <c r="E4832" s="49">
        <v>45065.465277761512</v>
      </c>
      <c r="F4832" s="56">
        <v>0</v>
      </c>
      <c r="G4832" s="48"/>
      <c r="H4832" s="48"/>
      <c r="I4832" s="48"/>
      <c r="J4832" s="48"/>
      <c r="L4832" s="65"/>
    </row>
    <row r="4833" spans="5:12">
      <c r="E4833" s="49">
        <v>45065.468749983731</v>
      </c>
      <c r="F4833" s="56">
        <v>0</v>
      </c>
      <c r="G4833" s="48"/>
      <c r="H4833" s="48"/>
      <c r="I4833" s="48"/>
      <c r="J4833" s="48"/>
      <c r="L4833" s="65"/>
    </row>
    <row r="4834" spans="5:12">
      <c r="E4834" s="49">
        <v>45065.47222220595</v>
      </c>
      <c r="F4834" s="56">
        <v>0</v>
      </c>
      <c r="G4834" s="48"/>
      <c r="H4834" s="48"/>
      <c r="I4834" s="48"/>
      <c r="J4834" s="48"/>
      <c r="L4834" s="65"/>
    </row>
    <row r="4835" spans="5:12">
      <c r="E4835" s="49">
        <v>45065.475694428169</v>
      </c>
      <c r="F4835" s="56">
        <v>0</v>
      </c>
      <c r="G4835" s="48"/>
      <c r="H4835" s="48"/>
      <c r="I4835" s="48"/>
      <c r="J4835" s="48"/>
      <c r="L4835" s="65"/>
    </row>
    <row r="4836" spans="5:12">
      <c r="E4836" s="49">
        <v>45065.479166650388</v>
      </c>
      <c r="F4836" s="56">
        <v>0</v>
      </c>
      <c r="G4836" s="48"/>
      <c r="H4836" s="48"/>
      <c r="I4836" s="48"/>
      <c r="J4836" s="48"/>
      <c r="L4836" s="65"/>
    </row>
    <row r="4837" spans="5:12">
      <c r="E4837" s="49">
        <v>45065.482638872607</v>
      </c>
      <c r="F4837" s="56">
        <v>0</v>
      </c>
      <c r="G4837" s="48"/>
      <c r="H4837" s="48"/>
      <c r="I4837" s="48"/>
      <c r="J4837" s="48"/>
      <c r="L4837" s="65"/>
    </row>
    <row r="4838" spans="5:12">
      <c r="E4838" s="49">
        <v>45065.486111094826</v>
      </c>
      <c r="F4838" s="56">
        <v>0</v>
      </c>
      <c r="G4838" s="48"/>
      <c r="H4838" s="48"/>
      <c r="I4838" s="48"/>
      <c r="J4838" s="48"/>
      <c r="L4838" s="65"/>
    </row>
    <row r="4839" spans="5:12">
      <c r="E4839" s="49">
        <v>45065.489583317045</v>
      </c>
      <c r="F4839" s="56">
        <v>0</v>
      </c>
      <c r="G4839" s="48"/>
      <c r="H4839" s="48"/>
      <c r="I4839" s="48"/>
      <c r="J4839" s="48"/>
      <c r="L4839" s="65"/>
    </row>
    <row r="4840" spans="5:12">
      <c r="E4840" s="49">
        <v>45065.493055539264</v>
      </c>
      <c r="F4840" s="56">
        <v>0</v>
      </c>
      <c r="G4840" s="48"/>
      <c r="H4840" s="48"/>
      <c r="I4840" s="48"/>
      <c r="J4840" s="48"/>
      <c r="L4840" s="65"/>
    </row>
    <row r="4841" spans="5:12">
      <c r="E4841" s="49">
        <v>45065.496527761483</v>
      </c>
      <c r="F4841" s="56">
        <v>0</v>
      </c>
      <c r="G4841" s="48"/>
      <c r="H4841" s="48"/>
      <c r="I4841" s="48"/>
      <c r="J4841" s="48"/>
      <c r="L4841" s="65"/>
    </row>
    <row r="4842" spans="5:12">
      <c r="E4842" s="49">
        <v>45065.499999983702</v>
      </c>
      <c r="F4842" s="56">
        <v>0</v>
      </c>
      <c r="G4842" s="48"/>
      <c r="H4842" s="48"/>
      <c r="I4842" s="48"/>
      <c r="J4842" s="48"/>
      <c r="L4842" s="65"/>
    </row>
    <row r="4843" spans="5:12">
      <c r="E4843" s="49">
        <v>45065.503472205921</v>
      </c>
      <c r="F4843" s="56">
        <v>0</v>
      </c>
      <c r="G4843" s="48"/>
      <c r="H4843" s="48"/>
      <c r="I4843" s="48"/>
      <c r="J4843" s="48"/>
      <c r="L4843" s="65"/>
    </row>
    <row r="4844" spans="5:12">
      <c r="E4844" s="49">
        <v>45065.50694442814</v>
      </c>
      <c r="F4844" s="56">
        <v>0</v>
      </c>
      <c r="G4844" s="48"/>
      <c r="H4844" s="48"/>
      <c r="I4844" s="48"/>
      <c r="J4844" s="48"/>
      <c r="L4844" s="65"/>
    </row>
    <row r="4845" spans="5:12">
      <c r="E4845" s="49">
        <v>45065.510416650359</v>
      </c>
      <c r="F4845" s="56">
        <v>0</v>
      </c>
      <c r="G4845" s="48"/>
      <c r="H4845" s="48"/>
      <c r="I4845" s="48"/>
      <c r="J4845" s="48"/>
      <c r="L4845" s="65"/>
    </row>
    <row r="4846" spans="5:12">
      <c r="E4846" s="49">
        <v>45065.513888872578</v>
      </c>
      <c r="F4846" s="56">
        <v>0</v>
      </c>
      <c r="G4846" s="48"/>
      <c r="H4846" s="48"/>
      <c r="I4846" s="48"/>
      <c r="J4846" s="48"/>
      <c r="L4846" s="65"/>
    </row>
    <row r="4847" spans="5:12">
      <c r="E4847" s="49">
        <v>45065.517361094797</v>
      </c>
      <c r="F4847" s="56">
        <v>0</v>
      </c>
      <c r="G4847" s="48"/>
      <c r="H4847" s="48"/>
      <c r="I4847" s="48"/>
      <c r="J4847" s="48"/>
      <c r="L4847" s="65"/>
    </row>
    <row r="4848" spans="5:12">
      <c r="E4848" s="49">
        <v>45065.520833317016</v>
      </c>
      <c r="F4848" s="56">
        <v>0</v>
      </c>
      <c r="G4848" s="48"/>
      <c r="H4848" s="48"/>
      <c r="I4848" s="48"/>
      <c r="J4848" s="48"/>
      <c r="L4848" s="65"/>
    </row>
    <row r="4849" spans="5:12">
      <c r="E4849" s="49">
        <v>45065.524305539235</v>
      </c>
      <c r="F4849" s="56">
        <v>0</v>
      </c>
      <c r="G4849" s="48"/>
      <c r="H4849" s="48"/>
      <c r="I4849" s="48"/>
      <c r="J4849" s="48"/>
      <c r="L4849" s="65"/>
    </row>
    <row r="4850" spans="5:12">
      <c r="E4850" s="49">
        <v>45065.527777761454</v>
      </c>
      <c r="F4850" s="56">
        <v>0</v>
      </c>
      <c r="G4850" s="48"/>
      <c r="H4850" s="48"/>
      <c r="I4850" s="48"/>
      <c r="J4850" s="48"/>
      <c r="L4850" s="65"/>
    </row>
    <row r="4851" spans="5:12">
      <c r="E4851" s="49">
        <v>45065.531249983673</v>
      </c>
      <c r="F4851" s="56">
        <v>0</v>
      </c>
      <c r="G4851" s="48"/>
      <c r="H4851" s="48"/>
      <c r="I4851" s="48"/>
      <c r="J4851" s="48"/>
      <c r="L4851" s="65"/>
    </row>
    <row r="4852" spans="5:12">
      <c r="E4852" s="49">
        <v>45065.534722205892</v>
      </c>
      <c r="F4852" s="56">
        <v>0</v>
      </c>
      <c r="G4852" s="48"/>
      <c r="H4852" s="48"/>
      <c r="I4852" s="48"/>
      <c r="J4852" s="48"/>
      <c r="L4852" s="65"/>
    </row>
    <row r="4853" spans="5:12">
      <c r="E4853" s="49">
        <v>45065.538194428111</v>
      </c>
      <c r="F4853" s="56">
        <v>0</v>
      </c>
      <c r="G4853" s="48"/>
      <c r="H4853" s="48"/>
      <c r="I4853" s="48"/>
      <c r="J4853" s="48"/>
      <c r="L4853" s="65"/>
    </row>
    <row r="4854" spans="5:12">
      <c r="E4854" s="49">
        <v>45065.54166665033</v>
      </c>
      <c r="F4854" s="56">
        <v>0</v>
      </c>
      <c r="G4854" s="48"/>
      <c r="H4854" s="48"/>
      <c r="I4854" s="48"/>
      <c r="J4854" s="48"/>
      <c r="L4854" s="65"/>
    </row>
    <row r="4855" spans="5:12">
      <c r="E4855" s="49">
        <v>45065.545138872549</v>
      </c>
      <c r="F4855" s="56">
        <v>0</v>
      </c>
      <c r="G4855" s="48"/>
      <c r="H4855" s="48"/>
      <c r="I4855" s="48"/>
      <c r="J4855" s="48"/>
      <c r="L4855" s="65"/>
    </row>
    <row r="4856" spans="5:12">
      <c r="E4856" s="49">
        <v>45065.548611094768</v>
      </c>
      <c r="F4856" s="56">
        <v>0</v>
      </c>
      <c r="G4856" s="48"/>
      <c r="H4856" s="48"/>
      <c r="I4856" s="48"/>
      <c r="J4856" s="48"/>
      <c r="L4856" s="65"/>
    </row>
    <row r="4857" spans="5:12">
      <c r="E4857" s="49">
        <v>45065.552083316987</v>
      </c>
      <c r="F4857" s="56">
        <v>0</v>
      </c>
      <c r="G4857" s="48"/>
      <c r="H4857" s="48"/>
      <c r="I4857" s="48"/>
      <c r="J4857" s="48"/>
      <c r="L4857" s="65"/>
    </row>
    <row r="4858" spans="5:12">
      <c r="E4858" s="49">
        <v>45065.555555539206</v>
      </c>
      <c r="F4858" s="56">
        <v>0</v>
      </c>
      <c r="G4858" s="48"/>
      <c r="H4858" s="48"/>
      <c r="I4858" s="48"/>
      <c r="J4858" s="48"/>
      <c r="L4858" s="65"/>
    </row>
    <row r="4859" spans="5:12">
      <c r="E4859" s="49">
        <v>45065.559027761425</v>
      </c>
      <c r="F4859" s="56">
        <v>0</v>
      </c>
      <c r="G4859" s="48"/>
      <c r="H4859" s="48"/>
      <c r="I4859" s="48"/>
      <c r="J4859" s="48"/>
      <c r="L4859" s="65"/>
    </row>
    <row r="4860" spans="5:12">
      <c r="E4860" s="49">
        <v>45065.562499983644</v>
      </c>
      <c r="F4860" s="56">
        <v>0</v>
      </c>
      <c r="G4860" s="48"/>
      <c r="H4860" s="48"/>
      <c r="I4860" s="48"/>
      <c r="J4860" s="48"/>
      <c r="L4860" s="65"/>
    </row>
    <row r="4861" spans="5:12">
      <c r="E4861" s="49">
        <v>45065.565972205863</v>
      </c>
      <c r="F4861" s="56">
        <v>0</v>
      </c>
      <c r="G4861" s="48"/>
      <c r="H4861" s="48"/>
      <c r="I4861" s="48"/>
      <c r="J4861" s="48"/>
      <c r="L4861" s="65"/>
    </row>
    <row r="4862" spans="5:12">
      <c r="E4862" s="49">
        <v>45065.569444428082</v>
      </c>
      <c r="F4862" s="56">
        <v>0</v>
      </c>
      <c r="G4862" s="48"/>
      <c r="H4862" s="48"/>
      <c r="I4862" s="48"/>
      <c r="J4862" s="48"/>
      <c r="L4862" s="65"/>
    </row>
    <row r="4863" spans="5:12">
      <c r="E4863" s="49">
        <v>45065.572916650301</v>
      </c>
      <c r="F4863" s="56">
        <v>0</v>
      </c>
      <c r="G4863" s="48"/>
      <c r="H4863" s="48"/>
      <c r="I4863" s="48"/>
      <c r="J4863" s="48"/>
      <c r="L4863" s="65"/>
    </row>
    <row r="4864" spans="5:12">
      <c r="E4864" s="49">
        <v>45065.57638887252</v>
      </c>
      <c r="F4864" s="56">
        <v>0</v>
      </c>
      <c r="G4864" s="48"/>
      <c r="H4864" s="48"/>
      <c r="I4864" s="48"/>
      <c r="J4864" s="48"/>
      <c r="L4864" s="65"/>
    </row>
    <row r="4865" spans="5:12">
      <c r="E4865" s="49">
        <v>45065.579861094739</v>
      </c>
      <c r="F4865" s="56">
        <v>0</v>
      </c>
      <c r="G4865" s="48"/>
      <c r="H4865" s="48"/>
      <c r="I4865" s="48"/>
      <c r="J4865" s="48"/>
      <c r="L4865" s="65"/>
    </row>
    <row r="4866" spans="5:12">
      <c r="E4866" s="49">
        <v>45065.583333316958</v>
      </c>
      <c r="F4866" s="56">
        <v>0</v>
      </c>
      <c r="G4866" s="48"/>
      <c r="H4866" s="48"/>
      <c r="I4866" s="48"/>
      <c r="J4866" s="48"/>
      <c r="L4866" s="65"/>
    </row>
    <row r="4867" spans="5:12">
      <c r="E4867" s="49">
        <v>45065.586805539177</v>
      </c>
      <c r="F4867" s="56">
        <v>0</v>
      </c>
      <c r="G4867" s="48"/>
      <c r="H4867" s="48"/>
      <c r="I4867" s="48"/>
      <c r="J4867" s="48"/>
      <c r="L4867" s="65"/>
    </row>
    <row r="4868" spans="5:12">
      <c r="E4868" s="49">
        <v>45065.590277761396</v>
      </c>
      <c r="F4868" s="56">
        <v>0</v>
      </c>
      <c r="G4868" s="48"/>
      <c r="H4868" s="48"/>
      <c r="I4868" s="48"/>
      <c r="J4868" s="48"/>
      <c r="L4868" s="65"/>
    </row>
    <row r="4869" spans="5:12">
      <c r="E4869" s="49">
        <v>45065.593749983615</v>
      </c>
      <c r="F4869" s="56">
        <v>0</v>
      </c>
      <c r="G4869" s="48"/>
      <c r="H4869" s="48"/>
      <c r="I4869" s="48"/>
      <c r="J4869" s="48"/>
      <c r="L4869" s="65"/>
    </row>
    <row r="4870" spans="5:12">
      <c r="E4870" s="49">
        <v>45065.597222205834</v>
      </c>
      <c r="F4870" s="56">
        <v>0</v>
      </c>
      <c r="G4870" s="48"/>
      <c r="H4870" s="48"/>
      <c r="I4870" s="48"/>
      <c r="J4870" s="48"/>
      <c r="L4870" s="65"/>
    </row>
    <row r="4871" spans="5:12">
      <c r="E4871" s="49">
        <v>45065.600694428053</v>
      </c>
      <c r="F4871" s="56">
        <v>0</v>
      </c>
      <c r="G4871" s="48"/>
      <c r="H4871" s="48"/>
      <c r="I4871" s="48"/>
      <c r="J4871" s="48"/>
      <c r="L4871" s="65"/>
    </row>
    <row r="4872" spans="5:12">
      <c r="E4872" s="49">
        <v>45065.604166650272</v>
      </c>
      <c r="F4872" s="56">
        <v>0</v>
      </c>
      <c r="G4872" s="48"/>
      <c r="H4872" s="48"/>
      <c r="I4872" s="48"/>
      <c r="J4872" s="48"/>
      <c r="L4872" s="65"/>
    </row>
    <row r="4873" spans="5:12">
      <c r="E4873" s="49">
        <v>45065.60763887249</v>
      </c>
      <c r="F4873" s="56">
        <v>0</v>
      </c>
      <c r="G4873" s="48"/>
      <c r="H4873" s="48"/>
      <c r="I4873" s="48"/>
      <c r="J4873" s="48"/>
      <c r="L4873" s="65"/>
    </row>
    <row r="4874" spans="5:12">
      <c r="E4874" s="49">
        <v>45065.611111094709</v>
      </c>
      <c r="F4874" s="56">
        <v>0</v>
      </c>
      <c r="G4874" s="48"/>
      <c r="H4874" s="48"/>
      <c r="I4874" s="48"/>
      <c r="J4874" s="48"/>
      <c r="L4874" s="65"/>
    </row>
    <row r="4875" spans="5:12">
      <c r="E4875" s="49">
        <v>45065.614583316928</v>
      </c>
      <c r="F4875" s="56">
        <v>0</v>
      </c>
      <c r="G4875" s="48"/>
      <c r="H4875" s="48"/>
      <c r="I4875" s="48"/>
      <c r="J4875" s="48"/>
      <c r="L4875" s="65"/>
    </row>
    <row r="4876" spans="5:12">
      <c r="E4876" s="49">
        <v>45065.618055539147</v>
      </c>
      <c r="F4876" s="56">
        <v>0</v>
      </c>
      <c r="G4876" s="48"/>
      <c r="H4876" s="48"/>
      <c r="I4876" s="48"/>
      <c r="J4876" s="48"/>
      <c r="L4876" s="65"/>
    </row>
    <row r="4877" spans="5:12">
      <c r="E4877" s="49">
        <v>45065.621527761366</v>
      </c>
      <c r="F4877" s="56">
        <v>0</v>
      </c>
      <c r="G4877" s="48"/>
      <c r="H4877" s="48"/>
      <c r="I4877" s="48"/>
      <c r="J4877" s="48"/>
      <c r="L4877" s="65"/>
    </row>
    <row r="4878" spans="5:12">
      <c r="E4878" s="49">
        <v>45065.624999983585</v>
      </c>
      <c r="F4878" s="56">
        <v>0</v>
      </c>
      <c r="G4878" s="48"/>
      <c r="H4878" s="48"/>
      <c r="I4878" s="48"/>
      <c r="J4878" s="48"/>
      <c r="L4878" s="65"/>
    </row>
    <row r="4879" spans="5:12">
      <c r="E4879" s="49">
        <v>45065.628472205804</v>
      </c>
      <c r="F4879" s="56">
        <v>0</v>
      </c>
      <c r="G4879" s="48"/>
      <c r="H4879" s="48"/>
      <c r="I4879" s="48"/>
      <c r="J4879" s="48"/>
      <c r="L4879" s="65"/>
    </row>
    <row r="4880" spans="5:12">
      <c r="E4880" s="49">
        <v>45065.631944428023</v>
      </c>
      <c r="F4880" s="56">
        <v>0</v>
      </c>
      <c r="G4880" s="48"/>
      <c r="H4880" s="48"/>
      <c r="I4880" s="48"/>
      <c r="J4880" s="48"/>
      <c r="L4880" s="65"/>
    </row>
    <row r="4881" spans="5:12">
      <c r="E4881" s="49">
        <v>45065.635416650242</v>
      </c>
      <c r="F4881" s="56">
        <v>0</v>
      </c>
      <c r="G4881" s="48"/>
      <c r="H4881" s="48"/>
      <c r="I4881" s="48"/>
      <c r="J4881" s="48"/>
      <c r="L4881" s="65"/>
    </row>
    <row r="4882" spans="5:12">
      <c r="E4882" s="49">
        <v>45065.638888872461</v>
      </c>
      <c r="F4882" s="56">
        <v>0</v>
      </c>
      <c r="G4882" s="48"/>
      <c r="H4882" s="48"/>
      <c r="I4882" s="48"/>
      <c r="J4882" s="48"/>
      <c r="L4882" s="65"/>
    </row>
    <row r="4883" spans="5:12">
      <c r="E4883" s="49">
        <v>45065.64236109468</v>
      </c>
      <c r="F4883" s="56">
        <v>0</v>
      </c>
      <c r="G4883" s="48"/>
      <c r="H4883" s="48"/>
      <c r="I4883" s="48"/>
      <c r="J4883" s="48"/>
      <c r="L4883" s="65"/>
    </row>
    <row r="4884" spans="5:12">
      <c r="E4884" s="49">
        <v>45065.645833316899</v>
      </c>
      <c r="F4884" s="56">
        <v>0</v>
      </c>
      <c r="G4884" s="48"/>
      <c r="H4884" s="48"/>
      <c r="I4884" s="48"/>
      <c r="J4884" s="48"/>
      <c r="L4884" s="65"/>
    </row>
    <row r="4885" spans="5:12">
      <c r="E4885" s="49">
        <v>45065.649305539118</v>
      </c>
      <c r="F4885" s="56">
        <v>0</v>
      </c>
      <c r="G4885" s="48"/>
      <c r="H4885" s="48"/>
      <c r="I4885" s="48"/>
      <c r="J4885" s="48"/>
      <c r="L4885" s="65"/>
    </row>
    <row r="4886" spans="5:12">
      <c r="E4886" s="49">
        <v>45065.652777761337</v>
      </c>
      <c r="F4886" s="56">
        <v>0</v>
      </c>
      <c r="G4886" s="48"/>
      <c r="H4886" s="48"/>
      <c r="I4886" s="48"/>
      <c r="J4886" s="48"/>
      <c r="L4886" s="65"/>
    </row>
    <row r="4887" spans="5:12">
      <c r="E4887" s="49">
        <v>45065.656249983556</v>
      </c>
      <c r="F4887" s="56">
        <v>0</v>
      </c>
      <c r="G4887" s="48"/>
      <c r="H4887" s="48"/>
      <c r="I4887" s="48"/>
      <c r="J4887" s="48"/>
      <c r="L4887" s="65"/>
    </row>
    <row r="4888" spans="5:12">
      <c r="E4888" s="49">
        <v>45065.659722205775</v>
      </c>
      <c r="F4888" s="56">
        <v>0</v>
      </c>
      <c r="G4888" s="48"/>
      <c r="H4888" s="48"/>
      <c r="I4888" s="48"/>
      <c r="J4888" s="48"/>
      <c r="L4888" s="65"/>
    </row>
    <row r="4889" spans="5:12">
      <c r="E4889" s="49">
        <v>45065.663194427994</v>
      </c>
      <c r="F4889" s="56">
        <v>0</v>
      </c>
      <c r="G4889" s="48"/>
      <c r="H4889" s="48"/>
      <c r="I4889" s="48"/>
      <c r="J4889" s="48"/>
      <c r="L4889" s="65"/>
    </row>
    <row r="4890" spans="5:12">
      <c r="E4890" s="49">
        <v>45065.666666650213</v>
      </c>
      <c r="F4890" s="56">
        <v>0</v>
      </c>
      <c r="G4890" s="48"/>
      <c r="H4890" s="48"/>
      <c r="I4890" s="48"/>
      <c r="J4890" s="48"/>
      <c r="L4890" s="65"/>
    </row>
    <row r="4891" spans="5:12">
      <c r="E4891" s="49">
        <v>45065.670138872432</v>
      </c>
      <c r="F4891" s="56">
        <v>0</v>
      </c>
      <c r="G4891" s="48"/>
      <c r="H4891" s="48"/>
      <c r="I4891" s="48"/>
      <c r="J4891" s="48"/>
      <c r="L4891" s="65"/>
    </row>
    <row r="4892" spans="5:12">
      <c r="E4892" s="49">
        <v>45065.673611094651</v>
      </c>
      <c r="F4892" s="56">
        <v>0</v>
      </c>
      <c r="G4892" s="48"/>
      <c r="H4892" s="48"/>
      <c r="I4892" s="48"/>
      <c r="J4892" s="48"/>
      <c r="L4892" s="65"/>
    </row>
    <row r="4893" spans="5:12">
      <c r="E4893" s="49">
        <v>45065.67708331687</v>
      </c>
      <c r="F4893" s="56">
        <v>0</v>
      </c>
      <c r="G4893" s="48"/>
      <c r="H4893" s="48"/>
      <c r="I4893" s="48"/>
      <c r="J4893" s="48"/>
      <c r="L4893" s="65"/>
    </row>
    <row r="4894" spans="5:12">
      <c r="E4894" s="49">
        <v>45065.680555539089</v>
      </c>
      <c r="F4894" s="56">
        <v>0</v>
      </c>
      <c r="G4894" s="48"/>
      <c r="H4894" s="48"/>
      <c r="I4894" s="48"/>
      <c r="J4894" s="48"/>
      <c r="L4894" s="65"/>
    </row>
    <row r="4895" spans="5:12">
      <c r="E4895" s="49">
        <v>45065.684027761308</v>
      </c>
      <c r="F4895" s="56">
        <v>0</v>
      </c>
      <c r="G4895" s="48"/>
      <c r="H4895" s="48"/>
      <c r="I4895" s="48"/>
      <c r="J4895" s="48"/>
      <c r="L4895" s="65"/>
    </row>
    <row r="4896" spans="5:12">
      <c r="E4896" s="49">
        <v>45065.687499983527</v>
      </c>
      <c r="F4896" s="56">
        <v>0</v>
      </c>
      <c r="G4896" s="48"/>
      <c r="H4896" s="48"/>
      <c r="I4896" s="48"/>
      <c r="J4896" s="48"/>
      <c r="L4896" s="65"/>
    </row>
    <row r="4897" spans="5:12">
      <c r="E4897" s="49">
        <v>45065.690972205746</v>
      </c>
      <c r="F4897" s="56">
        <v>0</v>
      </c>
      <c r="G4897" s="48"/>
      <c r="H4897" s="48"/>
      <c r="I4897" s="48"/>
      <c r="J4897" s="48"/>
      <c r="L4897" s="65"/>
    </row>
    <row r="4898" spans="5:12">
      <c r="E4898" s="49">
        <v>45065.694444427965</v>
      </c>
      <c r="F4898" s="56">
        <v>0</v>
      </c>
      <c r="G4898" s="48"/>
      <c r="H4898" s="48"/>
      <c r="I4898" s="48"/>
      <c r="J4898" s="48"/>
      <c r="L4898" s="65"/>
    </row>
    <row r="4899" spans="5:12">
      <c r="E4899" s="49">
        <v>45065.697916650184</v>
      </c>
      <c r="F4899" s="56">
        <v>0</v>
      </c>
      <c r="G4899" s="48"/>
      <c r="H4899" s="48"/>
      <c r="I4899" s="48"/>
      <c r="J4899" s="48"/>
      <c r="L4899" s="65"/>
    </row>
    <row r="4900" spans="5:12">
      <c r="E4900" s="49">
        <v>45065.701388872403</v>
      </c>
      <c r="F4900" s="56">
        <v>0</v>
      </c>
      <c r="G4900" s="48"/>
      <c r="H4900" s="48"/>
      <c r="I4900" s="48"/>
      <c r="J4900" s="48"/>
      <c r="L4900" s="65"/>
    </row>
    <row r="4901" spans="5:12">
      <c r="E4901" s="49">
        <v>45065.704861094622</v>
      </c>
      <c r="F4901" s="56">
        <v>0</v>
      </c>
      <c r="G4901" s="48"/>
      <c r="H4901" s="48"/>
      <c r="I4901" s="48"/>
      <c r="J4901" s="48"/>
      <c r="L4901" s="65"/>
    </row>
    <row r="4902" spans="5:12">
      <c r="E4902" s="49">
        <v>45065.708333316841</v>
      </c>
      <c r="F4902" s="56">
        <v>2.9090863104802049</v>
      </c>
      <c r="G4902" s="48"/>
      <c r="H4902" s="48"/>
      <c r="I4902" s="48"/>
      <c r="J4902" s="48"/>
      <c r="L4902" s="65"/>
    </row>
    <row r="4903" spans="5:12">
      <c r="E4903" s="49">
        <v>45065.71180553906</v>
      </c>
      <c r="F4903" s="56">
        <v>2.9090863104802049</v>
      </c>
      <c r="G4903" s="48"/>
      <c r="H4903" s="48"/>
      <c r="I4903" s="48"/>
      <c r="J4903" s="48"/>
      <c r="L4903" s="65"/>
    </row>
    <row r="4904" spans="5:12">
      <c r="E4904" s="49">
        <v>45065.715277761279</v>
      </c>
      <c r="F4904" s="56">
        <v>2.9090863104802049</v>
      </c>
      <c r="G4904" s="48"/>
      <c r="H4904" s="48"/>
      <c r="I4904" s="48"/>
      <c r="J4904" s="48"/>
      <c r="L4904" s="65"/>
    </row>
    <row r="4905" spans="5:12">
      <c r="E4905" s="49">
        <v>45065.718749983498</v>
      </c>
      <c r="F4905" s="56">
        <v>2.9090863104802049</v>
      </c>
      <c r="G4905" s="48"/>
      <c r="H4905" s="48"/>
      <c r="I4905" s="48"/>
      <c r="J4905" s="48"/>
      <c r="L4905" s="65"/>
    </row>
    <row r="4906" spans="5:12">
      <c r="E4906" s="49">
        <v>45065.722222205717</v>
      </c>
      <c r="F4906" s="56">
        <v>2.9090863104802049</v>
      </c>
      <c r="G4906" s="48"/>
      <c r="H4906" s="48"/>
      <c r="I4906" s="48"/>
      <c r="J4906" s="48"/>
      <c r="L4906" s="65"/>
    </row>
    <row r="4907" spans="5:12">
      <c r="E4907" s="49">
        <v>45065.725694427936</v>
      </c>
      <c r="F4907" s="56">
        <v>2.9090863104802049</v>
      </c>
      <c r="G4907" s="48"/>
      <c r="H4907" s="48"/>
      <c r="I4907" s="48"/>
      <c r="J4907" s="48"/>
      <c r="L4907" s="65"/>
    </row>
    <row r="4908" spans="5:12">
      <c r="E4908" s="49">
        <v>45065.729166650155</v>
      </c>
      <c r="F4908" s="56">
        <v>2.9090863104802049</v>
      </c>
      <c r="G4908" s="48"/>
      <c r="H4908" s="48"/>
      <c r="I4908" s="48"/>
      <c r="J4908" s="48"/>
      <c r="L4908" s="65"/>
    </row>
    <row r="4909" spans="5:12">
      <c r="E4909" s="49">
        <v>45065.732638872374</v>
      </c>
      <c r="F4909" s="56">
        <v>2.9090863104802049</v>
      </c>
      <c r="G4909" s="48"/>
      <c r="H4909" s="48"/>
      <c r="I4909" s="48"/>
      <c r="J4909" s="48"/>
      <c r="L4909" s="65"/>
    </row>
    <row r="4910" spans="5:12">
      <c r="E4910" s="49">
        <v>45065.736111094593</v>
      </c>
      <c r="F4910" s="56">
        <v>2.9090863104802049</v>
      </c>
      <c r="G4910" s="48"/>
      <c r="H4910" s="48"/>
      <c r="I4910" s="48"/>
      <c r="J4910" s="48"/>
      <c r="L4910" s="65"/>
    </row>
    <row r="4911" spans="5:12">
      <c r="E4911" s="49">
        <v>45065.739583316812</v>
      </c>
      <c r="F4911" s="56">
        <v>2.9090863104802049</v>
      </c>
      <c r="G4911" s="48"/>
      <c r="H4911" s="48"/>
      <c r="I4911" s="48"/>
      <c r="J4911" s="48"/>
      <c r="L4911" s="65"/>
    </row>
    <row r="4912" spans="5:12">
      <c r="E4912" s="49">
        <v>45065.743055539031</v>
      </c>
      <c r="F4912" s="56">
        <v>2.9090863104802049</v>
      </c>
      <c r="G4912" s="48"/>
      <c r="H4912" s="48"/>
      <c r="I4912" s="48"/>
      <c r="J4912" s="48"/>
      <c r="L4912" s="65"/>
    </row>
    <row r="4913" spans="5:12">
      <c r="E4913" s="49">
        <v>45065.74652776125</v>
      </c>
      <c r="F4913" s="56">
        <v>2.9090863104802049</v>
      </c>
      <c r="G4913" s="48"/>
      <c r="H4913" s="48"/>
      <c r="I4913" s="48"/>
      <c r="J4913" s="48"/>
      <c r="L4913" s="65"/>
    </row>
    <row r="4914" spans="5:12">
      <c r="E4914" s="49">
        <v>45065.749999983469</v>
      </c>
      <c r="F4914" s="56">
        <v>2.9090863104802049</v>
      </c>
      <c r="G4914" s="48"/>
      <c r="H4914" s="48"/>
      <c r="I4914" s="48"/>
      <c r="J4914" s="48"/>
      <c r="L4914" s="65"/>
    </row>
    <row r="4915" spans="5:12">
      <c r="E4915" s="49">
        <v>45065.753472205688</v>
      </c>
      <c r="F4915" s="56">
        <v>2.9090863104802049</v>
      </c>
      <c r="G4915" s="48"/>
      <c r="H4915" s="48"/>
      <c r="I4915" s="48"/>
      <c r="J4915" s="48"/>
      <c r="L4915" s="65"/>
    </row>
    <row r="4916" spans="5:12">
      <c r="E4916" s="49">
        <v>45065.756944427907</v>
      </c>
      <c r="F4916" s="56">
        <v>2.9090863104802049</v>
      </c>
      <c r="G4916" s="48"/>
      <c r="H4916" s="48"/>
      <c r="I4916" s="48"/>
      <c r="J4916" s="48"/>
      <c r="L4916" s="65"/>
    </row>
    <row r="4917" spans="5:12">
      <c r="E4917" s="49">
        <v>45065.760416650126</v>
      </c>
      <c r="F4917" s="56">
        <v>2.9090863104802049</v>
      </c>
      <c r="G4917" s="48"/>
      <c r="H4917" s="48"/>
      <c r="I4917" s="48"/>
      <c r="J4917" s="48"/>
      <c r="L4917" s="65"/>
    </row>
    <row r="4918" spans="5:12">
      <c r="E4918" s="49">
        <v>45065.763888872345</v>
      </c>
      <c r="F4918" s="56">
        <v>2.9090863104802049</v>
      </c>
      <c r="G4918" s="48"/>
      <c r="H4918" s="48"/>
      <c r="I4918" s="48"/>
      <c r="J4918" s="48"/>
      <c r="L4918" s="65"/>
    </row>
    <row r="4919" spans="5:12">
      <c r="E4919" s="49">
        <v>45065.767361094564</v>
      </c>
      <c r="F4919" s="56">
        <v>2.9090863104802049</v>
      </c>
      <c r="G4919" s="48"/>
      <c r="H4919" s="48"/>
      <c r="I4919" s="48"/>
      <c r="J4919" s="48"/>
      <c r="L4919" s="65"/>
    </row>
    <row r="4920" spans="5:12">
      <c r="E4920" s="49">
        <v>45065.770833316783</v>
      </c>
      <c r="F4920" s="56">
        <v>2.9090863104802049</v>
      </c>
      <c r="G4920" s="48"/>
      <c r="H4920" s="48"/>
      <c r="I4920" s="48"/>
      <c r="J4920" s="48"/>
      <c r="L4920" s="65"/>
    </row>
    <row r="4921" spans="5:12">
      <c r="E4921" s="49">
        <v>45065.774305539002</v>
      </c>
      <c r="F4921" s="56">
        <v>2.9090863104802049</v>
      </c>
      <c r="G4921" s="48"/>
      <c r="H4921" s="48"/>
      <c r="I4921" s="48"/>
      <c r="J4921" s="48"/>
      <c r="L4921" s="65"/>
    </row>
    <row r="4922" spans="5:12">
      <c r="E4922" s="49">
        <v>45065.777777761221</v>
      </c>
      <c r="F4922" s="56">
        <v>2.9090863104802049</v>
      </c>
      <c r="G4922" s="48"/>
      <c r="H4922" s="48"/>
      <c r="I4922" s="48"/>
      <c r="J4922" s="48"/>
      <c r="L4922" s="65"/>
    </row>
    <row r="4923" spans="5:12">
      <c r="E4923" s="49">
        <v>45065.78124998344</v>
      </c>
      <c r="F4923" s="56">
        <v>2.9090863104802049</v>
      </c>
      <c r="G4923" s="48"/>
      <c r="H4923" s="48"/>
      <c r="I4923" s="48"/>
      <c r="J4923" s="48"/>
      <c r="L4923" s="65"/>
    </row>
    <row r="4924" spans="5:12">
      <c r="E4924" s="49">
        <v>45065.784722205659</v>
      </c>
      <c r="F4924" s="56">
        <v>2.9090863104802049</v>
      </c>
      <c r="G4924" s="48"/>
      <c r="H4924" s="48"/>
      <c r="I4924" s="48"/>
      <c r="J4924" s="48"/>
      <c r="L4924" s="65"/>
    </row>
    <row r="4925" spans="5:12">
      <c r="E4925" s="49">
        <v>45065.788194427878</v>
      </c>
      <c r="F4925" s="56">
        <v>2.9090863104802049</v>
      </c>
      <c r="G4925" s="48"/>
      <c r="H4925" s="48"/>
      <c r="I4925" s="48"/>
      <c r="J4925" s="48"/>
      <c r="L4925" s="65"/>
    </row>
    <row r="4926" spans="5:12">
      <c r="E4926" s="49">
        <v>45065.791666650097</v>
      </c>
      <c r="F4926" s="56">
        <v>2.9090863104802049</v>
      </c>
      <c r="G4926" s="48"/>
      <c r="H4926" s="48"/>
      <c r="I4926" s="48"/>
      <c r="J4926" s="48"/>
      <c r="L4926" s="65"/>
    </row>
    <row r="4927" spans="5:12">
      <c r="E4927" s="49">
        <v>45065.795138872316</v>
      </c>
      <c r="F4927" s="56">
        <v>2.9090863104802049</v>
      </c>
      <c r="G4927" s="48"/>
      <c r="H4927" s="48"/>
      <c r="I4927" s="48"/>
      <c r="J4927" s="48"/>
      <c r="L4927" s="65"/>
    </row>
    <row r="4928" spans="5:12">
      <c r="E4928" s="49">
        <v>45065.798611094535</v>
      </c>
      <c r="F4928" s="56">
        <v>2.9090863104802049</v>
      </c>
      <c r="G4928" s="48"/>
      <c r="H4928" s="48"/>
      <c r="I4928" s="48"/>
      <c r="J4928" s="48"/>
      <c r="L4928" s="65"/>
    </row>
    <row r="4929" spans="5:12">
      <c r="E4929" s="49">
        <v>45065.802083316754</v>
      </c>
      <c r="F4929" s="56">
        <v>2.9090863104802049</v>
      </c>
      <c r="G4929" s="48"/>
      <c r="H4929" s="48"/>
      <c r="I4929" s="48"/>
      <c r="J4929" s="48"/>
      <c r="L4929" s="65"/>
    </row>
    <row r="4930" spans="5:12">
      <c r="E4930" s="49">
        <v>45065.805555538973</v>
      </c>
      <c r="F4930" s="56">
        <v>2.9090863104802049</v>
      </c>
      <c r="G4930" s="48"/>
      <c r="H4930" s="48"/>
      <c r="I4930" s="48"/>
      <c r="J4930" s="48"/>
      <c r="L4930" s="65"/>
    </row>
    <row r="4931" spans="5:12">
      <c r="E4931" s="49">
        <v>45065.809027761192</v>
      </c>
      <c r="F4931" s="56">
        <v>2.9090863104802049</v>
      </c>
      <c r="G4931" s="48"/>
      <c r="H4931" s="48"/>
      <c r="I4931" s="48"/>
      <c r="J4931" s="48"/>
      <c r="L4931" s="65"/>
    </row>
    <row r="4932" spans="5:12">
      <c r="E4932" s="49">
        <v>45065.812499983411</v>
      </c>
      <c r="F4932" s="56">
        <v>2.9090863104802049</v>
      </c>
      <c r="G4932" s="48"/>
      <c r="H4932" s="48"/>
      <c r="I4932" s="48"/>
      <c r="J4932" s="48"/>
      <c r="L4932" s="65"/>
    </row>
    <row r="4933" spans="5:12">
      <c r="E4933" s="49">
        <v>45065.81597220563</v>
      </c>
      <c r="F4933" s="56">
        <v>2.9090863104802049</v>
      </c>
      <c r="G4933" s="48"/>
      <c r="H4933" s="48"/>
      <c r="I4933" s="48"/>
      <c r="J4933" s="48"/>
      <c r="L4933" s="65"/>
    </row>
    <row r="4934" spans="5:12">
      <c r="E4934" s="49">
        <v>45065.819444427849</v>
      </c>
      <c r="F4934" s="56">
        <v>2.9090863104802049</v>
      </c>
      <c r="G4934" s="48"/>
      <c r="H4934" s="48"/>
      <c r="I4934" s="48"/>
      <c r="J4934" s="48"/>
      <c r="L4934" s="65"/>
    </row>
    <row r="4935" spans="5:12">
      <c r="E4935" s="49">
        <v>45065.822916650068</v>
      </c>
      <c r="F4935" s="56">
        <v>2.9090863104802049</v>
      </c>
      <c r="G4935" s="48"/>
      <c r="H4935" s="48"/>
      <c r="I4935" s="48"/>
      <c r="J4935" s="48"/>
      <c r="L4935" s="65"/>
    </row>
    <row r="4936" spans="5:12">
      <c r="E4936" s="49">
        <v>45065.826388872287</v>
      </c>
      <c r="F4936" s="56">
        <v>2.9090863104802049</v>
      </c>
      <c r="G4936" s="48"/>
      <c r="H4936" s="48"/>
      <c r="I4936" s="48"/>
      <c r="J4936" s="48"/>
      <c r="L4936" s="65"/>
    </row>
    <row r="4937" spans="5:12">
      <c r="E4937" s="49">
        <v>45065.829861094506</v>
      </c>
      <c r="F4937" s="56">
        <v>2.9090863104802049</v>
      </c>
      <c r="G4937" s="48"/>
      <c r="H4937" s="48"/>
      <c r="I4937" s="48"/>
      <c r="J4937" s="48"/>
      <c r="L4937" s="65"/>
    </row>
    <row r="4938" spans="5:12">
      <c r="E4938" s="49">
        <v>45065.833333316725</v>
      </c>
      <c r="F4938" s="56">
        <v>2.9090863104802049</v>
      </c>
      <c r="G4938" s="48"/>
      <c r="H4938" s="48"/>
      <c r="I4938" s="48"/>
      <c r="J4938" s="48"/>
      <c r="L4938" s="65"/>
    </row>
    <row r="4939" spans="5:12">
      <c r="E4939" s="49">
        <v>45065.836805538944</v>
      </c>
      <c r="F4939" s="56">
        <v>2.9090863104802049</v>
      </c>
      <c r="G4939" s="48"/>
      <c r="H4939" s="48"/>
      <c r="I4939" s="48"/>
      <c r="J4939" s="48"/>
      <c r="L4939" s="65"/>
    </row>
    <row r="4940" spans="5:12">
      <c r="E4940" s="49">
        <v>45065.840277761163</v>
      </c>
      <c r="F4940" s="56">
        <v>2.9090863104802049</v>
      </c>
      <c r="G4940" s="48"/>
      <c r="H4940" s="48"/>
      <c r="I4940" s="48"/>
      <c r="J4940" s="48"/>
      <c r="L4940" s="65"/>
    </row>
    <row r="4941" spans="5:12">
      <c r="E4941" s="49">
        <v>45065.843749983382</v>
      </c>
      <c r="F4941" s="56">
        <v>2.9090863104802049</v>
      </c>
      <c r="G4941" s="48"/>
      <c r="H4941" s="48"/>
      <c r="I4941" s="48"/>
      <c r="J4941" s="48"/>
      <c r="L4941" s="65"/>
    </row>
    <row r="4942" spans="5:12">
      <c r="E4942" s="49">
        <v>45065.847222205601</v>
      </c>
      <c r="F4942" s="56">
        <v>2.9090863104802049</v>
      </c>
      <c r="G4942" s="48"/>
      <c r="H4942" s="48"/>
      <c r="I4942" s="48"/>
      <c r="J4942" s="48"/>
      <c r="L4942" s="65"/>
    </row>
    <row r="4943" spans="5:12">
      <c r="E4943" s="49">
        <v>45065.85069442782</v>
      </c>
      <c r="F4943" s="56">
        <v>2.9090863104802049</v>
      </c>
      <c r="G4943" s="48"/>
      <c r="H4943" s="48"/>
      <c r="I4943" s="48"/>
      <c r="J4943" s="48"/>
      <c r="L4943" s="65"/>
    </row>
    <row r="4944" spans="5:12">
      <c r="E4944" s="49">
        <v>45065.854166650039</v>
      </c>
      <c r="F4944" s="56">
        <v>2.9090863104802049</v>
      </c>
      <c r="G4944" s="48"/>
      <c r="H4944" s="48"/>
      <c r="I4944" s="48"/>
      <c r="J4944" s="48"/>
      <c r="L4944" s="65"/>
    </row>
    <row r="4945" spans="5:12">
      <c r="E4945" s="49">
        <v>45065.857638872258</v>
      </c>
      <c r="F4945" s="56">
        <v>2.9090863104802049</v>
      </c>
      <c r="G4945" s="48"/>
      <c r="H4945" s="48"/>
      <c r="I4945" s="48"/>
      <c r="J4945" s="48"/>
      <c r="L4945" s="65"/>
    </row>
    <row r="4946" spans="5:12">
      <c r="E4946" s="49">
        <v>45065.861111094477</v>
      </c>
      <c r="F4946" s="56">
        <v>2.9090863104802049</v>
      </c>
      <c r="G4946" s="48"/>
      <c r="H4946" s="48"/>
      <c r="I4946" s="48"/>
      <c r="J4946" s="48"/>
      <c r="L4946" s="65"/>
    </row>
    <row r="4947" spans="5:12">
      <c r="E4947" s="49">
        <v>45065.864583316696</v>
      </c>
      <c r="F4947" s="56">
        <v>2.9090863104802049</v>
      </c>
      <c r="G4947" s="48"/>
      <c r="H4947" s="48"/>
      <c r="I4947" s="48"/>
      <c r="J4947" s="48"/>
      <c r="L4947" s="65"/>
    </row>
    <row r="4948" spans="5:12">
      <c r="E4948" s="49">
        <v>45065.868055538915</v>
      </c>
      <c r="F4948" s="56">
        <v>2.9090863104802049</v>
      </c>
      <c r="G4948" s="48"/>
      <c r="H4948" s="48"/>
      <c r="I4948" s="48"/>
      <c r="J4948" s="48"/>
      <c r="L4948" s="65"/>
    </row>
    <row r="4949" spans="5:12">
      <c r="E4949" s="49">
        <v>45065.871527761134</v>
      </c>
      <c r="F4949" s="56">
        <v>2.9090863104802049</v>
      </c>
      <c r="G4949" s="48"/>
      <c r="H4949" s="48"/>
      <c r="I4949" s="48"/>
      <c r="J4949" s="48"/>
      <c r="L4949" s="65"/>
    </row>
    <row r="4950" spans="5:12">
      <c r="E4950" s="49">
        <v>45065.874999983353</v>
      </c>
      <c r="F4950" s="56">
        <v>2.9090863104802049</v>
      </c>
      <c r="G4950" s="48"/>
      <c r="H4950" s="48"/>
      <c r="I4950" s="48"/>
      <c r="J4950" s="48"/>
      <c r="L4950" s="65"/>
    </row>
    <row r="4951" spans="5:12">
      <c r="E4951" s="49">
        <v>45065.878472205572</v>
      </c>
      <c r="F4951" s="56">
        <v>2.9090863104802049</v>
      </c>
      <c r="G4951" s="48"/>
      <c r="H4951" s="48"/>
      <c r="I4951" s="48"/>
      <c r="J4951" s="48"/>
      <c r="L4951" s="65"/>
    </row>
    <row r="4952" spans="5:12">
      <c r="E4952" s="49">
        <v>45065.881944427791</v>
      </c>
      <c r="F4952" s="56">
        <v>2.9090863104802049</v>
      </c>
      <c r="G4952" s="48"/>
      <c r="H4952" s="48"/>
      <c r="I4952" s="48"/>
      <c r="J4952" s="48"/>
      <c r="L4952" s="65"/>
    </row>
    <row r="4953" spans="5:12">
      <c r="E4953" s="49">
        <v>45065.88541665001</v>
      </c>
      <c r="F4953" s="56">
        <v>2.9090863104802049</v>
      </c>
      <c r="G4953" s="48"/>
      <c r="H4953" s="48"/>
      <c r="I4953" s="48"/>
      <c r="J4953" s="48"/>
      <c r="L4953" s="65"/>
    </row>
    <row r="4954" spans="5:12">
      <c r="E4954" s="49">
        <v>45065.888888872229</v>
      </c>
      <c r="F4954" s="56">
        <v>2.9090863104802049</v>
      </c>
      <c r="G4954" s="48"/>
      <c r="H4954" s="48"/>
      <c r="I4954" s="48"/>
      <c r="J4954" s="48"/>
      <c r="L4954" s="65"/>
    </row>
    <row r="4955" spans="5:12">
      <c r="E4955" s="49">
        <v>45065.892361094448</v>
      </c>
      <c r="F4955" s="56">
        <v>2.9090863104802049</v>
      </c>
      <c r="G4955" s="48"/>
      <c r="H4955" s="48"/>
      <c r="I4955" s="48"/>
      <c r="J4955" s="48"/>
      <c r="L4955" s="65"/>
    </row>
    <row r="4956" spans="5:12">
      <c r="E4956" s="49">
        <v>45065.895833316667</v>
      </c>
      <c r="F4956" s="56">
        <v>2.9090863104802049</v>
      </c>
      <c r="G4956" s="48"/>
      <c r="H4956" s="48"/>
      <c r="I4956" s="48"/>
      <c r="J4956" s="48"/>
      <c r="L4956" s="65"/>
    </row>
    <row r="4957" spans="5:12">
      <c r="E4957" s="49">
        <v>45065.899305538886</v>
      </c>
      <c r="F4957" s="56">
        <v>2.9090863104802049</v>
      </c>
      <c r="G4957" s="48"/>
      <c r="H4957" s="48"/>
      <c r="I4957" s="48"/>
      <c r="J4957" s="48"/>
      <c r="L4957" s="65"/>
    </row>
    <row r="4958" spans="5:12">
      <c r="E4958" s="49">
        <v>45065.902777761105</v>
      </c>
      <c r="F4958" s="56">
        <v>2.9090863104802049</v>
      </c>
      <c r="G4958" s="48"/>
      <c r="H4958" s="48"/>
      <c r="I4958" s="48"/>
      <c r="J4958" s="48"/>
      <c r="L4958" s="65"/>
    </row>
    <row r="4959" spans="5:12">
      <c r="E4959" s="49">
        <v>45065.906249983324</v>
      </c>
      <c r="F4959" s="56">
        <v>2.9090863104802049</v>
      </c>
      <c r="G4959" s="48"/>
      <c r="H4959" s="48"/>
      <c r="I4959" s="48"/>
      <c r="J4959" s="48"/>
      <c r="L4959" s="65"/>
    </row>
    <row r="4960" spans="5:12">
      <c r="E4960" s="49">
        <v>45065.909722205542</v>
      </c>
      <c r="F4960" s="56">
        <v>2.9090863104802049</v>
      </c>
      <c r="G4960" s="48"/>
      <c r="H4960" s="48"/>
      <c r="I4960" s="48"/>
      <c r="J4960" s="48"/>
      <c r="L4960" s="65"/>
    </row>
    <row r="4961" spans="5:12">
      <c r="E4961" s="49">
        <v>45065.913194427761</v>
      </c>
      <c r="F4961" s="56">
        <v>2.9090863104802049</v>
      </c>
      <c r="G4961" s="48"/>
      <c r="H4961" s="48"/>
      <c r="I4961" s="48"/>
      <c r="J4961" s="48"/>
      <c r="L4961" s="65"/>
    </row>
    <row r="4962" spans="5:12">
      <c r="E4962" s="49">
        <v>45065.91666664998</v>
      </c>
      <c r="F4962" s="56">
        <v>2.9090863104802049</v>
      </c>
      <c r="G4962" s="48"/>
      <c r="H4962" s="48"/>
      <c r="I4962" s="48"/>
      <c r="J4962" s="48"/>
      <c r="L4962" s="65"/>
    </row>
    <row r="4963" spans="5:12">
      <c r="E4963" s="49">
        <v>45065.920138872199</v>
      </c>
      <c r="F4963" s="56">
        <v>2.9090863104802049</v>
      </c>
      <c r="G4963" s="48"/>
      <c r="H4963" s="48"/>
      <c r="I4963" s="48"/>
      <c r="J4963" s="48"/>
      <c r="L4963" s="65"/>
    </row>
    <row r="4964" spans="5:12">
      <c r="E4964" s="49">
        <v>45065.923611094418</v>
      </c>
      <c r="F4964" s="56">
        <v>2.9090863104802049</v>
      </c>
      <c r="G4964" s="48"/>
      <c r="H4964" s="48"/>
      <c r="I4964" s="48"/>
      <c r="J4964" s="48"/>
      <c r="L4964" s="65"/>
    </row>
    <row r="4965" spans="5:12">
      <c r="E4965" s="49">
        <v>45065.927083316637</v>
      </c>
      <c r="F4965" s="56">
        <v>2.9090863104802049</v>
      </c>
      <c r="G4965" s="48"/>
      <c r="H4965" s="48"/>
      <c r="I4965" s="48"/>
      <c r="J4965" s="48"/>
      <c r="L4965" s="65"/>
    </row>
    <row r="4966" spans="5:12">
      <c r="E4966" s="49">
        <v>45065.930555538856</v>
      </c>
      <c r="F4966" s="56">
        <v>2.9090863104802049</v>
      </c>
      <c r="G4966" s="48"/>
      <c r="H4966" s="48"/>
      <c r="I4966" s="48"/>
      <c r="J4966" s="48"/>
      <c r="L4966" s="65"/>
    </row>
    <row r="4967" spans="5:12">
      <c r="E4967" s="49">
        <v>45065.934027761075</v>
      </c>
      <c r="F4967" s="56">
        <v>2.9090863104802049</v>
      </c>
      <c r="G4967" s="48"/>
      <c r="H4967" s="48"/>
      <c r="I4967" s="48"/>
      <c r="J4967" s="48"/>
      <c r="L4967" s="65"/>
    </row>
    <row r="4968" spans="5:12">
      <c r="E4968" s="49">
        <v>45065.937499983294</v>
      </c>
      <c r="F4968" s="56">
        <v>2.9090863104802049</v>
      </c>
      <c r="G4968" s="48"/>
      <c r="H4968" s="48"/>
      <c r="I4968" s="48"/>
      <c r="J4968" s="48"/>
      <c r="L4968" s="65"/>
    </row>
    <row r="4969" spans="5:12">
      <c r="E4969" s="49">
        <v>45065.940972205513</v>
      </c>
      <c r="F4969" s="56">
        <v>2.9090863104802049</v>
      </c>
      <c r="G4969" s="48"/>
      <c r="H4969" s="48"/>
      <c r="I4969" s="48"/>
      <c r="J4969" s="48"/>
      <c r="L4969" s="65"/>
    </row>
    <row r="4970" spans="5:12">
      <c r="E4970" s="49">
        <v>45065.944444427732</v>
      </c>
      <c r="F4970" s="56">
        <v>2.9090863104802049</v>
      </c>
      <c r="G4970" s="48"/>
      <c r="H4970" s="48"/>
      <c r="I4970" s="48"/>
      <c r="J4970" s="48"/>
      <c r="L4970" s="65"/>
    </row>
    <row r="4971" spans="5:12">
      <c r="E4971" s="49">
        <v>45065.947916649951</v>
      </c>
      <c r="F4971" s="56">
        <v>2.9090863104802049</v>
      </c>
      <c r="G4971" s="48"/>
      <c r="H4971" s="48"/>
      <c r="I4971" s="48"/>
      <c r="J4971" s="48"/>
      <c r="L4971" s="65"/>
    </row>
    <row r="4972" spans="5:12">
      <c r="E4972" s="49">
        <v>45065.95138887217</v>
      </c>
      <c r="F4972" s="56">
        <v>2.9090863104802049</v>
      </c>
      <c r="G4972" s="48"/>
      <c r="H4972" s="48"/>
      <c r="I4972" s="48"/>
      <c r="J4972" s="48"/>
      <c r="L4972" s="65"/>
    </row>
    <row r="4973" spans="5:12">
      <c r="E4973" s="49">
        <v>45065.954861094389</v>
      </c>
      <c r="F4973" s="56">
        <v>2.9090863104802049</v>
      </c>
      <c r="G4973" s="48"/>
      <c r="H4973" s="48"/>
      <c r="I4973" s="48"/>
      <c r="J4973" s="48"/>
      <c r="L4973" s="65"/>
    </row>
    <row r="4974" spans="5:12">
      <c r="E4974" s="49">
        <v>45065.958333316608</v>
      </c>
      <c r="F4974" s="56">
        <v>2.9090863104802049</v>
      </c>
      <c r="G4974" s="48"/>
      <c r="H4974" s="48"/>
      <c r="I4974" s="48"/>
      <c r="J4974" s="48"/>
      <c r="L4974" s="65"/>
    </row>
    <row r="4975" spans="5:12">
      <c r="E4975" s="49">
        <v>45065.961805538827</v>
      </c>
      <c r="F4975" s="56">
        <v>2.9090863104802049</v>
      </c>
      <c r="G4975" s="48"/>
      <c r="H4975" s="48"/>
      <c r="I4975" s="48"/>
      <c r="J4975" s="48"/>
      <c r="L4975" s="65"/>
    </row>
    <row r="4976" spans="5:12">
      <c r="E4976" s="49">
        <v>45065.965277761046</v>
      </c>
      <c r="F4976" s="56">
        <v>2.9090863104802049</v>
      </c>
      <c r="G4976" s="48"/>
      <c r="H4976" s="48"/>
      <c r="I4976" s="48"/>
      <c r="J4976" s="48"/>
      <c r="L4976" s="65"/>
    </row>
    <row r="4977" spans="5:12">
      <c r="E4977" s="49">
        <v>45065.968749983265</v>
      </c>
      <c r="F4977" s="56">
        <v>2.9090863104802049</v>
      </c>
      <c r="G4977" s="48"/>
      <c r="H4977" s="48"/>
      <c r="I4977" s="48"/>
      <c r="J4977" s="48"/>
      <c r="L4977" s="65"/>
    </row>
    <row r="4978" spans="5:12">
      <c r="E4978" s="49">
        <v>45065.972222205484</v>
      </c>
      <c r="F4978" s="56">
        <v>2.9090863104802049</v>
      </c>
      <c r="G4978" s="48"/>
      <c r="H4978" s="48"/>
      <c r="I4978" s="48"/>
      <c r="J4978" s="48"/>
      <c r="L4978" s="65"/>
    </row>
    <row r="4979" spans="5:12">
      <c r="E4979" s="49">
        <v>45065.975694427703</v>
      </c>
      <c r="F4979" s="56">
        <v>2.9090863104802049</v>
      </c>
      <c r="G4979" s="48"/>
      <c r="H4979" s="48"/>
      <c r="I4979" s="48"/>
      <c r="J4979" s="48"/>
      <c r="L4979" s="65"/>
    </row>
    <row r="4980" spans="5:12">
      <c r="E4980" s="49">
        <v>45065.979166649922</v>
      </c>
      <c r="F4980" s="56">
        <v>2.9090863104802049</v>
      </c>
      <c r="G4980" s="48"/>
      <c r="H4980" s="48"/>
      <c r="I4980" s="48"/>
      <c r="J4980" s="48"/>
      <c r="L4980" s="65"/>
    </row>
    <row r="4981" spans="5:12">
      <c r="E4981" s="49">
        <v>45065.982638872141</v>
      </c>
      <c r="F4981" s="56">
        <v>2.9090863104802049</v>
      </c>
      <c r="G4981" s="48"/>
      <c r="H4981" s="48"/>
      <c r="I4981" s="48"/>
      <c r="J4981" s="48"/>
      <c r="L4981" s="65"/>
    </row>
    <row r="4982" spans="5:12">
      <c r="E4982" s="49">
        <v>45065.98611109436</v>
      </c>
      <c r="F4982" s="56">
        <v>2.9090863104802049</v>
      </c>
      <c r="G4982" s="48"/>
      <c r="H4982" s="48"/>
      <c r="I4982" s="48"/>
      <c r="J4982" s="48"/>
      <c r="L4982" s="65"/>
    </row>
    <row r="4983" spans="5:12">
      <c r="E4983" s="49">
        <v>45065.989583316579</v>
      </c>
      <c r="F4983" s="56">
        <v>2.9090863104802049</v>
      </c>
      <c r="G4983" s="48"/>
      <c r="H4983" s="48"/>
      <c r="I4983" s="48"/>
      <c r="J4983" s="48"/>
      <c r="L4983" s="65"/>
    </row>
    <row r="4984" spans="5:12">
      <c r="E4984" s="49">
        <v>45065.993055538798</v>
      </c>
      <c r="F4984" s="56">
        <v>2.9090863104802049</v>
      </c>
      <c r="G4984" s="48"/>
      <c r="H4984" s="48"/>
      <c r="I4984" s="48"/>
      <c r="J4984" s="48"/>
      <c r="L4984" s="65"/>
    </row>
    <row r="4985" spans="5:12">
      <c r="E4985" s="49">
        <v>45065.996527761017</v>
      </c>
      <c r="F4985" s="56">
        <v>2.9090863104802049</v>
      </c>
      <c r="G4985" s="48"/>
      <c r="H4985" s="48"/>
      <c r="I4985" s="48"/>
      <c r="J4985" s="48"/>
      <c r="L4985" s="65"/>
    </row>
    <row r="4986" spans="5:12">
      <c r="E4986" s="49">
        <v>45065.999999983236</v>
      </c>
      <c r="F4986" s="56">
        <v>2.9090863104802049</v>
      </c>
      <c r="G4986" s="48"/>
      <c r="H4986" s="48"/>
      <c r="I4986" s="48"/>
      <c r="J4986" s="48"/>
      <c r="L4986" s="65"/>
    </row>
    <row r="4987" spans="5:12">
      <c r="E4987" s="49">
        <v>45066.003472205455</v>
      </c>
      <c r="F4987" s="56">
        <v>2.9090863104802049</v>
      </c>
      <c r="G4987" s="48"/>
      <c r="H4987" s="48"/>
      <c r="I4987" s="48"/>
      <c r="J4987" s="48"/>
      <c r="L4987" s="65"/>
    </row>
    <row r="4988" spans="5:12">
      <c r="E4988" s="49">
        <v>45066.006944427674</v>
      </c>
      <c r="F4988" s="56">
        <v>2.9090863104802049</v>
      </c>
      <c r="G4988" s="48"/>
      <c r="H4988" s="48"/>
      <c r="I4988" s="48"/>
      <c r="J4988" s="48"/>
      <c r="L4988" s="65"/>
    </row>
    <row r="4989" spans="5:12">
      <c r="E4989" s="49">
        <v>45066.010416649893</v>
      </c>
      <c r="F4989" s="56">
        <v>2.9090863104802049</v>
      </c>
      <c r="G4989" s="48"/>
      <c r="H4989" s="48"/>
      <c r="I4989" s="48"/>
      <c r="J4989" s="48"/>
      <c r="L4989" s="65"/>
    </row>
    <row r="4990" spans="5:12">
      <c r="E4990" s="49">
        <v>45066.013888872112</v>
      </c>
      <c r="F4990" s="56">
        <v>2.9090863104802049</v>
      </c>
      <c r="G4990" s="48"/>
      <c r="H4990" s="48"/>
      <c r="I4990" s="48"/>
      <c r="J4990" s="48"/>
      <c r="L4990" s="65"/>
    </row>
    <row r="4991" spans="5:12">
      <c r="E4991" s="49">
        <v>45066.017361094331</v>
      </c>
      <c r="F4991" s="56">
        <v>2.9090863104802049</v>
      </c>
      <c r="G4991" s="48"/>
      <c r="H4991" s="48"/>
      <c r="I4991" s="48"/>
      <c r="J4991" s="48"/>
      <c r="L4991" s="65"/>
    </row>
    <row r="4992" spans="5:12">
      <c r="E4992" s="49">
        <v>45066.02083331655</v>
      </c>
      <c r="F4992" s="56">
        <v>2.9090863104802049</v>
      </c>
      <c r="G4992" s="48"/>
      <c r="H4992" s="48"/>
      <c r="I4992" s="48"/>
      <c r="J4992" s="48"/>
      <c r="L4992" s="65"/>
    </row>
    <row r="4993" spans="5:12">
      <c r="E4993" s="49">
        <v>45066.024305538769</v>
      </c>
      <c r="F4993" s="56">
        <v>2.9090863104802049</v>
      </c>
      <c r="G4993" s="48"/>
      <c r="H4993" s="48"/>
      <c r="I4993" s="48"/>
      <c r="J4993" s="48"/>
      <c r="L4993" s="65"/>
    </row>
    <row r="4994" spans="5:12">
      <c r="E4994" s="49">
        <v>45066.027777760988</v>
      </c>
      <c r="F4994" s="56">
        <v>2.9090863104802049</v>
      </c>
      <c r="G4994" s="48"/>
      <c r="H4994" s="48"/>
      <c r="I4994" s="48"/>
      <c r="J4994" s="48"/>
      <c r="L4994" s="65"/>
    </row>
    <row r="4995" spans="5:12">
      <c r="E4995" s="49">
        <v>45066.031249983207</v>
      </c>
      <c r="F4995" s="56">
        <v>2.9090863104802049</v>
      </c>
      <c r="G4995" s="48"/>
      <c r="H4995" s="48"/>
      <c r="I4995" s="48"/>
      <c r="J4995" s="48"/>
      <c r="L4995" s="65"/>
    </row>
    <row r="4996" spans="5:12">
      <c r="E4996" s="49">
        <v>45066.034722205426</v>
      </c>
      <c r="F4996" s="56">
        <v>2.9090863104802049</v>
      </c>
      <c r="G4996" s="48"/>
      <c r="H4996" s="48"/>
      <c r="I4996" s="48"/>
      <c r="J4996" s="48"/>
      <c r="L4996" s="65"/>
    </row>
    <row r="4997" spans="5:12">
      <c r="E4997" s="49">
        <v>45066.038194427645</v>
      </c>
      <c r="F4997" s="56">
        <v>2.9090863104802049</v>
      </c>
      <c r="G4997" s="48"/>
      <c r="H4997" s="48"/>
      <c r="I4997" s="48"/>
      <c r="J4997" s="48"/>
      <c r="L4997" s="65"/>
    </row>
    <row r="4998" spans="5:12">
      <c r="E4998" s="49">
        <v>45066.041666649864</v>
      </c>
      <c r="F4998" s="56">
        <v>2.9090863104802049</v>
      </c>
      <c r="G4998" s="48"/>
      <c r="H4998" s="48"/>
      <c r="I4998" s="48"/>
      <c r="J4998" s="48"/>
      <c r="L4998" s="65"/>
    </row>
    <row r="4999" spans="5:12">
      <c r="E4999" s="49">
        <v>45066.045138872083</v>
      </c>
      <c r="F4999" s="56">
        <v>2.9090863104802049</v>
      </c>
      <c r="G4999" s="48"/>
      <c r="H4999" s="48"/>
      <c r="I4999" s="48"/>
      <c r="J4999" s="48"/>
      <c r="L4999" s="65"/>
    </row>
    <row r="5000" spans="5:12">
      <c r="E5000" s="49">
        <v>45066.048611094302</v>
      </c>
      <c r="F5000" s="56">
        <v>2.9090863104802049</v>
      </c>
      <c r="G5000" s="48"/>
      <c r="H5000" s="48"/>
      <c r="I5000" s="48"/>
      <c r="J5000" s="48"/>
      <c r="L5000" s="65"/>
    </row>
    <row r="5001" spans="5:12">
      <c r="E5001" s="49">
        <v>45066.052083316521</v>
      </c>
      <c r="F5001" s="56">
        <v>2.9090863104802049</v>
      </c>
      <c r="G5001" s="48"/>
      <c r="H5001" s="48"/>
      <c r="I5001" s="48"/>
      <c r="J5001" s="48"/>
      <c r="L5001" s="65"/>
    </row>
    <row r="5002" spans="5:12">
      <c r="E5002" s="49">
        <v>45066.05555553874</v>
      </c>
      <c r="F5002" s="56">
        <v>2.9090863104802049</v>
      </c>
      <c r="G5002" s="48"/>
      <c r="H5002" s="48"/>
      <c r="I5002" s="48"/>
      <c r="J5002" s="48"/>
      <c r="L5002" s="65"/>
    </row>
    <row r="5003" spans="5:12">
      <c r="E5003" s="49">
        <v>45066.059027760959</v>
      </c>
      <c r="F5003" s="56">
        <v>2.9090863104802049</v>
      </c>
      <c r="G5003" s="48"/>
      <c r="H5003" s="48"/>
      <c r="I5003" s="48"/>
      <c r="J5003" s="48"/>
      <c r="L5003" s="65"/>
    </row>
    <row r="5004" spans="5:12">
      <c r="E5004" s="49">
        <v>45066.062499983178</v>
      </c>
      <c r="F5004" s="56">
        <v>2.9090863104802049</v>
      </c>
      <c r="G5004" s="48"/>
      <c r="H5004" s="48"/>
      <c r="I5004" s="48"/>
      <c r="J5004" s="48"/>
      <c r="L5004" s="65"/>
    </row>
    <row r="5005" spans="5:12">
      <c r="E5005" s="49">
        <v>45066.065972205397</v>
      </c>
      <c r="F5005" s="56">
        <v>2.9090863104802049</v>
      </c>
      <c r="G5005" s="48"/>
      <c r="H5005" s="48"/>
      <c r="I5005" s="48"/>
      <c r="J5005" s="48"/>
      <c r="L5005" s="65"/>
    </row>
    <row r="5006" spans="5:12">
      <c r="E5006" s="49">
        <v>45066.069444427616</v>
      </c>
      <c r="F5006" s="56">
        <v>2.9090863104802049</v>
      </c>
      <c r="G5006" s="48"/>
      <c r="H5006" s="48"/>
      <c r="I5006" s="48"/>
      <c r="J5006" s="48"/>
      <c r="L5006" s="65"/>
    </row>
    <row r="5007" spans="5:12">
      <c r="E5007" s="49">
        <v>45066.072916649835</v>
      </c>
      <c r="F5007" s="56">
        <v>2.9090863104802049</v>
      </c>
      <c r="G5007" s="48"/>
      <c r="H5007" s="48"/>
      <c r="I5007" s="48"/>
      <c r="J5007" s="48"/>
      <c r="L5007" s="65"/>
    </row>
    <row r="5008" spans="5:12">
      <c r="E5008" s="49">
        <v>45066.076388872054</v>
      </c>
      <c r="F5008" s="56">
        <v>2.9090863104802049</v>
      </c>
      <c r="G5008" s="48"/>
      <c r="H5008" s="48"/>
      <c r="I5008" s="48"/>
      <c r="J5008" s="48"/>
      <c r="L5008" s="65"/>
    </row>
    <row r="5009" spans="5:12">
      <c r="E5009" s="49">
        <v>45066.079861094273</v>
      </c>
      <c r="F5009" s="56">
        <v>2.9090863104802049</v>
      </c>
      <c r="G5009" s="48"/>
      <c r="H5009" s="48"/>
      <c r="I5009" s="48"/>
      <c r="J5009" s="48"/>
      <c r="L5009" s="65"/>
    </row>
    <row r="5010" spans="5:12">
      <c r="E5010" s="49">
        <v>45066.083333316492</v>
      </c>
      <c r="F5010" s="56">
        <v>2.9090863104802049</v>
      </c>
      <c r="G5010" s="48"/>
      <c r="H5010" s="48"/>
      <c r="I5010" s="48"/>
      <c r="J5010" s="48"/>
      <c r="L5010" s="65"/>
    </row>
    <row r="5011" spans="5:12">
      <c r="E5011" s="49">
        <v>45066.086805538711</v>
      </c>
      <c r="F5011" s="56">
        <v>2.9090863104802049</v>
      </c>
      <c r="G5011" s="48"/>
      <c r="H5011" s="48"/>
      <c r="I5011" s="48"/>
      <c r="J5011" s="48"/>
      <c r="L5011" s="65"/>
    </row>
    <row r="5012" spans="5:12">
      <c r="E5012" s="49">
        <v>45066.09027776093</v>
      </c>
      <c r="F5012" s="56">
        <v>2.9090863104802049</v>
      </c>
      <c r="G5012" s="48"/>
      <c r="H5012" s="48"/>
      <c r="I5012" s="48"/>
      <c r="J5012" s="48"/>
      <c r="L5012" s="65"/>
    </row>
    <row r="5013" spans="5:12">
      <c r="E5013" s="49">
        <v>45066.093749983149</v>
      </c>
      <c r="F5013" s="56">
        <v>2.9090863104802049</v>
      </c>
      <c r="G5013" s="48"/>
      <c r="H5013" s="48"/>
      <c r="I5013" s="48"/>
      <c r="J5013" s="48"/>
      <c r="L5013" s="65"/>
    </row>
    <row r="5014" spans="5:12">
      <c r="E5014" s="49">
        <v>45066.097222205368</v>
      </c>
      <c r="F5014" s="56">
        <v>2.9090863104802049</v>
      </c>
      <c r="G5014" s="48"/>
      <c r="H5014" s="48"/>
      <c r="I5014" s="48"/>
      <c r="J5014" s="48"/>
      <c r="L5014" s="65"/>
    </row>
    <row r="5015" spans="5:12">
      <c r="E5015" s="49">
        <v>45066.100694427587</v>
      </c>
      <c r="F5015" s="56">
        <v>2.9090863104802049</v>
      </c>
      <c r="G5015" s="48"/>
      <c r="H5015" s="48"/>
      <c r="I5015" s="48"/>
      <c r="J5015" s="48"/>
      <c r="L5015" s="65"/>
    </row>
    <row r="5016" spans="5:12">
      <c r="E5016" s="49">
        <v>45066.104166649806</v>
      </c>
      <c r="F5016" s="56">
        <v>2.9090863104802049</v>
      </c>
      <c r="G5016" s="48"/>
      <c r="H5016" s="48"/>
      <c r="I5016" s="48"/>
      <c r="J5016" s="48"/>
      <c r="L5016" s="65"/>
    </row>
    <row r="5017" spans="5:12">
      <c r="E5017" s="49">
        <v>45066.107638872025</v>
      </c>
      <c r="F5017" s="56">
        <v>2.9090863104802049</v>
      </c>
      <c r="G5017" s="48"/>
      <c r="H5017" s="48"/>
      <c r="I5017" s="48"/>
      <c r="J5017" s="48"/>
      <c r="L5017" s="65"/>
    </row>
    <row r="5018" spans="5:12">
      <c r="E5018" s="49">
        <v>45066.111111094244</v>
      </c>
      <c r="F5018" s="56">
        <v>2.9090863104802049</v>
      </c>
      <c r="G5018" s="48"/>
      <c r="H5018" s="48"/>
      <c r="I5018" s="48"/>
      <c r="J5018" s="48"/>
      <c r="L5018" s="65"/>
    </row>
    <row r="5019" spans="5:12">
      <c r="E5019" s="49">
        <v>45066.114583316463</v>
      </c>
      <c r="F5019" s="56">
        <v>2.9090863104802049</v>
      </c>
      <c r="G5019" s="48"/>
      <c r="H5019" s="48"/>
      <c r="I5019" s="48"/>
      <c r="J5019" s="48"/>
      <c r="L5019" s="65"/>
    </row>
    <row r="5020" spans="5:12">
      <c r="E5020" s="49">
        <v>45066.118055538682</v>
      </c>
      <c r="F5020" s="56">
        <v>2.9090863104802049</v>
      </c>
      <c r="G5020" s="48"/>
      <c r="H5020" s="48"/>
      <c r="I5020" s="48"/>
      <c r="J5020" s="48"/>
      <c r="L5020" s="65"/>
    </row>
    <row r="5021" spans="5:12">
      <c r="E5021" s="49">
        <v>45066.121527760901</v>
      </c>
      <c r="F5021" s="56">
        <v>2.9090863104802049</v>
      </c>
      <c r="G5021" s="48"/>
      <c r="H5021" s="48"/>
      <c r="I5021" s="48"/>
      <c r="J5021" s="48"/>
      <c r="L5021" s="65"/>
    </row>
    <row r="5022" spans="5:12">
      <c r="E5022" s="49">
        <v>45066.12499998312</v>
      </c>
      <c r="F5022" s="56">
        <v>2.9090863104802049</v>
      </c>
      <c r="G5022" s="48"/>
      <c r="H5022" s="48"/>
      <c r="I5022" s="48"/>
      <c r="J5022" s="48"/>
      <c r="L5022" s="65"/>
    </row>
    <row r="5023" spans="5:12">
      <c r="E5023" s="49">
        <v>45066.128472205339</v>
      </c>
      <c r="F5023" s="56">
        <v>2.9090863104802049</v>
      </c>
      <c r="G5023" s="48"/>
      <c r="H5023" s="48"/>
      <c r="I5023" s="48"/>
      <c r="J5023" s="48"/>
      <c r="L5023" s="65"/>
    </row>
    <row r="5024" spans="5:12">
      <c r="E5024" s="49">
        <v>45066.131944427558</v>
      </c>
      <c r="F5024" s="56">
        <v>2.9090863104802049</v>
      </c>
      <c r="G5024" s="48"/>
      <c r="H5024" s="48"/>
      <c r="I5024" s="48"/>
      <c r="J5024" s="48"/>
      <c r="L5024" s="65"/>
    </row>
    <row r="5025" spans="5:12">
      <c r="E5025" s="49">
        <v>45066.135416649777</v>
      </c>
      <c r="F5025" s="56">
        <v>2.9090863104802049</v>
      </c>
      <c r="G5025" s="48"/>
      <c r="H5025" s="48"/>
      <c r="I5025" s="48"/>
      <c r="J5025" s="48"/>
      <c r="L5025" s="65"/>
    </row>
    <row r="5026" spans="5:12">
      <c r="E5026" s="49">
        <v>45066.138888871996</v>
      </c>
      <c r="F5026" s="56">
        <v>2.9090863104802049</v>
      </c>
      <c r="G5026" s="48"/>
      <c r="H5026" s="48"/>
      <c r="I5026" s="48"/>
      <c r="J5026" s="48"/>
      <c r="L5026" s="65"/>
    </row>
    <row r="5027" spans="5:12">
      <c r="E5027" s="49">
        <v>45066.142361094215</v>
      </c>
      <c r="F5027" s="56">
        <v>2.9090863104802049</v>
      </c>
      <c r="G5027" s="48"/>
      <c r="H5027" s="48"/>
      <c r="I5027" s="48"/>
      <c r="J5027" s="48"/>
      <c r="L5027" s="65"/>
    </row>
    <row r="5028" spans="5:12">
      <c r="E5028" s="49">
        <v>45066.145833316434</v>
      </c>
      <c r="F5028" s="56">
        <v>2.9090863104802049</v>
      </c>
      <c r="G5028" s="48"/>
      <c r="H5028" s="48"/>
      <c r="I5028" s="48"/>
      <c r="J5028" s="48"/>
      <c r="L5028" s="65"/>
    </row>
    <row r="5029" spans="5:12">
      <c r="E5029" s="49">
        <v>45066.149305538653</v>
      </c>
      <c r="F5029" s="56">
        <v>2.9090863104802049</v>
      </c>
      <c r="G5029" s="48"/>
      <c r="H5029" s="48"/>
      <c r="I5029" s="48"/>
      <c r="J5029" s="48"/>
      <c r="L5029" s="65"/>
    </row>
    <row r="5030" spans="5:12">
      <c r="E5030" s="49">
        <v>45066.152777760872</v>
      </c>
      <c r="F5030" s="56">
        <v>2.9090863104802049</v>
      </c>
      <c r="G5030" s="48"/>
      <c r="H5030" s="48"/>
      <c r="I5030" s="48"/>
      <c r="J5030" s="48"/>
      <c r="L5030" s="65"/>
    </row>
    <row r="5031" spans="5:12">
      <c r="E5031" s="49">
        <v>45066.156249983091</v>
      </c>
      <c r="F5031" s="56">
        <v>2.9090863104802049</v>
      </c>
      <c r="G5031" s="48"/>
      <c r="H5031" s="48"/>
      <c r="I5031" s="48"/>
      <c r="J5031" s="48"/>
      <c r="L5031" s="65"/>
    </row>
    <row r="5032" spans="5:12">
      <c r="E5032" s="49">
        <v>45066.15972220531</v>
      </c>
      <c r="F5032" s="56">
        <v>2.9090863104802049</v>
      </c>
      <c r="G5032" s="48"/>
      <c r="H5032" s="48"/>
      <c r="I5032" s="48"/>
      <c r="J5032" s="48"/>
      <c r="L5032" s="65"/>
    </row>
    <row r="5033" spans="5:12">
      <c r="E5033" s="49">
        <v>45066.163194427529</v>
      </c>
      <c r="F5033" s="56">
        <v>2.9090863104802049</v>
      </c>
      <c r="G5033" s="48"/>
      <c r="H5033" s="48"/>
      <c r="I5033" s="48"/>
      <c r="J5033" s="48"/>
      <c r="L5033" s="65"/>
    </row>
    <row r="5034" spans="5:12">
      <c r="E5034" s="49">
        <v>45066.166666649748</v>
      </c>
      <c r="F5034" s="56">
        <v>2.9090863104802049</v>
      </c>
      <c r="G5034" s="48"/>
      <c r="H5034" s="48"/>
      <c r="I5034" s="48"/>
      <c r="J5034" s="48"/>
      <c r="L5034" s="65"/>
    </row>
    <row r="5035" spans="5:12">
      <c r="E5035" s="49">
        <v>45066.170138871967</v>
      </c>
      <c r="F5035" s="56">
        <v>2.9090863104802049</v>
      </c>
      <c r="G5035" s="48"/>
      <c r="H5035" s="48"/>
      <c r="I5035" s="48"/>
      <c r="J5035" s="48"/>
      <c r="L5035" s="65"/>
    </row>
    <row r="5036" spans="5:12">
      <c r="E5036" s="49">
        <v>45066.173611094186</v>
      </c>
      <c r="F5036" s="56">
        <v>2.9090863104802049</v>
      </c>
      <c r="G5036" s="48"/>
      <c r="H5036" s="48"/>
      <c r="I5036" s="48"/>
      <c r="J5036" s="48"/>
      <c r="L5036" s="65"/>
    </row>
    <row r="5037" spans="5:12">
      <c r="E5037" s="49">
        <v>45066.177083316405</v>
      </c>
      <c r="F5037" s="56">
        <v>2.9090863104802049</v>
      </c>
      <c r="G5037" s="48"/>
      <c r="H5037" s="48"/>
      <c r="I5037" s="48"/>
      <c r="J5037" s="48"/>
      <c r="L5037" s="65"/>
    </row>
    <row r="5038" spans="5:12">
      <c r="E5038" s="49">
        <v>45066.180555538624</v>
      </c>
      <c r="F5038" s="56">
        <v>2.9090863104802049</v>
      </c>
      <c r="G5038" s="48"/>
      <c r="H5038" s="48"/>
      <c r="I5038" s="48"/>
      <c r="J5038" s="48"/>
      <c r="L5038" s="65"/>
    </row>
    <row r="5039" spans="5:12">
      <c r="E5039" s="49">
        <v>45066.184027760843</v>
      </c>
      <c r="F5039" s="56">
        <v>2.9090863104802049</v>
      </c>
      <c r="G5039" s="48"/>
      <c r="H5039" s="48"/>
      <c r="I5039" s="48"/>
      <c r="J5039" s="48"/>
      <c r="L5039" s="65"/>
    </row>
    <row r="5040" spans="5:12">
      <c r="E5040" s="49">
        <v>45066.187499983062</v>
      </c>
      <c r="F5040" s="56">
        <v>2.9090863104802049</v>
      </c>
      <c r="G5040" s="48"/>
      <c r="H5040" s="48"/>
      <c r="I5040" s="48"/>
      <c r="J5040" s="48"/>
      <c r="L5040" s="65"/>
    </row>
    <row r="5041" spans="5:12">
      <c r="E5041" s="49">
        <v>45066.190972205281</v>
      </c>
      <c r="F5041" s="56">
        <v>2.9090863104802049</v>
      </c>
      <c r="G5041" s="48"/>
      <c r="H5041" s="48"/>
      <c r="I5041" s="48"/>
      <c r="J5041" s="48"/>
      <c r="L5041" s="65"/>
    </row>
    <row r="5042" spans="5:12">
      <c r="E5042" s="49">
        <v>45066.1944444275</v>
      </c>
      <c r="F5042" s="56">
        <v>2.9090863104802049</v>
      </c>
      <c r="G5042" s="48"/>
      <c r="H5042" s="48"/>
      <c r="I5042" s="48"/>
      <c r="J5042" s="48"/>
      <c r="L5042" s="65"/>
    </row>
    <row r="5043" spans="5:12">
      <c r="E5043" s="49">
        <v>45066.197916649719</v>
      </c>
      <c r="F5043" s="56">
        <v>2.9090863104802049</v>
      </c>
      <c r="G5043" s="48"/>
      <c r="H5043" s="48"/>
      <c r="I5043" s="48"/>
      <c r="J5043" s="48"/>
      <c r="L5043" s="65"/>
    </row>
    <row r="5044" spans="5:12">
      <c r="E5044" s="49">
        <v>45066.201388871938</v>
      </c>
      <c r="F5044" s="56">
        <v>2.9090863104802049</v>
      </c>
      <c r="G5044" s="48"/>
      <c r="H5044" s="48"/>
      <c r="I5044" s="48"/>
      <c r="J5044" s="48"/>
      <c r="L5044" s="65"/>
    </row>
    <row r="5045" spans="5:12">
      <c r="E5045" s="49">
        <v>45066.204861094157</v>
      </c>
      <c r="F5045" s="56">
        <v>2.9090863104802049</v>
      </c>
      <c r="G5045" s="48"/>
      <c r="H5045" s="48"/>
      <c r="I5045" s="48"/>
      <c r="J5045" s="48"/>
      <c r="L5045" s="65"/>
    </row>
    <row r="5046" spans="5:12">
      <c r="E5046" s="49">
        <v>45066.208333316376</v>
      </c>
      <c r="F5046" s="56">
        <v>2.9090863104802049</v>
      </c>
      <c r="G5046" s="48"/>
      <c r="H5046" s="48"/>
      <c r="I5046" s="48"/>
      <c r="J5046" s="48"/>
      <c r="L5046" s="65"/>
    </row>
    <row r="5047" spans="5:12">
      <c r="E5047" s="49">
        <v>45066.211805538594</v>
      </c>
      <c r="F5047" s="56">
        <v>2.9090863104802049</v>
      </c>
      <c r="G5047" s="48"/>
      <c r="H5047" s="48"/>
      <c r="I5047" s="48"/>
      <c r="J5047" s="48"/>
      <c r="L5047" s="65"/>
    </row>
    <row r="5048" spans="5:12">
      <c r="E5048" s="49">
        <v>45066.215277760813</v>
      </c>
      <c r="F5048" s="56">
        <v>2.9090863104802049</v>
      </c>
      <c r="G5048" s="48"/>
      <c r="H5048" s="48"/>
      <c r="I5048" s="48"/>
      <c r="J5048" s="48"/>
      <c r="L5048" s="65"/>
    </row>
    <row r="5049" spans="5:12">
      <c r="E5049" s="49">
        <v>45066.218749983032</v>
      </c>
      <c r="F5049" s="56">
        <v>2.9090863104802049</v>
      </c>
      <c r="G5049" s="48"/>
      <c r="H5049" s="48"/>
      <c r="I5049" s="48"/>
      <c r="J5049" s="48"/>
      <c r="L5049" s="65"/>
    </row>
    <row r="5050" spans="5:12">
      <c r="E5050" s="49">
        <v>45066.222222205251</v>
      </c>
      <c r="F5050" s="56">
        <v>2.9090863104802049</v>
      </c>
      <c r="G5050" s="48"/>
      <c r="H5050" s="48"/>
      <c r="I5050" s="48"/>
      <c r="J5050" s="48"/>
      <c r="L5050" s="65"/>
    </row>
    <row r="5051" spans="5:12">
      <c r="E5051" s="49">
        <v>45066.22569442747</v>
      </c>
      <c r="F5051" s="56">
        <v>2.9090863104802049</v>
      </c>
      <c r="G5051" s="48"/>
      <c r="H5051" s="48"/>
      <c r="I5051" s="48"/>
      <c r="J5051" s="48"/>
      <c r="L5051" s="65"/>
    </row>
    <row r="5052" spans="5:12">
      <c r="E5052" s="49">
        <v>45066.229166649689</v>
      </c>
      <c r="F5052" s="56">
        <v>2.9090863104802049</v>
      </c>
      <c r="G5052" s="48"/>
      <c r="H5052" s="48"/>
      <c r="I5052" s="48"/>
      <c r="J5052" s="48"/>
      <c r="L5052" s="65"/>
    </row>
    <row r="5053" spans="5:12">
      <c r="E5053" s="49">
        <v>45066.232638871908</v>
      </c>
      <c r="F5053" s="56">
        <v>2.9090863104802049</v>
      </c>
      <c r="G5053" s="48"/>
      <c r="H5053" s="48"/>
      <c r="I5053" s="48"/>
      <c r="J5053" s="48"/>
      <c r="L5053" s="65"/>
    </row>
    <row r="5054" spans="5:12">
      <c r="E5054" s="49">
        <v>45066.236111094127</v>
      </c>
      <c r="F5054" s="56">
        <v>2.9090863104802049</v>
      </c>
      <c r="G5054" s="48"/>
      <c r="H5054" s="48"/>
      <c r="I5054" s="48"/>
      <c r="J5054" s="48"/>
      <c r="L5054" s="65"/>
    </row>
    <row r="5055" spans="5:12">
      <c r="E5055" s="49">
        <v>45066.239583316346</v>
      </c>
      <c r="F5055" s="56">
        <v>2.9090863104802049</v>
      </c>
      <c r="G5055" s="48"/>
      <c r="H5055" s="48"/>
      <c r="I5055" s="48"/>
      <c r="J5055" s="48"/>
      <c r="L5055" s="65"/>
    </row>
    <row r="5056" spans="5:12">
      <c r="E5056" s="49">
        <v>45066.243055538565</v>
      </c>
      <c r="F5056" s="56">
        <v>2.9090863104802049</v>
      </c>
      <c r="G5056" s="48"/>
      <c r="H5056" s="48"/>
      <c r="I5056" s="48"/>
      <c r="J5056" s="48"/>
      <c r="L5056" s="65"/>
    </row>
    <row r="5057" spans="5:12">
      <c r="E5057" s="49">
        <v>45066.246527760784</v>
      </c>
      <c r="F5057" s="56">
        <v>2.9090863104802049</v>
      </c>
      <c r="G5057" s="48"/>
      <c r="H5057" s="48"/>
      <c r="I5057" s="48"/>
      <c r="J5057" s="48"/>
      <c r="L5057" s="65"/>
    </row>
    <row r="5058" spans="5:12">
      <c r="E5058" s="49">
        <v>45066.249999983003</v>
      </c>
      <c r="F5058" s="56">
        <v>2.9090863104802049</v>
      </c>
      <c r="G5058" s="48"/>
      <c r="H5058" s="48"/>
      <c r="I5058" s="48"/>
      <c r="J5058" s="48"/>
      <c r="L5058" s="65"/>
    </row>
    <row r="5059" spans="5:12">
      <c r="E5059" s="49">
        <v>45066.253472205222</v>
      </c>
      <c r="F5059" s="56">
        <v>2.9090863104802049</v>
      </c>
      <c r="G5059" s="48"/>
      <c r="H5059" s="48"/>
      <c r="I5059" s="48"/>
      <c r="J5059" s="48"/>
      <c r="L5059" s="65"/>
    </row>
    <row r="5060" spans="5:12">
      <c r="E5060" s="49">
        <v>45066.256944427441</v>
      </c>
      <c r="F5060" s="56">
        <v>2.9090863104802049</v>
      </c>
      <c r="G5060" s="48"/>
      <c r="H5060" s="48"/>
      <c r="I5060" s="48"/>
      <c r="J5060" s="48"/>
      <c r="L5060" s="65"/>
    </row>
    <row r="5061" spans="5:12">
      <c r="E5061" s="49">
        <v>45066.26041664966</v>
      </c>
      <c r="F5061" s="56">
        <v>2.9090863104802049</v>
      </c>
      <c r="G5061" s="48"/>
      <c r="H5061" s="48"/>
      <c r="I5061" s="48"/>
      <c r="J5061" s="48"/>
      <c r="L5061" s="65"/>
    </row>
    <row r="5062" spans="5:12">
      <c r="E5062" s="49">
        <v>45066.263888871879</v>
      </c>
      <c r="F5062" s="56">
        <v>2.9090863104802049</v>
      </c>
      <c r="G5062" s="48"/>
      <c r="H5062" s="48"/>
      <c r="I5062" s="48"/>
      <c r="J5062" s="48"/>
      <c r="L5062" s="65"/>
    </row>
    <row r="5063" spans="5:12">
      <c r="E5063" s="49">
        <v>45066.267361094098</v>
      </c>
      <c r="F5063" s="56">
        <v>2.9090863104802049</v>
      </c>
      <c r="G5063" s="48"/>
      <c r="H5063" s="48"/>
      <c r="I5063" s="48"/>
      <c r="J5063" s="48"/>
      <c r="L5063" s="65"/>
    </row>
    <row r="5064" spans="5:12">
      <c r="E5064" s="49">
        <v>45066.270833316317</v>
      </c>
      <c r="F5064" s="56">
        <v>2.9090863104802049</v>
      </c>
      <c r="G5064" s="48"/>
      <c r="H5064" s="48"/>
      <c r="I5064" s="48"/>
      <c r="J5064" s="48"/>
      <c r="L5064" s="65"/>
    </row>
    <row r="5065" spans="5:12">
      <c r="E5065" s="49">
        <v>45066.274305538536</v>
      </c>
      <c r="F5065" s="56">
        <v>2.9090863104802049</v>
      </c>
      <c r="G5065" s="48"/>
      <c r="H5065" s="48"/>
      <c r="I5065" s="48"/>
      <c r="J5065" s="48"/>
      <c r="L5065" s="65"/>
    </row>
    <row r="5066" spans="5:12">
      <c r="E5066" s="49">
        <v>45066.277777760755</v>
      </c>
      <c r="F5066" s="56">
        <v>2.9090863104802049</v>
      </c>
      <c r="G5066" s="48"/>
      <c r="H5066" s="48"/>
      <c r="I5066" s="48"/>
      <c r="J5066" s="48"/>
      <c r="L5066" s="65"/>
    </row>
    <row r="5067" spans="5:12">
      <c r="E5067" s="49">
        <v>45066.281249982974</v>
      </c>
      <c r="F5067" s="56">
        <v>2.9090863104802049</v>
      </c>
      <c r="G5067" s="48"/>
      <c r="H5067" s="48"/>
      <c r="I5067" s="48"/>
      <c r="J5067" s="48"/>
      <c r="L5067" s="65"/>
    </row>
    <row r="5068" spans="5:12">
      <c r="E5068" s="49">
        <v>45066.284722205193</v>
      </c>
      <c r="F5068" s="56">
        <v>2.9090863104802049</v>
      </c>
      <c r="G5068" s="48"/>
      <c r="H5068" s="48"/>
      <c r="I5068" s="48"/>
      <c r="J5068" s="48"/>
      <c r="L5068" s="65"/>
    </row>
    <row r="5069" spans="5:12">
      <c r="E5069" s="49">
        <v>45066.288194427412</v>
      </c>
      <c r="F5069" s="56">
        <v>2.9090863104802049</v>
      </c>
      <c r="G5069" s="48"/>
      <c r="H5069" s="48"/>
      <c r="I5069" s="48"/>
      <c r="J5069" s="48"/>
      <c r="L5069" s="65"/>
    </row>
    <row r="5070" spans="5:12">
      <c r="E5070" s="49">
        <v>45066.291666649631</v>
      </c>
      <c r="F5070" s="56">
        <v>2.9090863104802049</v>
      </c>
      <c r="G5070" s="48"/>
      <c r="H5070" s="48"/>
      <c r="I5070" s="48"/>
      <c r="J5070" s="48"/>
      <c r="L5070" s="65"/>
    </row>
    <row r="5071" spans="5:12">
      <c r="E5071" s="49">
        <v>45066.29513887185</v>
      </c>
      <c r="F5071" s="56">
        <v>2.9090863104802049</v>
      </c>
      <c r="G5071" s="48"/>
      <c r="H5071" s="48"/>
      <c r="I5071" s="48"/>
      <c r="J5071" s="48"/>
      <c r="L5071" s="65"/>
    </row>
    <row r="5072" spans="5:12">
      <c r="E5072" s="49">
        <v>45066.298611094069</v>
      </c>
      <c r="F5072" s="56">
        <v>2.9090863104802049</v>
      </c>
      <c r="G5072" s="48"/>
      <c r="H5072" s="48"/>
      <c r="I5072" s="48"/>
      <c r="J5072" s="48"/>
      <c r="L5072" s="65"/>
    </row>
    <row r="5073" spans="5:12">
      <c r="E5073" s="49">
        <v>45066.302083316288</v>
      </c>
      <c r="F5073" s="56">
        <v>2.9090863104802049</v>
      </c>
      <c r="G5073" s="48"/>
      <c r="H5073" s="48"/>
      <c r="I5073" s="48"/>
      <c r="J5073" s="48"/>
      <c r="L5073" s="65"/>
    </row>
    <row r="5074" spans="5:12">
      <c r="E5074" s="49">
        <v>45066.305555538507</v>
      </c>
      <c r="F5074" s="56">
        <v>2.9090863104802049</v>
      </c>
      <c r="G5074" s="48"/>
      <c r="H5074" s="48"/>
      <c r="I5074" s="48"/>
      <c r="J5074" s="48"/>
      <c r="L5074" s="65"/>
    </row>
    <row r="5075" spans="5:12">
      <c r="E5075" s="49">
        <v>45066.309027760726</v>
      </c>
      <c r="F5075" s="56">
        <v>2.9090863104802049</v>
      </c>
      <c r="G5075" s="48"/>
      <c r="H5075" s="48"/>
      <c r="I5075" s="48"/>
      <c r="J5075" s="48"/>
      <c r="L5075" s="65"/>
    </row>
    <row r="5076" spans="5:12">
      <c r="E5076" s="49">
        <v>45066.312499982945</v>
      </c>
      <c r="F5076" s="56">
        <v>2.9090863104802049</v>
      </c>
      <c r="G5076" s="48"/>
      <c r="H5076" s="48"/>
      <c r="I5076" s="48"/>
      <c r="J5076" s="48"/>
      <c r="L5076" s="65"/>
    </row>
    <row r="5077" spans="5:12">
      <c r="E5077" s="49">
        <v>45066.315972205164</v>
      </c>
      <c r="F5077" s="56">
        <v>2.9090863104802049</v>
      </c>
      <c r="G5077" s="48"/>
      <c r="H5077" s="48"/>
      <c r="I5077" s="48"/>
      <c r="J5077" s="48"/>
      <c r="L5077" s="65"/>
    </row>
    <row r="5078" spans="5:12">
      <c r="E5078" s="49">
        <v>45066.319444427383</v>
      </c>
      <c r="F5078" s="56">
        <v>2.9090863104802049</v>
      </c>
      <c r="G5078" s="48"/>
      <c r="H5078" s="48"/>
      <c r="I5078" s="48"/>
      <c r="J5078" s="48"/>
      <c r="L5078" s="65"/>
    </row>
    <row r="5079" spans="5:12">
      <c r="E5079" s="49">
        <v>45066.322916649602</v>
      </c>
      <c r="F5079" s="56">
        <v>2.9090863104802049</v>
      </c>
      <c r="G5079" s="48"/>
      <c r="H5079" s="48"/>
      <c r="I5079" s="48"/>
      <c r="J5079" s="48"/>
      <c r="L5079" s="65"/>
    </row>
    <row r="5080" spans="5:12">
      <c r="E5080" s="49">
        <v>45066.326388871821</v>
      </c>
      <c r="F5080" s="56">
        <v>2.9090863104802049</v>
      </c>
      <c r="G5080" s="48"/>
      <c r="H5080" s="48"/>
      <c r="I5080" s="48"/>
      <c r="J5080" s="48"/>
      <c r="L5080" s="65"/>
    </row>
    <row r="5081" spans="5:12">
      <c r="E5081" s="49">
        <v>45066.32986109404</v>
      </c>
      <c r="F5081" s="56">
        <v>2.9090863104802049</v>
      </c>
      <c r="G5081" s="48"/>
      <c r="H5081" s="48"/>
      <c r="I5081" s="48"/>
      <c r="J5081" s="48"/>
      <c r="L5081" s="65"/>
    </row>
    <row r="5082" spans="5:12">
      <c r="E5082" s="49">
        <v>45066.333333316259</v>
      </c>
      <c r="F5082" s="56">
        <v>2.9090863104802049</v>
      </c>
      <c r="G5082" s="48"/>
      <c r="H5082" s="48"/>
      <c r="I5082" s="48"/>
      <c r="J5082" s="48"/>
      <c r="L5082" s="65"/>
    </row>
    <row r="5083" spans="5:12">
      <c r="E5083" s="49">
        <v>45066.336805538478</v>
      </c>
      <c r="F5083" s="56">
        <v>2.9090863104802049</v>
      </c>
      <c r="G5083" s="48"/>
      <c r="H5083" s="48"/>
      <c r="I5083" s="48"/>
      <c r="J5083" s="48"/>
      <c r="L5083" s="65"/>
    </row>
    <row r="5084" spans="5:12">
      <c r="E5084" s="49">
        <v>45066.340277760697</v>
      </c>
      <c r="F5084" s="56">
        <v>2.9090863104802049</v>
      </c>
      <c r="G5084" s="48"/>
      <c r="H5084" s="48"/>
      <c r="I5084" s="48"/>
      <c r="J5084" s="48"/>
      <c r="L5084" s="65"/>
    </row>
    <row r="5085" spans="5:12">
      <c r="E5085" s="49">
        <v>45066.343749982916</v>
      </c>
      <c r="F5085" s="56">
        <v>2.9090863104802049</v>
      </c>
      <c r="G5085" s="48"/>
      <c r="H5085" s="48"/>
      <c r="I5085" s="48"/>
      <c r="J5085" s="48"/>
      <c r="L5085" s="65"/>
    </row>
    <row r="5086" spans="5:12">
      <c r="E5086" s="49">
        <v>45066.347222205135</v>
      </c>
      <c r="F5086" s="56">
        <v>2.9090863104802049</v>
      </c>
      <c r="G5086" s="48"/>
      <c r="H5086" s="48"/>
      <c r="I5086" s="48"/>
      <c r="J5086" s="48"/>
      <c r="L5086" s="65"/>
    </row>
    <row r="5087" spans="5:12">
      <c r="E5087" s="49">
        <v>45066.350694427354</v>
      </c>
      <c r="F5087" s="56">
        <v>2.9090863104802049</v>
      </c>
      <c r="G5087" s="48"/>
      <c r="H5087" s="48"/>
      <c r="I5087" s="48"/>
      <c r="J5087" s="48"/>
      <c r="L5087" s="65"/>
    </row>
    <row r="5088" spans="5:12">
      <c r="E5088" s="49">
        <v>45066.354166649573</v>
      </c>
      <c r="F5088" s="56">
        <v>2.9090863104802049</v>
      </c>
      <c r="G5088" s="48"/>
      <c r="H5088" s="48"/>
      <c r="I5088" s="48"/>
      <c r="J5088" s="48"/>
      <c r="L5088" s="65"/>
    </row>
    <row r="5089" spans="5:12">
      <c r="E5089" s="49">
        <v>45066.357638871792</v>
      </c>
      <c r="F5089" s="56">
        <v>2.9090863104802049</v>
      </c>
      <c r="G5089" s="48"/>
      <c r="H5089" s="48"/>
      <c r="I5089" s="48"/>
      <c r="J5089" s="48"/>
      <c r="L5089" s="65"/>
    </row>
    <row r="5090" spans="5:12">
      <c r="E5090" s="49">
        <v>45066.361111094011</v>
      </c>
      <c r="F5090" s="56">
        <v>2.9090863104802049</v>
      </c>
      <c r="G5090" s="48"/>
      <c r="H5090" s="48"/>
      <c r="I5090" s="48"/>
      <c r="J5090" s="48"/>
      <c r="L5090" s="65"/>
    </row>
    <row r="5091" spans="5:12">
      <c r="E5091" s="49">
        <v>45066.36458331623</v>
      </c>
      <c r="F5091" s="56">
        <v>2.9090863104802049</v>
      </c>
      <c r="G5091" s="48"/>
      <c r="H5091" s="48"/>
      <c r="I5091" s="48"/>
      <c r="J5091" s="48"/>
      <c r="L5091" s="65"/>
    </row>
    <row r="5092" spans="5:12">
      <c r="E5092" s="49">
        <v>45066.368055538449</v>
      </c>
      <c r="F5092" s="56">
        <v>2.9090863104802049</v>
      </c>
      <c r="G5092" s="48"/>
      <c r="H5092" s="48"/>
      <c r="I5092" s="48"/>
      <c r="J5092" s="48"/>
      <c r="L5092" s="65"/>
    </row>
    <row r="5093" spans="5:12">
      <c r="E5093" s="49">
        <v>45066.371527760668</v>
      </c>
      <c r="F5093" s="56">
        <v>2.9090863104802049</v>
      </c>
      <c r="G5093" s="48"/>
      <c r="H5093" s="48"/>
      <c r="I5093" s="48"/>
      <c r="J5093" s="48"/>
      <c r="L5093" s="65"/>
    </row>
    <row r="5094" spans="5:12">
      <c r="E5094" s="49">
        <v>45066.374999982887</v>
      </c>
      <c r="F5094" s="56">
        <v>2.9090863104802049</v>
      </c>
      <c r="G5094" s="48"/>
      <c r="H5094" s="48"/>
      <c r="I5094" s="48"/>
      <c r="J5094" s="48"/>
      <c r="L5094" s="65"/>
    </row>
    <row r="5095" spans="5:12">
      <c r="E5095" s="49">
        <v>45066.378472205106</v>
      </c>
      <c r="F5095" s="56">
        <v>2.9090863104802049</v>
      </c>
      <c r="G5095" s="48"/>
      <c r="H5095" s="48"/>
      <c r="I5095" s="48"/>
      <c r="J5095" s="48"/>
      <c r="L5095" s="65"/>
    </row>
    <row r="5096" spans="5:12">
      <c r="E5096" s="49">
        <v>45066.381944427325</v>
      </c>
      <c r="F5096" s="56">
        <v>2.9090863104802049</v>
      </c>
      <c r="G5096" s="48"/>
      <c r="H5096" s="48"/>
      <c r="I5096" s="48"/>
      <c r="J5096" s="48"/>
      <c r="L5096" s="65"/>
    </row>
    <row r="5097" spans="5:12">
      <c r="E5097" s="49">
        <v>45066.385416649544</v>
      </c>
      <c r="F5097" s="56">
        <v>2.9090863104802049</v>
      </c>
      <c r="G5097" s="48"/>
      <c r="H5097" s="48"/>
      <c r="I5097" s="48"/>
      <c r="J5097" s="48"/>
      <c r="L5097" s="65"/>
    </row>
    <row r="5098" spans="5:12">
      <c r="E5098" s="49">
        <v>45066.388888871763</v>
      </c>
      <c r="F5098" s="56">
        <v>2.9090863104802049</v>
      </c>
      <c r="G5098" s="48"/>
      <c r="H5098" s="48"/>
      <c r="I5098" s="48"/>
      <c r="J5098" s="48"/>
      <c r="L5098" s="65"/>
    </row>
    <row r="5099" spans="5:12">
      <c r="E5099" s="49">
        <v>45066.392361093982</v>
      </c>
      <c r="F5099" s="56">
        <v>2.9090863104802049</v>
      </c>
      <c r="G5099" s="48"/>
      <c r="H5099" s="48"/>
      <c r="I5099" s="48"/>
      <c r="J5099" s="48"/>
      <c r="L5099" s="65"/>
    </row>
    <row r="5100" spans="5:12">
      <c r="E5100" s="49">
        <v>45066.395833316201</v>
      </c>
      <c r="F5100" s="56">
        <v>2.9090863104802049</v>
      </c>
      <c r="G5100" s="48"/>
      <c r="H5100" s="48"/>
      <c r="I5100" s="48"/>
      <c r="J5100" s="48"/>
      <c r="L5100" s="65"/>
    </row>
    <row r="5101" spans="5:12">
      <c r="E5101" s="49">
        <v>45066.39930553842</v>
      </c>
      <c r="F5101" s="56">
        <v>2.9090863104802049</v>
      </c>
      <c r="G5101" s="48"/>
      <c r="H5101" s="48"/>
      <c r="I5101" s="48"/>
      <c r="J5101" s="48"/>
      <c r="L5101" s="65"/>
    </row>
    <row r="5102" spans="5:12">
      <c r="E5102" s="49">
        <v>45066.402777760639</v>
      </c>
      <c r="F5102" s="56">
        <v>2.9090863104802049</v>
      </c>
      <c r="G5102" s="48"/>
      <c r="H5102" s="48"/>
      <c r="I5102" s="48"/>
      <c r="J5102" s="48"/>
      <c r="L5102" s="65"/>
    </row>
    <row r="5103" spans="5:12">
      <c r="E5103" s="49">
        <v>45066.406249982858</v>
      </c>
      <c r="F5103" s="56">
        <v>2.9090863104802049</v>
      </c>
      <c r="G5103" s="48"/>
      <c r="H5103" s="48"/>
      <c r="I5103" s="48"/>
      <c r="J5103" s="48"/>
      <c r="L5103" s="65"/>
    </row>
    <row r="5104" spans="5:12">
      <c r="E5104" s="49">
        <v>45066.409722205077</v>
      </c>
      <c r="F5104" s="56">
        <v>2.9090863104802049</v>
      </c>
      <c r="G5104" s="48"/>
      <c r="H5104" s="48"/>
      <c r="I5104" s="48"/>
      <c r="J5104" s="48"/>
      <c r="L5104" s="65"/>
    </row>
    <row r="5105" spans="5:12">
      <c r="E5105" s="49">
        <v>45066.413194427296</v>
      </c>
      <c r="F5105" s="56">
        <v>2.9090863104802049</v>
      </c>
      <c r="G5105" s="48"/>
      <c r="H5105" s="48"/>
      <c r="I5105" s="48"/>
      <c r="J5105" s="48"/>
      <c r="L5105" s="65"/>
    </row>
    <row r="5106" spans="5:12">
      <c r="E5106" s="49">
        <v>45066.416666649515</v>
      </c>
      <c r="F5106" s="56">
        <v>2.9090863104802049</v>
      </c>
      <c r="G5106" s="48"/>
      <c r="H5106" s="48"/>
      <c r="I5106" s="48"/>
      <c r="J5106" s="48"/>
      <c r="L5106" s="65"/>
    </row>
    <row r="5107" spans="5:12">
      <c r="E5107" s="49">
        <v>45066.420138871734</v>
      </c>
      <c r="F5107" s="56">
        <v>2.9090863104802049</v>
      </c>
      <c r="G5107" s="48"/>
      <c r="H5107" s="48"/>
      <c r="I5107" s="48"/>
      <c r="J5107" s="48"/>
      <c r="L5107" s="65"/>
    </row>
    <row r="5108" spans="5:12">
      <c r="E5108" s="49">
        <v>45066.423611093953</v>
      </c>
      <c r="F5108" s="56">
        <v>2.9090863104802049</v>
      </c>
      <c r="G5108" s="48"/>
      <c r="H5108" s="48"/>
      <c r="I5108" s="48"/>
      <c r="J5108" s="48"/>
      <c r="L5108" s="65"/>
    </row>
    <row r="5109" spans="5:12">
      <c r="E5109" s="49">
        <v>45066.427083316172</v>
      </c>
      <c r="F5109" s="56">
        <v>2.9090863104802049</v>
      </c>
      <c r="G5109" s="48"/>
      <c r="H5109" s="48"/>
      <c r="I5109" s="48"/>
      <c r="J5109" s="48"/>
      <c r="L5109" s="65"/>
    </row>
    <row r="5110" spans="5:12">
      <c r="E5110" s="49">
        <v>45066.430555538391</v>
      </c>
      <c r="F5110" s="56">
        <v>2.9090863104802049</v>
      </c>
      <c r="G5110" s="48"/>
      <c r="H5110" s="48"/>
      <c r="I5110" s="48"/>
      <c r="J5110" s="48"/>
      <c r="L5110" s="65"/>
    </row>
    <row r="5111" spans="5:12">
      <c r="E5111" s="49">
        <v>45066.43402776061</v>
      </c>
      <c r="F5111" s="56">
        <v>2.9090863104802049</v>
      </c>
      <c r="G5111" s="48"/>
      <c r="H5111" s="48"/>
      <c r="I5111" s="48"/>
      <c r="J5111" s="48"/>
      <c r="L5111" s="65"/>
    </row>
    <row r="5112" spans="5:12">
      <c r="E5112" s="49">
        <v>45066.437499982829</v>
      </c>
      <c r="F5112" s="56">
        <v>2.9090863104802049</v>
      </c>
      <c r="G5112" s="48"/>
      <c r="H5112" s="48"/>
      <c r="I5112" s="48"/>
      <c r="J5112" s="48"/>
      <c r="L5112" s="65"/>
    </row>
    <row r="5113" spans="5:12">
      <c r="E5113" s="49">
        <v>45066.440972205048</v>
      </c>
      <c r="F5113" s="56">
        <v>2.9090863104802049</v>
      </c>
      <c r="G5113" s="48"/>
      <c r="H5113" s="48"/>
      <c r="I5113" s="48"/>
      <c r="J5113" s="48"/>
      <c r="L5113" s="65"/>
    </row>
    <row r="5114" spans="5:12">
      <c r="E5114" s="49">
        <v>45066.444444427267</v>
      </c>
      <c r="F5114" s="56">
        <v>2.9090863104802049</v>
      </c>
      <c r="G5114" s="48"/>
      <c r="H5114" s="48"/>
      <c r="I5114" s="48"/>
      <c r="J5114" s="48"/>
      <c r="L5114" s="65"/>
    </row>
    <row r="5115" spans="5:12">
      <c r="E5115" s="49">
        <v>45066.447916649486</v>
      </c>
      <c r="F5115" s="56">
        <v>2.9090863104802049</v>
      </c>
      <c r="G5115" s="48"/>
      <c r="H5115" s="48"/>
      <c r="I5115" s="48"/>
      <c r="J5115" s="48"/>
      <c r="L5115" s="65"/>
    </row>
    <row r="5116" spans="5:12">
      <c r="E5116" s="49">
        <v>45066.451388871705</v>
      </c>
      <c r="F5116" s="56">
        <v>2.9090863104802049</v>
      </c>
      <c r="G5116" s="48"/>
      <c r="H5116" s="48"/>
      <c r="I5116" s="48"/>
      <c r="J5116" s="48"/>
      <c r="L5116" s="65"/>
    </row>
    <row r="5117" spans="5:12">
      <c r="E5117" s="49">
        <v>45066.454861093924</v>
      </c>
      <c r="F5117" s="56">
        <v>2.9090863104802049</v>
      </c>
      <c r="G5117" s="48"/>
      <c r="H5117" s="48"/>
      <c r="I5117" s="48"/>
      <c r="J5117" s="48"/>
      <c r="L5117" s="65"/>
    </row>
    <row r="5118" spans="5:12">
      <c r="E5118" s="49">
        <v>45066.458333316143</v>
      </c>
      <c r="F5118" s="56">
        <v>2.9090863104802049</v>
      </c>
      <c r="G5118" s="48"/>
      <c r="H5118" s="48"/>
      <c r="I5118" s="48"/>
      <c r="J5118" s="48"/>
      <c r="L5118" s="65"/>
    </row>
    <row r="5119" spans="5:12">
      <c r="E5119" s="49">
        <v>45066.461805538362</v>
      </c>
      <c r="F5119" s="56">
        <v>2.9090863104802049</v>
      </c>
      <c r="G5119" s="48"/>
      <c r="H5119" s="48"/>
      <c r="I5119" s="48"/>
      <c r="J5119" s="48"/>
      <c r="L5119" s="65"/>
    </row>
    <row r="5120" spans="5:12">
      <c r="E5120" s="49">
        <v>45066.465277760581</v>
      </c>
      <c r="F5120" s="56">
        <v>2.9090863104802049</v>
      </c>
      <c r="G5120" s="48"/>
      <c r="H5120" s="48"/>
      <c r="I5120" s="48"/>
      <c r="J5120" s="48"/>
      <c r="L5120" s="65"/>
    </row>
    <row r="5121" spans="5:12">
      <c r="E5121" s="49">
        <v>45066.4687499828</v>
      </c>
      <c r="F5121" s="56">
        <v>2.9090863104802049</v>
      </c>
      <c r="G5121" s="48"/>
      <c r="H5121" s="48"/>
      <c r="I5121" s="48"/>
      <c r="J5121" s="48"/>
      <c r="L5121" s="65"/>
    </row>
    <row r="5122" spans="5:12">
      <c r="E5122" s="49">
        <v>45066.472222205019</v>
      </c>
      <c r="F5122" s="56">
        <v>2.9090863104802049</v>
      </c>
      <c r="G5122" s="48"/>
      <c r="H5122" s="48"/>
      <c r="I5122" s="48"/>
      <c r="J5122" s="48"/>
      <c r="L5122" s="65"/>
    </row>
    <row r="5123" spans="5:12">
      <c r="E5123" s="49">
        <v>45066.475694427238</v>
      </c>
      <c r="F5123" s="56">
        <v>2.9090863104802049</v>
      </c>
      <c r="G5123" s="48"/>
      <c r="H5123" s="48"/>
      <c r="I5123" s="48"/>
      <c r="J5123" s="48"/>
      <c r="L5123" s="65"/>
    </row>
    <row r="5124" spans="5:12">
      <c r="E5124" s="49">
        <v>45066.479166649457</v>
      </c>
      <c r="F5124" s="56">
        <v>2.9090863104802049</v>
      </c>
      <c r="G5124" s="48"/>
      <c r="H5124" s="48"/>
      <c r="I5124" s="48"/>
      <c r="J5124" s="48"/>
      <c r="L5124" s="65"/>
    </row>
    <row r="5125" spans="5:12">
      <c r="E5125" s="49">
        <v>45066.482638871676</v>
      </c>
      <c r="F5125" s="56">
        <v>2.9090863104802049</v>
      </c>
      <c r="G5125" s="48"/>
      <c r="H5125" s="48"/>
      <c r="I5125" s="48"/>
      <c r="J5125" s="48"/>
      <c r="L5125" s="65"/>
    </row>
    <row r="5126" spans="5:12">
      <c r="E5126" s="49">
        <v>45066.486111093895</v>
      </c>
      <c r="F5126" s="56">
        <v>2.9090863104802049</v>
      </c>
      <c r="G5126" s="48"/>
      <c r="H5126" s="48"/>
      <c r="I5126" s="48"/>
      <c r="J5126" s="48"/>
      <c r="L5126" s="65"/>
    </row>
    <row r="5127" spans="5:12">
      <c r="E5127" s="49">
        <v>45066.489583316114</v>
      </c>
      <c r="F5127" s="56">
        <v>2.9090863104802049</v>
      </c>
      <c r="G5127" s="48"/>
      <c r="H5127" s="48"/>
      <c r="I5127" s="48"/>
      <c r="J5127" s="48"/>
      <c r="L5127" s="65"/>
    </row>
    <row r="5128" spans="5:12">
      <c r="E5128" s="49">
        <v>45066.493055538333</v>
      </c>
      <c r="F5128" s="56">
        <v>2.9090863104802049</v>
      </c>
      <c r="G5128" s="48"/>
      <c r="H5128" s="48"/>
      <c r="I5128" s="48"/>
      <c r="J5128" s="48"/>
      <c r="L5128" s="65"/>
    </row>
    <row r="5129" spans="5:12">
      <c r="E5129" s="49">
        <v>45066.496527760552</v>
      </c>
      <c r="F5129" s="56">
        <v>2.9090863104802049</v>
      </c>
      <c r="G5129" s="48"/>
      <c r="H5129" s="48"/>
      <c r="I5129" s="48"/>
      <c r="J5129" s="48"/>
      <c r="L5129" s="65"/>
    </row>
    <row r="5130" spans="5:12">
      <c r="E5130" s="49">
        <v>45066.499999982771</v>
      </c>
      <c r="F5130" s="56">
        <v>2.9090863104802049</v>
      </c>
      <c r="G5130" s="48"/>
      <c r="H5130" s="48"/>
      <c r="I5130" s="48"/>
      <c r="J5130" s="48"/>
      <c r="L5130" s="65"/>
    </row>
    <row r="5131" spans="5:12">
      <c r="E5131" s="49">
        <v>45066.50347220499</v>
      </c>
      <c r="F5131" s="56">
        <v>2.9090863104802049</v>
      </c>
      <c r="G5131" s="48"/>
      <c r="H5131" s="48"/>
      <c r="I5131" s="48"/>
      <c r="J5131" s="48"/>
      <c r="L5131" s="65"/>
    </row>
    <row r="5132" spans="5:12">
      <c r="E5132" s="49">
        <v>45066.506944427209</v>
      </c>
      <c r="F5132" s="56">
        <v>2.9090863104802049</v>
      </c>
      <c r="G5132" s="48"/>
      <c r="H5132" s="48"/>
      <c r="I5132" s="48"/>
      <c r="J5132" s="48"/>
      <c r="L5132" s="65"/>
    </row>
    <row r="5133" spans="5:12">
      <c r="E5133" s="49">
        <v>45066.510416649427</v>
      </c>
      <c r="F5133" s="56">
        <v>2.9090863104802049</v>
      </c>
      <c r="G5133" s="48"/>
      <c r="H5133" s="48"/>
      <c r="I5133" s="48"/>
      <c r="J5133" s="48"/>
      <c r="L5133" s="65"/>
    </row>
    <row r="5134" spans="5:12">
      <c r="E5134" s="49">
        <v>45066.513888871646</v>
      </c>
      <c r="F5134" s="56">
        <v>2.9090863104802049</v>
      </c>
      <c r="G5134" s="48"/>
      <c r="H5134" s="48"/>
      <c r="I5134" s="48"/>
      <c r="J5134" s="48"/>
      <c r="L5134" s="65"/>
    </row>
    <row r="5135" spans="5:12">
      <c r="E5135" s="49">
        <v>45066.517361093865</v>
      </c>
      <c r="F5135" s="56">
        <v>2.9090863104802049</v>
      </c>
      <c r="G5135" s="48"/>
      <c r="H5135" s="48"/>
      <c r="I5135" s="48"/>
      <c r="J5135" s="48"/>
      <c r="L5135" s="65"/>
    </row>
    <row r="5136" spans="5:12">
      <c r="E5136" s="49">
        <v>45066.520833316084</v>
      </c>
      <c r="F5136" s="56">
        <v>2.9090863104802049</v>
      </c>
      <c r="G5136" s="48"/>
      <c r="H5136" s="48"/>
      <c r="I5136" s="48"/>
      <c r="J5136" s="48"/>
      <c r="L5136" s="65"/>
    </row>
    <row r="5137" spans="5:12">
      <c r="E5137" s="49">
        <v>45066.524305538303</v>
      </c>
      <c r="F5137" s="56">
        <v>2.9090863104802049</v>
      </c>
      <c r="G5137" s="48"/>
      <c r="H5137" s="48"/>
      <c r="I5137" s="48"/>
      <c r="J5137" s="48"/>
      <c r="L5137" s="65"/>
    </row>
    <row r="5138" spans="5:12">
      <c r="E5138" s="49">
        <v>45066.527777760522</v>
      </c>
      <c r="F5138" s="56">
        <v>2.9090863104802049</v>
      </c>
      <c r="G5138" s="48"/>
      <c r="H5138" s="48"/>
      <c r="I5138" s="48"/>
      <c r="J5138" s="48"/>
      <c r="L5138" s="65"/>
    </row>
    <row r="5139" spans="5:12">
      <c r="E5139" s="49">
        <v>45066.531249982741</v>
      </c>
      <c r="F5139" s="56">
        <v>2.9090863104802049</v>
      </c>
      <c r="G5139" s="48"/>
      <c r="H5139" s="48"/>
      <c r="I5139" s="48"/>
      <c r="J5139" s="48"/>
      <c r="L5139" s="65"/>
    </row>
    <row r="5140" spans="5:12">
      <c r="E5140" s="49">
        <v>45066.53472220496</v>
      </c>
      <c r="F5140" s="56">
        <v>2.9090863104802049</v>
      </c>
      <c r="G5140" s="48"/>
      <c r="H5140" s="48"/>
      <c r="I5140" s="48"/>
      <c r="J5140" s="48"/>
      <c r="L5140" s="65"/>
    </row>
    <row r="5141" spans="5:12">
      <c r="E5141" s="49">
        <v>45066.538194427179</v>
      </c>
      <c r="F5141" s="56">
        <v>2.9090863104802049</v>
      </c>
      <c r="G5141" s="48"/>
      <c r="H5141" s="48"/>
      <c r="I5141" s="48"/>
      <c r="J5141" s="48"/>
      <c r="L5141" s="65"/>
    </row>
    <row r="5142" spans="5:12">
      <c r="E5142" s="49">
        <v>45066.541666649398</v>
      </c>
      <c r="F5142" s="56">
        <v>2.9090863104802049</v>
      </c>
      <c r="G5142" s="48"/>
      <c r="H5142" s="48"/>
      <c r="I5142" s="48"/>
      <c r="J5142" s="48"/>
      <c r="L5142" s="65"/>
    </row>
    <row r="5143" spans="5:12">
      <c r="E5143" s="49">
        <v>45066.545138871617</v>
      </c>
      <c r="F5143" s="56">
        <v>2.9090863104802049</v>
      </c>
      <c r="G5143" s="48"/>
      <c r="H5143" s="48"/>
      <c r="I5143" s="48"/>
      <c r="J5143" s="48"/>
      <c r="L5143" s="65"/>
    </row>
    <row r="5144" spans="5:12">
      <c r="E5144" s="49">
        <v>45066.548611093836</v>
      </c>
      <c r="F5144" s="56">
        <v>2.9090863104802049</v>
      </c>
      <c r="G5144" s="48"/>
      <c r="H5144" s="48"/>
      <c r="I5144" s="48"/>
      <c r="J5144" s="48"/>
      <c r="L5144" s="65"/>
    </row>
    <row r="5145" spans="5:12">
      <c r="E5145" s="49">
        <v>45066.552083316055</v>
      </c>
      <c r="F5145" s="56">
        <v>2.9090863104802049</v>
      </c>
      <c r="G5145" s="48"/>
      <c r="H5145" s="48"/>
      <c r="I5145" s="48"/>
      <c r="J5145" s="48"/>
      <c r="L5145" s="65"/>
    </row>
    <row r="5146" spans="5:12">
      <c r="E5146" s="49">
        <v>45066.555555538274</v>
      </c>
      <c r="F5146" s="56">
        <v>2.9090863104802049</v>
      </c>
      <c r="G5146" s="48"/>
      <c r="H5146" s="48"/>
      <c r="I5146" s="48"/>
      <c r="J5146" s="48"/>
      <c r="L5146" s="65"/>
    </row>
    <row r="5147" spans="5:12">
      <c r="E5147" s="49">
        <v>45066.559027760493</v>
      </c>
      <c r="F5147" s="56">
        <v>2.9090863104802049</v>
      </c>
      <c r="G5147" s="48"/>
      <c r="H5147" s="48"/>
      <c r="I5147" s="48"/>
      <c r="J5147" s="48"/>
      <c r="L5147" s="65"/>
    </row>
    <row r="5148" spans="5:12">
      <c r="E5148" s="49">
        <v>45066.562499982712</v>
      </c>
      <c r="F5148" s="56">
        <v>2.9090863104802049</v>
      </c>
      <c r="G5148" s="48"/>
      <c r="H5148" s="48"/>
      <c r="I5148" s="48"/>
      <c r="J5148" s="48"/>
      <c r="L5148" s="65"/>
    </row>
    <row r="5149" spans="5:12">
      <c r="E5149" s="49">
        <v>45066.565972204931</v>
      </c>
      <c r="F5149" s="56">
        <v>2.9090863104802049</v>
      </c>
      <c r="G5149" s="48"/>
      <c r="H5149" s="48"/>
      <c r="I5149" s="48"/>
      <c r="J5149" s="48"/>
      <c r="L5149" s="65"/>
    </row>
    <row r="5150" spans="5:12">
      <c r="E5150" s="49">
        <v>45066.56944442715</v>
      </c>
      <c r="F5150" s="56">
        <v>2.9090863104802049</v>
      </c>
      <c r="G5150" s="48"/>
      <c r="H5150" s="48"/>
      <c r="I5150" s="48"/>
      <c r="J5150" s="48"/>
      <c r="L5150" s="65"/>
    </row>
    <row r="5151" spans="5:12">
      <c r="E5151" s="49">
        <v>45066.572916649369</v>
      </c>
      <c r="F5151" s="56">
        <v>2.9090863104802049</v>
      </c>
      <c r="G5151" s="48"/>
      <c r="H5151" s="48"/>
      <c r="I5151" s="48"/>
      <c r="J5151" s="48"/>
      <c r="L5151" s="65"/>
    </row>
    <row r="5152" spans="5:12">
      <c r="E5152" s="49">
        <v>45066.576388871588</v>
      </c>
      <c r="F5152" s="56">
        <v>2.9090863104802049</v>
      </c>
      <c r="G5152" s="48"/>
      <c r="H5152" s="48"/>
      <c r="I5152" s="48"/>
      <c r="J5152" s="48"/>
      <c r="L5152" s="65"/>
    </row>
    <row r="5153" spans="5:12">
      <c r="E5153" s="49">
        <v>45066.579861093807</v>
      </c>
      <c r="F5153" s="56">
        <v>2.9090863104802049</v>
      </c>
      <c r="G5153" s="48"/>
      <c r="H5153" s="48"/>
      <c r="I5153" s="48"/>
      <c r="J5153" s="48"/>
      <c r="L5153" s="65"/>
    </row>
    <row r="5154" spans="5:12">
      <c r="E5154" s="49">
        <v>45066.583333316026</v>
      </c>
      <c r="F5154" s="56">
        <v>2.9090863104802049</v>
      </c>
      <c r="G5154" s="48"/>
      <c r="H5154" s="48"/>
      <c r="I5154" s="48"/>
      <c r="J5154" s="48"/>
      <c r="L5154" s="65"/>
    </row>
    <row r="5155" spans="5:12">
      <c r="E5155" s="49">
        <v>45066.586805538245</v>
      </c>
      <c r="F5155" s="56">
        <v>2.9090863104802049</v>
      </c>
      <c r="G5155" s="48"/>
      <c r="H5155" s="48"/>
      <c r="I5155" s="48"/>
      <c r="J5155" s="48"/>
      <c r="L5155" s="65"/>
    </row>
    <row r="5156" spans="5:12">
      <c r="E5156" s="49">
        <v>45066.590277760464</v>
      </c>
      <c r="F5156" s="56">
        <v>2.9090863104802049</v>
      </c>
      <c r="G5156" s="48"/>
      <c r="H5156" s="48"/>
      <c r="I5156" s="48"/>
      <c r="J5156" s="48"/>
      <c r="L5156" s="65"/>
    </row>
    <row r="5157" spans="5:12">
      <c r="E5157" s="49">
        <v>45066.593749982683</v>
      </c>
      <c r="F5157" s="56">
        <v>2.9090863104802049</v>
      </c>
      <c r="G5157" s="48"/>
      <c r="H5157" s="48"/>
      <c r="I5157" s="48"/>
      <c r="J5157" s="48"/>
      <c r="L5157" s="65"/>
    </row>
    <row r="5158" spans="5:12">
      <c r="E5158" s="49">
        <v>45066.597222204902</v>
      </c>
      <c r="F5158" s="56">
        <v>2.9090863104802049</v>
      </c>
      <c r="G5158" s="48"/>
      <c r="H5158" s="48"/>
      <c r="I5158" s="48"/>
      <c r="J5158" s="48"/>
      <c r="L5158" s="65"/>
    </row>
    <row r="5159" spans="5:12">
      <c r="E5159" s="49">
        <v>45066.600694427121</v>
      </c>
      <c r="F5159" s="56">
        <v>2.9090863104802049</v>
      </c>
      <c r="G5159" s="48"/>
      <c r="H5159" s="48"/>
      <c r="I5159" s="48"/>
      <c r="J5159" s="48"/>
      <c r="L5159" s="65"/>
    </row>
    <row r="5160" spans="5:12">
      <c r="E5160" s="49">
        <v>45066.60416664934</v>
      </c>
      <c r="F5160" s="56">
        <v>2.9090863104802049</v>
      </c>
      <c r="G5160" s="48"/>
      <c r="H5160" s="48"/>
      <c r="I5160" s="48"/>
      <c r="J5160" s="48"/>
      <c r="L5160" s="65"/>
    </row>
    <row r="5161" spans="5:12">
      <c r="E5161" s="49">
        <v>45066.607638871559</v>
      </c>
      <c r="F5161" s="56">
        <v>2.9090863104802049</v>
      </c>
      <c r="G5161" s="48"/>
      <c r="H5161" s="48"/>
      <c r="I5161" s="48"/>
      <c r="J5161" s="48"/>
      <c r="L5161" s="65"/>
    </row>
    <row r="5162" spans="5:12">
      <c r="E5162" s="49">
        <v>45066.611111093778</v>
      </c>
      <c r="F5162" s="56">
        <v>2.9090863104802049</v>
      </c>
      <c r="G5162" s="48"/>
      <c r="H5162" s="48"/>
      <c r="I5162" s="48"/>
      <c r="J5162" s="48"/>
      <c r="L5162" s="65"/>
    </row>
    <row r="5163" spans="5:12">
      <c r="E5163" s="49">
        <v>45066.614583315997</v>
      </c>
      <c r="F5163" s="56">
        <v>2.9090863104802049</v>
      </c>
      <c r="G5163" s="48"/>
      <c r="H5163" s="48"/>
      <c r="I5163" s="48"/>
      <c r="J5163" s="48"/>
      <c r="L5163" s="65"/>
    </row>
    <row r="5164" spans="5:12">
      <c r="E5164" s="49">
        <v>45066.618055538216</v>
      </c>
      <c r="F5164" s="56">
        <v>2.9090863104802049</v>
      </c>
      <c r="G5164" s="48"/>
      <c r="H5164" s="48"/>
      <c r="I5164" s="48"/>
      <c r="J5164" s="48"/>
      <c r="L5164" s="65"/>
    </row>
    <row r="5165" spans="5:12">
      <c r="E5165" s="49">
        <v>45066.621527760435</v>
      </c>
      <c r="F5165" s="56">
        <v>2.9090863104802049</v>
      </c>
      <c r="G5165" s="48"/>
      <c r="H5165" s="48"/>
      <c r="I5165" s="48"/>
      <c r="J5165" s="48"/>
      <c r="L5165" s="65"/>
    </row>
    <row r="5166" spans="5:12">
      <c r="E5166" s="49">
        <v>45066.624999982654</v>
      </c>
      <c r="F5166" s="56">
        <v>14.526083767432571</v>
      </c>
      <c r="G5166" s="48"/>
      <c r="H5166" s="48"/>
      <c r="I5166" s="48"/>
      <c r="J5166" s="48"/>
      <c r="L5166" s="65"/>
    </row>
    <row r="5167" spans="5:12">
      <c r="E5167" s="49">
        <v>45066.628472204873</v>
      </c>
      <c r="F5167" s="56">
        <v>14.526083767432571</v>
      </c>
      <c r="G5167" s="48"/>
      <c r="H5167" s="48"/>
      <c r="I5167" s="48"/>
      <c r="J5167" s="48"/>
      <c r="L5167" s="65"/>
    </row>
    <row r="5168" spans="5:12">
      <c r="E5168" s="49">
        <v>45066.631944427092</v>
      </c>
      <c r="F5168" s="56">
        <v>14.526083767432571</v>
      </c>
      <c r="G5168" s="48"/>
      <c r="H5168" s="48"/>
      <c r="I5168" s="48"/>
      <c r="J5168" s="48"/>
      <c r="L5168" s="65"/>
    </row>
    <row r="5169" spans="5:12">
      <c r="E5169" s="49">
        <v>45066.635416649311</v>
      </c>
      <c r="F5169" s="56">
        <v>14.526083767432571</v>
      </c>
      <c r="G5169" s="48"/>
      <c r="H5169" s="48"/>
      <c r="I5169" s="48"/>
      <c r="J5169" s="48"/>
      <c r="L5169" s="65"/>
    </row>
    <row r="5170" spans="5:12">
      <c r="E5170" s="49">
        <v>45066.63888887153</v>
      </c>
      <c r="F5170" s="56">
        <v>14.526083767432571</v>
      </c>
      <c r="G5170" s="48"/>
      <c r="H5170" s="48"/>
      <c r="I5170" s="48"/>
      <c r="J5170" s="48"/>
      <c r="L5170" s="65"/>
    </row>
    <row r="5171" spans="5:12">
      <c r="E5171" s="49">
        <v>45066.642361093749</v>
      </c>
      <c r="F5171" s="56">
        <v>14.526083767432571</v>
      </c>
      <c r="G5171" s="48"/>
      <c r="H5171" s="48"/>
      <c r="I5171" s="48"/>
      <c r="J5171" s="48"/>
      <c r="L5171" s="65"/>
    </row>
    <row r="5172" spans="5:12">
      <c r="E5172" s="49">
        <v>45066.645833315968</v>
      </c>
      <c r="F5172" s="56">
        <v>14.526083767432571</v>
      </c>
      <c r="G5172" s="48"/>
      <c r="H5172" s="48"/>
      <c r="I5172" s="48"/>
      <c r="J5172" s="48"/>
      <c r="L5172" s="65"/>
    </row>
    <row r="5173" spans="5:12">
      <c r="E5173" s="49">
        <v>45066.649305538187</v>
      </c>
      <c r="F5173" s="56">
        <v>14.526083767432571</v>
      </c>
      <c r="G5173" s="48"/>
      <c r="H5173" s="48"/>
      <c r="I5173" s="48"/>
      <c r="J5173" s="48"/>
      <c r="L5173" s="65"/>
    </row>
    <row r="5174" spans="5:12">
      <c r="E5174" s="49">
        <v>45066.652777760406</v>
      </c>
      <c r="F5174" s="56">
        <v>14.526083767432571</v>
      </c>
      <c r="G5174" s="48"/>
      <c r="H5174" s="48"/>
      <c r="I5174" s="48"/>
      <c r="J5174" s="48"/>
      <c r="L5174" s="65"/>
    </row>
    <row r="5175" spans="5:12">
      <c r="E5175" s="49">
        <v>45066.656249982625</v>
      </c>
      <c r="F5175" s="56">
        <v>14.526083767432571</v>
      </c>
      <c r="G5175" s="48"/>
      <c r="H5175" s="48"/>
      <c r="I5175" s="48"/>
      <c r="J5175" s="48"/>
      <c r="L5175" s="65"/>
    </row>
    <row r="5176" spans="5:12">
      <c r="E5176" s="49">
        <v>45066.659722204844</v>
      </c>
      <c r="F5176" s="56">
        <v>14.526083767432571</v>
      </c>
      <c r="G5176" s="48"/>
      <c r="H5176" s="48"/>
      <c r="I5176" s="48"/>
      <c r="J5176" s="48"/>
      <c r="L5176" s="65"/>
    </row>
    <row r="5177" spans="5:12">
      <c r="E5177" s="49">
        <v>45066.663194427063</v>
      </c>
      <c r="F5177" s="56">
        <v>14.526083767432571</v>
      </c>
      <c r="G5177" s="48"/>
      <c r="H5177" s="48"/>
      <c r="I5177" s="48"/>
      <c r="J5177" s="48"/>
      <c r="L5177" s="65"/>
    </row>
    <row r="5178" spans="5:12">
      <c r="E5178" s="49">
        <v>45066.666666649282</v>
      </c>
      <c r="F5178" s="56">
        <v>14.526083767432571</v>
      </c>
      <c r="G5178" s="48"/>
      <c r="H5178" s="48"/>
      <c r="I5178" s="48"/>
      <c r="J5178" s="48"/>
      <c r="L5178" s="65"/>
    </row>
    <row r="5179" spans="5:12">
      <c r="E5179" s="49">
        <v>45066.670138871501</v>
      </c>
      <c r="F5179" s="56">
        <v>11.616997456952365</v>
      </c>
      <c r="G5179" s="48"/>
      <c r="H5179" s="48"/>
      <c r="I5179" s="48"/>
      <c r="J5179" s="48"/>
      <c r="L5179" s="65"/>
    </row>
    <row r="5180" spans="5:12">
      <c r="E5180" s="49">
        <v>45066.67361109372</v>
      </c>
      <c r="F5180" s="56">
        <v>11.616997456952365</v>
      </c>
      <c r="G5180" s="48"/>
      <c r="H5180" s="48"/>
      <c r="I5180" s="48"/>
      <c r="J5180" s="48"/>
      <c r="L5180" s="65"/>
    </row>
    <row r="5181" spans="5:12">
      <c r="E5181" s="49">
        <v>45066.677083315939</v>
      </c>
      <c r="F5181" s="56">
        <v>11.616997456952365</v>
      </c>
      <c r="G5181" s="48"/>
      <c r="H5181" s="48"/>
      <c r="I5181" s="48"/>
      <c r="J5181" s="48"/>
      <c r="L5181" s="65"/>
    </row>
    <row r="5182" spans="5:12">
      <c r="E5182" s="49">
        <v>45066.680555538158</v>
      </c>
      <c r="F5182" s="56">
        <v>11.616997456952365</v>
      </c>
      <c r="G5182" s="48"/>
      <c r="H5182" s="48"/>
      <c r="I5182" s="48"/>
      <c r="J5182" s="48"/>
      <c r="L5182" s="65"/>
    </row>
    <row r="5183" spans="5:12">
      <c r="E5183" s="49">
        <v>45066.684027760377</v>
      </c>
      <c r="F5183" s="56">
        <v>11.616997456952365</v>
      </c>
      <c r="G5183" s="48"/>
      <c r="H5183" s="48"/>
      <c r="I5183" s="48"/>
      <c r="J5183" s="48"/>
      <c r="L5183" s="65"/>
    </row>
    <row r="5184" spans="5:12">
      <c r="E5184" s="49">
        <v>45066.687499982596</v>
      </c>
      <c r="F5184" s="56">
        <v>11.616997456952365</v>
      </c>
      <c r="G5184" s="48"/>
      <c r="H5184" s="48"/>
      <c r="I5184" s="48"/>
      <c r="J5184" s="48"/>
      <c r="L5184" s="65"/>
    </row>
    <row r="5185" spans="5:12">
      <c r="E5185" s="49">
        <v>45066.690972204815</v>
      </c>
      <c r="F5185" s="56">
        <v>11.616997456952365</v>
      </c>
      <c r="G5185" s="48"/>
      <c r="H5185" s="48"/>
      <c r="I5185" s="48"/>
      <c r="J5185" s="48"/>
      <c r="L5185" s="65"/>
    </row>
    <row r="5186" spans="5:12">
      <c r="E5186" s="49">
        <v>45066.694444427034</v>
      </c>
      <c r="F5186" s="56">
        <v>11.616997456952365</v>
      </c>
      <c r="G5186" s="48"/>
      <c r="H5186" s="48"/>
      <c r="I5186" s="48"/>
      <c r="J5186" s="48"/>
      <c r="L5186" s="65"/>
    </row>
    <row r="5187" spans="5:12">
      <c r="E5187" s="49">
        <v>45066.697916649253</v>
      </c>
      <c r="F5187" s="56">
        <v>11.616997456952365</v>
      </c>
      <c r="G5187" s="48"/>
      <c r="H5187" s="48"/>
      <c r="I5187" s="48"/>
      <c r="J5187" s="48"/>
      <c r="L5187" s="65"/>
    </row>
    <row r="5188" spans="5:12">
      <c r="E5188" s="49">
        <v>45066.701388871472</v>
      </c>
      <c r="F5188" s="56">
        <v>11.616997456952365</v>
      </c>
      <c r="G5188" s="48"/>
      <c r="H5188" s="48"/>
      <c r="I5188" s="48"/>
      <c r="J5188" s="48"/>
      <c r="L5188" s="65"/>
    </row>
    <row r="5189" spans="5:12">
      <c r="E5189" s="49">
        <v>45066.704861093691</v>
      </c>
      <c r="F5189" s="56">
        <v>11.616997456952365</v>
      </c>
      <c r="G5189" s="48"/>
      <c r="H5189" s="48"/>
      <c r="I5189" s="48"/>
      <c r="J5189" s="48"/>
      <c r="L5189" s="65"/>
    </row>
    <row r="5190" spans="5:12">
      <c r="E5190" s="49">
        <v>45066.70833331591</v>
      </c>
      <c r="F5190" s="56">
        <v>11.616997456952365</v>
      </c>
      <c r="G5190" s="48"/>
      <c r="H5190" s="48"/>
      <c r="I5190" s="48"/>
      <c r="J5190" s="48"/>
      <c r="L5190" s="65"/>
    </row>
    <row r="5191" spans="5:12">
      <c r="E5191" s="49">
        <v>45066.711805538129</v>
      </c>
      <c r="F5191" s="56">
        <v>11.616997456952365</v>
      </c>
      <c r="G5191" s="48"/>
      <c r="H5191" s="48"/>
      <c r="I5191" s="48"/>
      <c r="J5191" s="48"/>
      <c r="L5191" s="65"/>
    </row>
    <row r="5192" spans="5:12">
      <c r="E5192" s="49">
        <v>45066.715277760348</v>
      </c>
      <c r="F5192" s="56">
        <v>11.616997456952365</v>
      </c>
      <c r="G5192" s="48"/>
      <c r="H5192" s="48"/>
      <c r="I5192" s="48"/>
      <c r="J5192" s="48"/>
      <c r="L5192" s="65"/>
    </row>
    <row r="5193" spans="5:12">
      <c r="E5193" s="49">
        <v>45066.718749982567</v>
      </c>
      <c r="F5193" s="56">
        <v>11.616997456952365</v>
      </c>
      <c r="G5193" s="48"/>
      <c r="H5193" s="48"/>
      <c r="I5193" s="48"/>
      <c r="J5193" s="48"/>
      <c r="L5193" s="65"/>
    </row>
    <row r="5194" spans="5:12">
      <c r="E5194" s="49">
        <v>45066.722222204786</v>
      </c>
      <c r="F5194" s="56">
        <v>11.616997456952365</v>
      </c>
      <c r="G5194" s="48"/>
      <c r="H5194" s="48"/>
      <c r="I5194" s="48"/>
      <c r="J5194" s="48"/>
      <c r="L5194" s="65"/>
    </row>
    <row r="5195" spans="5:12">
      <c r="E5195" s="49">
        <v>45066.725694427005</v>
      </c>
      <c r="F5195" s="56">
        <v>11.616997456952365</v>
      </c>
      <c r="G5195" s="48"/>
      <c r="H5195" s="48"/>
      <c r="I5195" s="48"/>
      <c r="J5195" s="48"/>
      <c r="L5195" s="65"/>
    </row>
    <row r="5196" spans="5:12">
      <c r="E5196" s="49">
        <v>45066.729166649224</v>
      </c>
      <c r="F5196" s="56">
        <v>11.616997456952365</v>
      </c>
      <c r="G5196" s="48"/>
      <c r="H5196" s="48"/>
      <c r="I5196" s="48"/>
      <c r="J5196" s="48"/>
      <c r="L5196" s="65"/>
    </row>
    <row r="5197" spans="5:12">
      <c r="E5197" s="49">
        <v>45066.732638871443</v>
      </c>
      <c r="F5197" s="56">
        <v>11.616997456952365</v>
      </c>
      <c r="G5197" s="48"/>
      <c r="H5197" s="48"/>
      <c r="I5197" s="48"/>
      <c r="J5197" s="48"/>
      <c r="L5197" s="65"/>
    </row>
    <row r="5198" spans="5:12">
      <c r="E5198" s="49">
        <v>45066.736111093662</v>
      </c>
      <c r="F5198" s="56">
        <v>11.616997456952365</v>
      </c>
      <c r="G5198" s="48"/>
      <c r="H5198" s="48"/>
      <c r="I5198" s="48"/>
      <c r="J5198" s="48"/>
      <c r="L5198" s="65"/>
    </row>
    <row r="5199" spans="5:12">
      <c r="E5199" s="49">
        <v>45066.739583315881</v>
      </c>
      <c r="F5199" s="56">
        <v>11.616997456952365</v>
      </c>
      <c r="G5199" s="48"/>
      <c r="H5199" s="48"/>
      <c r="I5199" s="48"/>
      <c r="J5199" s="48"/>
      <c r="L5199" s="65"/>
    </row>
    <row r="5200" spans="5:12">
      <c r="E5200" s="49">
        <v>45066.7430555381</v>
      </c>
      <c r="F5200" s="56">
        <v>11.616997456952365</v>
      </c>
      <c r="G5200" s="48"/>
      <c r="H5200" s="48"/>
      <c r="I5200" s="48"/>
      <c r="J5200" s="48"/>
      <c r="L5200" s="65"/>
    </row>
    <row r="5201" spans="5:12">
      <c r="E5201" s="49">
        <v>45066.746527760319</v>
      </c>
      <c r="F5201" s="56">
        <v>11.616997456952365</v>
      </c>
      <c r="G5201" s="48"/>
      <c r="H5201" s="48"/>
      <c r="I5201" s="48"/>
      <c r="J5201" s="48"/>
      <c r="L5201" s="65"/>
    </row>
    <row r="5202" spans="5:12">
      <c r="E5202" s="49">
        <v>45066.749999982538</v>
      </c>
      <c r="F5202" s="56">
        <v>11.616997456952365</v>
      </c>
      <c r="G5202" s="48"/>
      <c r="H5202" s="48"/>
      <c r="I5202" s="48"/>
      <c r="J5202" s="48"/>
      <c r="L5202" s="65"/>
    </row>
    <row r="5203" spans="5:12">
      <c r="E5203" s="49">
        <v>45066.753472204757</v>
      </c>
      <c r="F5203" s="56">
        <v>11.616997456952365</v>
      </c>
      <c r="G5203" s="48"/>
      <c r="H5203" s="48"/>
      <c r="I5203" s="48"/>
      <c r="J5203" s="48"/>
      <c r="L5203" s="65"/>
    </row>
    <row r="5204" spans="5:12">
      <c r="E5204" s="49">
        <v>45066.756944426976</v>
      </c>
      <c r="F5204" s="56">
        <v>11.616997456952365</v>
      </c>
      <c r="G5204" s="48"/>
      <c r="H5204" s="48"/>
      <c r="I5204" s="48"/>
      <c r="J5204" s="48"/>
      <c r="L5204" s="65"/>
    </row>
    <row r="5205" spans="5:12">
      <c r="E5205" s="49">
        <v>45066.760416649195</v>
      </c>
      <c r="F5205" s="56">
        <v>11.616997456952365</v>
      </c>
      <c r="G5205" s="48"/>
      <c r="H5205" s="48"/>
      <c r="I5205" s="48"/>
      <c r="J5205" s="48"/>
      <c r="L5205" s="65"/>
    </row>
    <row r="5206" spans="5:12">
      <c r="E5206" s="49">
        <v>45066.763888871414</v>
      </c>
      <c r="F5206" s="56">
        <v>11.616997456952365</v>
      </c>
      <c r="G5206" s="48"/>
      <c r="H5206" s="48"/>
      <c r="I5206" s="48"/>
      <c r="J5206" s="48"/>
      <c r="L5206" s="65"/>
    </row>
    <row r="5207" spans="5:12">
      <c r="E5207" s="49">
        <v>45066.767361093633</v>
      </c>
      <c r="F5207" s="56">
        <v>11.616997456952365</v>
      </c>
      <c r="G5207" s="48"/>
      <c r="H5207" s="48"/>
      <c r="I5207" s="48"/>
      <c r="J5207" s="48"/>
      <c r="L5207" s="65"/>
    </row>
    <row r="5208" spans="5:12">
      <c r="E5208" s="49">
        <v>45066.770833315852</v>
      </c>
      <c r="F5208" s="56">
        <v>11.616997456952365</v>
      </c>
      <c r="G5208" s="48"/>
      <c r="H5208" s="48"/>
      <c r="I5208" s="48"/>
      <c r="J5208" s="48"/>
      <c r="L5208" s="65"/>
    </row>
    <row r="5209" spans="5:12">
      <c r="E5209" s="49">
        <v>45066.774305538071</v>
      </c>
      <c r="F5209" s="56">
        <v>11.616997456952365</v>
      </c>
      <c r="G5209" s="48"/>
      <c r="H5209" s="48"/>
      <c r="I5209" s="48"/>
      <c r="J5209" s="48"/>
      <c r="L5209" s="65"/>
    </row>
    <row r="5210" spans="5:12">
      <c r="E5210" s="49">
        <v>45066.77777776029</v>
      </c>
      <c r="F5210" s="56">
        <v>11.616997456952365</v>
      </c>
      <c r="G5210" s="48"/>
      <c r="H5210" s="48"/>
      <c r="I5210" s="48"/>
      <c r="J5210" s="48"/>
      <c r="L5210" s="65"/>
    </row>
    <row r="5211" spans="5:12">
      <c r="E5211" s="49">
        <v>45066.781249982509</v>
      </c>
      <c r="F5211" s="56">
        <v>11.616997456952365</v>
      </c>
      <c r="G5211" s="48"/>
      <c r="H5211" s="48"/>
      <c r="I5211" s="48"/>
      <c r="J5211" s="48"/>
      <c r="L5211" s="65"/>
    </row>
    <row r="5212" spans="5:12">
      <c r="E5212" s="49">
        <v>45066.784722204728</v>
      </c>
      <c r="F5212" s="56">
        <v>11.616997456952365</v>
      </c>
      <c r="G5212" s="48"/>
      <c r="H5212" s="48"/>
      <c r="I5212" s="48"/>
      <c r="J5212" s="48"/>
      <c r="L5212" s="65"/>
    </row>
    <row r="5213" spans="5:12">
      <c r="E5213" s="49">
        <v>45066.788194426947</v>
      </c>
      <c r="F5213" s="56">
        <v>11.616997456952365</v>
      </c>
      <c r="G5213" s="48"/>
      <c r="H5213" s="48"/>
      <c r="I5213" s="48"/>
      <c r="J5213" s="48"/>
      <c r="L5213" s="65"/>
    </row>
    <row r="5214" spans="5:12">
      <c r="E5214" s="49">
        <v>45066.791666649166</v>
      </c>
      <c r="F5214" s="56">
        <v>11.616997456952365</v>
      </c>
      <c r="G5214" s="48"/>
      <c r="H5214" s="48"/>
      <c r="I5214" s="48"/>
      <c r="J5214" s="48"/>
      <c r="L5214" s="65"/>
    </row>
    <row r="5215" spans="5:12">
      <c r="E5215" s="49">
        <v>45066.795138871385</v>
      </c>
      <c r="F5215" s="56">
        <v>11.616997456952365</v>
      </c>
      <c r="G5215" s="48"/>
      <c r="H5215" s="48"/>
      <c r="I5215" s="48"/>
      <c r="J5215" s="48"/>
      <c r="L5215" s="65"/>
    </row>
    <row r="5216" spans="5:12">
      <c r="E5216" s="49">
        <v>45066.798611093604</v>
      </c>
      <c r="F5216" s="56">
        <v>11.616997456952365</v>
      </c>
      <c r="G5216" s="48"/>
      <c r="H5216" s="48"/>
      <c r="I5216" s="48"/>
      <c r="J5216" s="48"/>
      <c r="L5216" s="65"/>
    </row>
    <row r="5217" spans="5:12">
      <c r="E5217" s="49">
        <v>45066.802083315823</v>
      </c>
      <c r="F5217" s="56">
        <v>11.616997456952365</v>
      </c>
      <c r="G5217" s="48"/>
      <c r="H5217" s="48"/>
      <c r="I5217" s="48"/>
      <c r="J5217" s="48"/>
      <c r="L5217" s="65"/>
    </row>
    <row r="5218" spans="5:12">
      <c r="E5218" s="49">
        <v>45066.805555538042</v>
      </c>
      <c r="F5218" s="56">
        <v>11.616997456952365</v>
      </c>
      <c r="G5218" s="48"/>
      <c r="H5218" s="48"/>
      <c r="I5218" s="48"/>
      <c r="J5218" s="48"/>
      <c r="L5218" s="65"/>
    </row>
    <row r="5219" spans="5:12">
      <c r="E5219" s="49">
        <v>45066.809027760261</v>
      </c>
      <c r="F5219" s="56">
        <v>11.616997456952365</v>
      </c>
      <c r="G5219" s="48"/>
      <c r="H5219" s="48"/>
      <c r="I5219" s="48"/>
      <c r="J5219" s="48"/>
      <c r="L5219" s="65"/>
    </row>
    <row r="5220" spans="5:12">
      <c r="E5220" s="49">
        <v>45066.812499982479</v>
      </c>
      <c r="F5220" s="56">
        <v>11.616997456952365</v>
      </c>
      <c r="G5220" s="48"/>
      <c r="H5220" s="48"/>
      <c r="I5220" s="48"/>
      <c r="J5220" s="48"/>
      <c r="L5220" s="65"/>
    </row>
    <row r="5221" spans="5:12">
      <c r="E5221" s="49">
        <v>45066.815972204698</v>
      </c>
      <c r="F5221" s="56">
        <v>11.616997456952365</v>
      </c>
      <c r="G5221" s="48"/>
      <c r="H5221" s="48"/>
      <c r="I5221" s="48"/>
      <c r="J5221" s="48"/>
      <c r="L5221" s="65"/>
    </row>
    <row r="5222" spans="5:12">
      <c r="E5222" s="49">
        <v>45066.819444426917</v>
      </c>
      <c r="F5222" s="56">
        <v>11.616997456952365</v>
      </c>
      <c r="G5222" s="48"/>
      <c r="H5222" s="48"/>
      <c r="I5222" s="48"/>
      <c r="J5222" s="48"/>
      <c r="L5222" s="65"/>
    </row>
    <row r="5223" spans="5:12">
      <c r="E5223" s="49">
        <v>45066.822916649136</v>
      </c>
      <c r="F5223" s="56">
        <v>11.616997456952365</v>
      </c>
      <c r="G5223" s="48"/>
      <c r="H5223" s="48"/>
      <c r="I5223" s="48"/>
      <c r="J5223" s="48"/>
      <c r="L5223" s="65"/>
    </row>
    <row r="5224" spans="5:12">
      <c r="E5224" s="49">
        <v>45066.826388871355</v>
      </c>
      <c r="F5224" s="56">
        <v>11.616997456952365</v>
      </c>
      <c r="G5224" s="48"/>
      <c r="H5224" s="48"/>
      <c r="I5224" s="48"/>
      <c r="J5224" s="48"/>
      <c r="L5224" s="65"/>
    </row>
    <row r="5225" spans="5:12">
      <c r="E5225" s="49">
        <v>45066.829861093574</v>
      </c>
      <c r="F5225" s="56">
        <v>11.616997456952365</v>
      </c>
      <c r="G5225" s="48"/>
      <c r="H5225" s="48"/>
      <c r="I5225" s="48"/>
      <c r="J5225" s="48"/>
      <c r="L5225" s="65"/>
    </row>
    <row r="5226" spans="5:12">
      <c r="E5226" s="49">
        <v>45066.833333315793</v>
      </c>
      <c r="F5226" s="56">
        <v>11.616997456952365</v>
      </c>
      <c r="G5226" s="48"/>
      <c r="H5226" s="48"/>
      <c r="I5226" s="48"/>
      <c r="J5226" s="48"/>
      <c r="L5226" s="65"/>
    </row>
    <row r="5227" spans="5:12">
      <c r="E5227" s="49">
        <v>45066.836805538012</v>
      </c>
      <c r="F5227" s="56">
        <v>11.616997456952365</v>
      </c>
      <c r="G5227" s="48"/>
      <c r="H5227" s="48"/>
      <c r="I5227" s="48"/>
      <c r="J5227" s="48"/>
      <c r="L5227" s="65"/>
    </row>
    <row r="5228" spans="5:12">
      <c r="E5228" s="49">
        <v>45066.840277760231</v>
      </c>
      <c r="F5228" s="56">
        <v>11.616997456952365</v>
      </c>
      <c r="G5228" s="48"/>
      <c r="H5228" s="48"/>
      <c r="I5228" s="48"/>
      <c r="J5228" s="48"/>
      <c r="L5228" s="65"/>
    </row>
    <row r="5229" spans="5:12">
      <c r="E5229" s="49">
        <v>45066.84374998245</v>
      </c>
      <c r="F5229" s="56">
        <v>11.616997456952365</v>
      </c>
      <c r="G5229" s="48"/>
      <c r="H5229" s="48"/>
      <c r="I5229" s="48"/>
      <c r="J5229" s="48"/>
      <c r="L5229" s="65"/>
    </row>
    <row r="5230" spans="5:12">
      <c r="E5230" s="49">
        <v>45066.847222204669</v>
      </c>
      <c r="F5230" s="56">
        <v>11.616997456952365</v>
      </c>
      <c r="G5230" s="48"/>
      <c r="H5230" s="48"/>
      <c r="I5230" s="48"/>
      <c r="J5230" s="48"/>
      <c r="L5230" s="65"/>
    </row>
    <row r="5231" spans="5:12">
      <c r="E5231" s="49">
        <v>45066.850694426888</v>
      </c>
      <c r="F5231" s="56">
        <v>11.616997456952365</v>
      </c>
      <c r="G5231" s="48"/>
      <c r="H5231" s="48"/>
      <c r="I5231" s="48"/>
      <c r="J5231" s="48"/>
      <c r="L5231" s="65"/>
    </row>
    <row r="5232" spans="5:12">
      <c r="E5232" s="49">
        <v>45066.854166649107</v>
      </c>
      <c r="F5232" s="56">
        <v>11.616997456952365</v>
      </c>
      <c r="G5232" s="48"/>
      <c r="H5232" s="48"/>
      <c r="I5232" s="48"/>
      <c r="J5232" s="48"/>
      <c r="L5232" s="65"/>
    </row>
    <row r="5233" spans="5:12">
      <c r="E5233" s="49">
        <v>45066.857638871326</v>
      </c>
      <c r="F5233" s="56">
        <v>11.616997456952365</v>
      </c>
      <c r="G5233" s="48"/>
      <c r="H5233" s="48"/>
      <c r="I5233" s="48"/>
      <c r="J5233" s="48"/>
      <c r="L5233" s="65"/>
    </row>
    <row r="5234" spans="5:12">
      <c r="E5234" s="49">
        <v>45066.861111093545</v>
      </c>
      <c r="F5234" s="56">
        <v>11.616997456952365</v>
      </c>
      <c r="G5234" s="48"/>
      <c r="H5234" s="48"/>
      <c r="I5234" s="48"/>
      <c r="J5234" s="48"/>
      <c r="L5234" s="65"/>
    </row>
    <row r="5235" spans="5:12">
      <c r="E5235" s="49">
        <v>45066.864583315764</v>
      </c>
      <c r="F5235" s="56">
        <v>11.616997456952365</v>
      </c>
      <c r="G5235" s="48"/>
      <c r="H5235" s="48"/>
      <c r="I5235" s="48"/>
      <c r="J5235" s="48"/>
      <c r="L5235" s="65"/>
    </row>
    <row r="5236" spans="5:12">
      <c r="E5236" s="49">
        <v>45066.868055537983</v>
      </c>
      <c r="F5236" s="56">
        <v>11.616997456952365</v>
      </c>
      <c r="G5236" s="48"/>
      <c r="H5236" s="48"/>
      <c r="I5236" s="48"/>
      <c r="J5236" s="48"/>
      <c r="L5236" s="65"/>
    </row>
    <row r="5237" spans="5:12">
      <c r="E5237" s="49">
        <v>45066.871527760202</v>
      </c>
      <c r="F5237" s="56">
        <v>11.616997456952365</v>
      </c>
      <c r="G5237" s="48"/>
      <c r="H5237" s="48"/>
      <c r="I5237" s="48"/>
      <c r="J5237" s="48"/>
      <c r="L5237" s="65"/>
    </row>
    <row r="5238" spans="5:12">
      <c r="E5238" s="49">
        <v>45066.874999982421</v>
      </c>
      <c r="F5238" s="56">
        <v>11.616997456952365</v>
      </c>
      <c r="G5238" s="48"/>
      <c r="H5238" s="48"/>
      <c r="I5238" s="48"/>
      <c r="J5238" s="48"/>
      <c r="L5238" s="65"/>
    </row>
    <row r="5239" spans="5:12">
      <c r="E5239" s="49">
        <v>45066.87847220464</v>
      </c>
      <c r="F5239" s="56">
        <v>11.616997456952365</v>
      </c>
      <c r="G5239" s="48"/>
      <c r="H5239" s="48"/>
      <c r="I5239" s="48"/>
      <c r="J5239" s="48"/>
      <c r="L5239" s="65"/>
    </row>
    <row r="5240" spans="5:12">
      <c r="E5240" s="49">
        <v>45066.881944426859</v>
      </c>
      <c r="F5240" s="56">
        <v>11.616997456952365</v>
      </c>
      <c r="G5240" s="48"/>
      <c r="H5240" s="48"/>
      <c r="I5240" s="48"/>
      <c r="J5240" s="48"/>
      <c r="L5240" s="65"/>
    </row>
    <row r="5241" spans="5:12">
      <c r="E5241" s="49">
        <v>45066.885416649078</v>
      </c>
      <c r="F5241" s="56">
        <v>11.616997456952365</v>
      </c>
      <c r="G5241" s="48"/>
      <c r="H5241" s="48"/>
      <c r="I5241" s="48"/>
      <c r="J5241" s="48"/>
      <c r="L5241" s="65"/>
    </row>
    <row r="5242" spans="5:12">
      <c r="E5242" s="49">
        <v>45066.888888871297</v>
      </c>
      <c r="F5242" s="56">
        <v>11.616997456952365</v>
      </c>
      <c r="G5242" s="48"/>
      <c r="H5242" s="48"/>
      <c r="I5242" s="48"/>
      <c r="J5242" s="48"/>
      <c r="L5242" s="65"/>
    </row>
    <row r="5243" spans="5:12">
      <c r="E5243" s="49">
        <v>45066.892361093516</v>
      </c>
      <c r="F5243" s="56">
        <v>11.616997456952365</v>
      </c>
      <c r="G5243" s="48"/>
      <c r="H5243" s="48"/>
      <c r="I5243" s="48"/>
      <c r="J5243" s="48"/>
      <c r="L5243" s="65"/>
    </row>
    <row r="5244" spans="5:12">
      <c r="E5244" s="49">
        <v>45066.895833315735</v>
      </c>
      <c r="F5244" s="56">
        <v>11.616997456952365</v>
      </c>
      <c r="G5244" s="48"/>
      <c r="H5244" s="48"/>
      <c r="I5244" s="48"/>
      <c r="J5244" s="48"/>
      <c r="L5244" s="65"/>
    </row>
    <row r="5245" spans="5:12">
      <c r="E5245" s="49">
        <v>45066.899305537954</v>
      </c>
      <c r="F5245" s="56">
        <v>11.616997456952365</v>
      </c>
      <c r="G5245" s="48"/>
      <c r="H5245" s="48"/>
      <c r="I5245" s="48"/>
      <c r="J5245" s="48"/>
      <c r="L5245" s="65"/>
    </row>
    <row r="5246" spans="5:12">
      <c r="E5246" s="49">
        <v>45066.902777760173</v>
      </c>
      <c r="F5246" s="56">
        <v>11.616997456952365</v>
      </c>
      <c r="G5246" s="48"/>
      <c r="H5246" s="48"/>
      <c r="I5246" s="48"/>
      <c r="J5246" s="48"/>
      <c r="L5246" s="65"/>
    </row>
    <row r="5247" spans="5:12">
      <c r="E5247" s="49">
        <v>45066.906249982392</v>
      </c>
      <c r="F5247" s="56">
        <v>11.616997456952365</v>
      </c>
      <c r="G5247" s="48"/>
      <c r="H5247" s="48"/>
      <c r="I5247" s="48"/>
      <c r="J5247" s="48"/>
      <c r="L5247" s="65"/>
    </row>
    <row r="5248" spans="5:12">
      <c r="E5248" s="49">
        <v>45066.909722204611</v>
      </c>
      <c r="F5248" s="56">
        <v>11.616997456952365</v>
      </c>
      <c r="G5248" s="48"/>
      <c r="H5248" s="48"/>
      <c r="I5248" s="48"/>
      <c r="J5248" s="48"/>
      <c r="L5248" s="65"/>
    </row>
    <row r="5249" spans="5:12">
      <c r="E5249" s="49">
        <v>45066.91319442683</v>
      </c>
      <c r="F5249" s="56">
        <v>11.616997456952365</v>
      </c>
      <c r="G5249" s="48"/>
      <c r="H5249" s="48"/>
      <c r="I5249" s="48"/>
      <c r="J5249" s="48"/>
      <c r="L5249" s="65"/>
    </row>
    <row r="5250" spans="5:12">
      <c r="E5250" s="49">
        <v>45066.916666649049</v>
      </c>
      <c r="F5250" s="56">
        <v>11.616997456952365</v>
      </c>
      <c r="G5250" s="48"/>
      <c r="H5250" s="48"/>
      <c r="I5250" s="48"/>
      <c r="J5250" s="48"/>
      <c r="L5250" s="65"/>
    </row>
    <row r="5251" spans="5:12">
      <c r="E5251" s="49">
        <v>45066.920138871268</v>
      </c>
      <c r="F5251" s="56">
        <v>11.616997456952365</v>
      </c>
      <c r="G5251" s="48"/>
      <c r="H5251" s="48"/>
      <c r="I5251" s="48"/>
      <c r="J5251" s="48"/>
      <c r="L5251" s="65"/>
    </row>
    <row r="5252" spans="5:12">
      <c r="E5252" s="49">
        <v>45066.923611093487</v>
      </c>
      <c r="F5252" s="56">
        <v>11.616997456952365</v>
      </c>
      <c r="G5252" s="48"/>
      <c r="H5252" s="48"/>
      <c r="I5252" s="48"/>
      <c r="J5252" s="48"/>
      <c r="L5252" s="65"/>
    </row>
    <row r="5253" spans="5:12">
      <c r="E5253" s="49">
        <v>45066.927083315706</v>
      </c>
      <c r="F5253" s="56">
        <v>11.616997456952365</v>
      </c>
      <c r="G5253" s="48"/>
      <c r="H5253" s="48"/>
      <c r="I5253" s="48"/>
      <c r="J5253" s="48"/>
      <c r="L5253" s="65"/>
    </row>
    <row r="5254" spans="5:12">
      <c r="E5254" s="49">
        <v>45066.930555537925</v>
      </c>
      <c r="F5254" s="56">
        <v>11.616997456952365</v>
      </c>
      <c r="G5254" s="48"/>
      <c r="H5254" s="48"/>
      <c r="I5254" s="48"/>
      <c r="J5254" s="48"/>
      <c r="L5254" s="65"/>
    </row>
    <row r="5255" spans="5:12">
      <c r="E5255" s="49">
        <v>45066.934027760144</v>
      </c>
      <c r="F5255" s="56">
        <v>11.616997456952365</v>
      </c>
      <c r="G5255" s="48"/>
      <c r="H5255" s="48"/>
      <c r="I5255" s="48"/>
      <c r="J5255" s="48"/>
      <c r="L5255" s="65"/>
    </row>
    <row r="5256" spans="5:12">
      <c r="E5256" s="49">
        <v>45066.937499982363</v>
      </c>
      <c r="F5256" s="56">
        <v>11.616997456952365</v>
      </c>
      <c r="G5256" s="48"/>
      <c r="H5256" s="48"/>
      <c r="I5256" s="48"/>
      <c r="J5256" s="48"/>
      <c r="L5256" s="65"/>
    </row>
    <row r="5257" spans="5:12">
      <c r="E5257" s="49">
        <v>45066.940972204582</v>
      </c>
      <c r="F5257" s="56">
        <v>11.616997456952365</v>
      </c>
      <c r="G5257" s="48"/>
      <c r="H5257" s="48"/>
      <c r="I5257" s="48"/>
      <c r="J5257" s="48"/>
      <c r="L5257" s="65"/>
    </row>
    <row r="5258" spans="5:12">
      <c r="E5258" s="49">
        <v>45066.944444426801</v>
      </c>
      <c r="F5258" s="56">
        <v>11.616997456952365</v>
      </c>
      <c r="G5258" s="48"/>
      <c r="H5258" s="48"/>
      <c r="I5258" s="48"/>
      <c r="J5258" s="48"/>
      <c r="L5258" s="65"/>
    </row>
    <row r="5259" spans="5:12">
      <c r="E5259" s="49">
        <v>45066.94791664902</v>
      </c>
      <c r="F5259" s="56">
        <v>11.616997456952365</v>
      </c>
      <c r="G5259" s="48"/>
      <c r="H5259" s="48"/>
      <c r="I5259" s="48"/>
      <c r="J5259" s="48"/>
      <c r="L5259" s="65"/>
    </row>
    <row r="5260" spans="5:12">
      <c r="E5260" s="49">
        <v>45066.951388871239</v>
      </c>
      <c r="F5260" s="56">
        <v>11.616997456952365</v>
      </c>
      <c r="G5260" s="48"/>
      <c r="H5260" s="48"/>
      <c r="I5260" s="48"/>
      <c r="J5260" s="48"/>
      <c r="L5260" s="65"/>
    </row>
    <row r="5261" spans="5:12">
      <c r="E5261" s="49">
        <v>45066.954861093458</v>
      </c>
      <c r="F5261" s="56">
        <v>11.616997456952365</v>
      </c>
      <c r="G5261" s="48"/>
      <c r="H5261" s="48"/>
      <c r="I5261" s="48"/>
      <c r="J5261" s="48"/>
      <c r="L5261" s="65"/>
    </row>
    <row r="5262" spans="5:12">
      <c r="E5262" s="49">
        <v>45066.958333315677</v>
      </c>
      <c r="F5262" s="56">
        <v>11.616997456952365</v>
      </c>
      <c r="G5262" s="48"/>
      <c r="H5262" s="48"/>
      <c r="I5262" s="48"/>
      <c r="J5262" s="48"/>
      <c r="L5262" s="65"/>
    </row>
    <row r="5263" spans="5:12">
      <c r="E5263" s="49">
        <v>45066.961805537896</v>
      </c>
      <c r="F5263" s="56">
        <v>11.616997456952365</v>
      </c>
      <c r="G5263" s="48"/>
      <c r="H5263" s="48"/>
      <c r="I5263" s="48"/>
      <c r="J5263" s="48"/>
      <c r="L5263" s="65"/>
    </row>
    <row r="5264" spans="5:12">
      <c r="E5264" s="49">
        <v>45066.965277760115</v>
      </c>
      <c r="F5264" s="56">
        <v>11.616997456952365</v>
      </c>
      <c r="G5264" s="48"/>
      <c r="H5264" s="48"/>
      <c r="I5264" s="48"/>
      <c r="J5264" s="48"/>
      <c r="L5264" s="65"/>
    </row>
    <row r="5265" spans="5:12">
      <c r="E5265" s="49">
        <v>45066.968749982334</v>
      </c>
      <c r="F5265" s="56">
        <v>11.616997456952365</v>
      </c>
      <c r="G5265" s="48"/>
      <c r="H5265" s="48"/>
      <c r="I5265" s="48"/>
      <c r="J5265" s="48"/>
      <c r="L5265" s="65"/>
    </row>
    <row r="5266" spans="5:12">
      <c r="E5266" s="49">
        <v>45066.972222204553</v>
      </c>
      <c r="F5266" s="56">
        <v>11.616997456952365</v>
      </c>
      <c r="G5266" s="48"/>
      <c r="H5266" s="48"/>
      <c r="I5266" s="48"/>
      <c r="J5266" s="48"/>
      <c r="L5266" s="65"/>
    </row>
    <row r="5267" spans="5:12">
      <c r="E5267" s="49">
        <v>45066.975694426772</v>
      </c>
      <c r="F5267" s="56">
        <v>11.616997456952365</v>
      </c>
      <c r="G5267" s="48"/>
      <c r="H5267" s="48"/>
      <c r="I5267" s="48"/>
      <c r="J5267" s="48"/>
      <c r="L5267" s="65"/>
    </row>
    <row r="5268" spans="5:12">
      <c r="E5268" s="49">
        <v>45066.979166648991</v>
      </c>
      <c r="F5268" s="56">
        <v>11.616997456952365</v>
      </c>
      <c r="G5268" s="48"/>
      <c r="H5268" s="48"/>
      <c r="I5268" s="48"/>
      <c r="J5268" s="48"/>
      <c r="L5268" s="65"/>
    </row>
    <row r="5269" spans="5:12">
      <c r="E5269" s="49">
        <v>45066.98263887121</v>
      </c>
      <c r="F5269" s="56">
        <v>11.616997456952365</v>
      </c>
      <c r="G5269" s="48"/>
      <c r="H5269" s="48"/>
      <c r="I5269" s="48"/>
      <c r="J5269" s="48"/>
      <c r="L5269" s="65"/>
    </row>
    <row r="5270" spans="5:12">
      <c r="E5270" s="49">
        <v>45066.986111093429</v>
      </c>
      <c r="F5270" s="56">
        <v>11.616997456952365</v>
      </c>
      <c r="G5270" s="48"/>
      <c r="H5270" s="48"/>
      <c r="I5270" s="48"/>
      <c r="J5270" s="48"/>
      <c r="L5270" s="65"/>
    </row>
    <row r="5271" spans="5:12">
      <c r="E5271" s="49">
        <v>45066.989583315648</v>
      </c>
      <c r="F5271" s="56">
        <v>11.616997456952365</v>
      </c>
      <c r="G5271" s="48"/>
      <c r="H5271" s="48"/>
      <c r="I5271" s="48"/>
      <c r="J5271" s="48"/>
      <c r="L5271" s="65"/>
    </row>
    <row r="5272" spans="5:12">
      <c r="E5272" s="49">
        <v>45066.993055537867</v>
      </c>
      <c r="F5272" s="56">
        <v>11.616997456952365</v>
      </c>
      <c r="G5272" s="48"/>
      <c r="H5272" s="48"/>
      <c r="I5272" s="48"/>
      <c r="J5272" s="48"/>
      <c r="L5272" s="65"/>
    </row>
    <row r="5273" spans="5:12">
      <c r="E5273" s="49">
        <v>45066.996527760086</v>
      </c>
      <c r="F5273" s="56">
        <v>11.616997456952365</v>
      </c>
      <c r="G5273" s="48"/>
      <c r="H5273" s="48"/>
      <c r="I5273" s="48"/>
      <c r="J5273" s="48"/>
      <c r="L5273" s="65"/>
    </row>
    <row r="5274" spans="5:12">
      <c r="E5274" s="49">
        <v>45066.999999982305</v>
      </c>
      <c r="F5274" s="56">
        <v>11.616997456952365</v>
      </c>
      <c r="G5274" s="48"/>
      <c r="H5274" s="48"/>
      <c r="I5274" s="48"/>
      <c r="J5274" s="48"/>
      <c r="L5274" s="65"/>
    </row>
    <row r="5275" spans="5:12">
      <c r="E5275" s="49">
        <v>45067.003472204524</v>
      </c>
      <c r="F5275" s="56">
        <v>11.616997456952365</v>
      </c>
      <c r="G5275" s="48"/>
      <c r="H5275" s="48"/>
      <c r="I5275" s="48"/>
      <c r="J5275" s="48"/>
      <c r="L5275" s="65"/>
    </row>
    <row r="5276" spans="5:12">
      <c r="E5276" s="49">
        <v>45067.006944426743</v>
      </c>
      <c r="F5276" s="56">
        <v>11.616997456952365</v>
      </c>
      <c r="G5276" s="48"/>
      <c r="H5276" s="48"/>
      <c r="I5276" s="48"/>
      <c r="J5276" s="48"/>
      <c r="L5276" s="65"/>
    </row>
    <row r="5277" spans="5:12">
      <c r="E5277" s="49">
        <v>45067.010416648962</v>
      </c>
      <c r="F5277" s="56">
        <v>11.616997456952365</v>
      </c>
      <c r="G5277" s="48"/>
      <c r="H5277" s="48"/>
      <c r="I5277" s="48"/>
      <c r="J5277" s="48"/>
      <c r="L5277" s="65"/>
    </row>
    <row r="5278" spans="5:12">
      <c r="E5278" s="49">
        <v>45067.013888871181</v>
      </c>
      <c r="F5278" s="56">
        <v>11.616997456952365</v>
      </c>
      <c r="G5278" s="48"/>
      <c r="H5278" s="48"/>
      <c r="I5278" s="48"/>
      <c r="J5278" s="48"/>
      <c r="L5278" s="65"/>
    </row>
    <row r="5279" spans="5:12">
      <c r="E5279" s="49">
        <v>45067.0173610934</v>
      </c>
      <c r="F5279" s="56">
        <v>11.616997456952365</v>
      </c>
      <c r="G5279" s="48"/>
      <c r="H5279" s="48"/>
      <c r="I5279" s="48"/>
      <c r="J5279" s="48"/>
      <c r="L5279" s="65"/>
    </row>
    <row r="5280" spans="5:12">
      <c r="E5280" s="49">
        <v>45067.020833315619</v>
      </c>
      <c r="F5280" s="56">
        <v>11.616997456952365</v>
      </c>
      <c r="G5280" s="48"/>
      <c r="H5280" s="48"/>
      <c r="I5280" s="48"/>
      <c r="J5280" s="48"/>
      <c r="L5280" s="65"/>
    </row>
    <row r="5281" spans="5:12">
      <c r="E5281" s="49">
        <v>45067.024305537838</v>
      </c>
      <c r="F5281" s="56">
        <v>11.616997456952365</v>
      </c>
      <c r="G5281" s="48"/>
      <c r="H5281" s="48"/>
      <c r="I5281" s="48"/>
      <c r="J5281" s="48"/>
      <c r="L5281" s="65"/>
    </row>
    <row r="5282" spans="5:12">
      <c r="E5282" s="49">
        <v>45067.027777760057</v>
      </c>
      <c r="F5282" s="56">
        <v>11.616997456952365</v>
      </c>
      <c r="G5282" s="48"/>
      <c r="H5282" s="48"/>
      <c r="I5282" s="48"/>
      <c r="J5282" s="48"/>
      <c r="L5282" s="65"/>
    </row>
    <row r="5283" spans="5:12">
      <c r="E5283" s="49">
        <v>45067.031249982276</v>
      </c>
      <c r="F5283" s="56">
        <v>11.616997456952365</v>
      </c>
      <c r="G5283" s="48"/>
      <c r="H5283" s="48"/>
      <c r="I5283" s="48"/>
      <c r="J5283" s="48"/>
      <c r="L5283" s="65"/>
    </row>
    <row r="5284" spans="5:12">
      <c r="E5284" s="49">
        <v>45067.034722204495</v>
      </c>
      <c r="F5284" s="56">
        <v>11.616997456952365</v>
      </c>
      <c r="G5284" s="48"/>
      <c r="H5284" s="48"/>
      <c r="I5284" s="48"/>
      <c r="J5284" s="48"/>
      <c r="L5284" s="65"/>
    </row>
    <row r="5285" spans="5:12">
      <c r="E5285" s="49">
        <v>45067.038194426714</v>
      </c>
      <c r="F5285" s="56">
        <v>11.616997456952365</v>
      </c>
      <c r="G5285" s="48"/>
      <c r="H5285" s="48"/>
      <c r="I5285" s="48"/>
      <c r="J5285" s="48"/>
      <c r="L5285" s="65"/>
    </row>
    <row r="5286" spans="5:12">
      <c r="E5286" s="49">
        <v>45067.041666648933</v>
      </c>
      <c r="F5286" s="56">
        <v>11.616997456952365</v>
      </c>
      <c r="G5286" s="48"/>
      <c r="H5286" s="48"/>
      <c r="I5286" s="48"/>
      <c r="J5286" s="48"/>
      <c r="L5286" s="65"/>
    </row>
    <row r="5287" spans="5:12">
      <c r="E5287" s="49">
        <v>45067.045138871152</v>
      </c>
      <c r="F5287" s="56">
        <v>11.616997456952365</v>
      </c>
      <c r="G5287" s="48"/>
      <c r="H5287" s="48"/>
      <c r="I5287" s="48"/>
      <c r="J5287" s="48"/>
      <c r="L5287" s="65"/>
    </row>
    <row r="5288" spans="5:12">
      <c r="E5288" s="49">
        <v>45067.048611093371</v>
      </c>
      <c r="F5288" s="56">
        <v>11.616997456952365</v>
      </c>
      <c r="G5288" s="48"/>
      <c r="H5288" s="48"/>
      <c r="I5288" s="48"/>
      <c r="J5288" s="48"/>
      <c r="L5288" s="65"/>
    </row>
    <row r="5289" spans="5:12">
      <c r="E5289" s="49">
        <v>45067.05208331559</v>
      </c>
      <c r="F5289" s="56">
        <v>11.616997456952365</v>
      </c>
      <c r="G5289" s="48"/>
      <c r="H5289" s="48"/>
      <c r="I5289" s="48"/>
      <c r="J5289" s="48"/>
      <c r="L5289" s="65"/>
    </row>
    <row r="5290" spans="5:12">
      <c r="E5290" s="49">
        <v>45067.055555537809</v>
      </c>
      <c r="F5290" s="56">
        <v>11.616997456952365</v>
      </c>
      <c r="G5290" s="48"/>
      <c r="H5290" s="48"/>
      <c r="I5290" s="48"/>
      <c r="J5290" s="48"/>
      <c r="L5290" s="65"/>
    </row>
    <row r="5291" spans="5:12">
      <c r="E5291" s="49">
        <v>45067.059027760028</v>
      </c>
      <c r="F5291" s="56">
        <v>11.616997456952365</v>
      </c>
      <c r="G5291" s="48"/>
      <c r="H5291" s="48"/>
      <c r="I5291" s="48"/>
      <c r="J5291" s="48"/>
      <c r="L5291" s="65"/>
    </row>
    <row r="5292" spans="5:12">
      <c r="E5292" s="49">
        <v>45067.062499982247</v>
      </c>
      <c r="F5292" s="56">
        <v>11.616997456952365</v>
      </c>
      <c r="G5292" s="48"/>
      <c r="H5292" s="48"/>
      <c r="I5292" s="48"/>
      <c r="J5292" s="48"/>
      <c r="L5292" s="65"/>
    </row>
    <row r="5293" spans="5:12">
      <c r="E5293" s="49">
        <v>45067.065972204466</v>
      </c>
      <c r="F5293" s="56">
        <v>11.616997456952365</v>
      </c>
      <c r="G5293" s="48"/>
      <c r="H5293" s="48"/>
      <c r="I5293" s="48"/>
      <c r="J5293" s="48"/>
      <c r="L5293" s="65"/>
    </row>
    <row r="5294" spans="5:12">
      <c r="E5294" s="49">
        <v>45067.069444426685</v>
      </c>
      <c r="F5294" s="56">
        <v>11.616997456952365</v>
      </c>
      <c r="G5294" s="48"/>
      <c r="H5294" s="48"/>
      <c r="I5294" s="48"/>
      <c r="J5294" s="48"/>
      <c r="L5294" s="65"/>
    </row>
    <row r="5295" spans="5:12">
      <c r="E5295" s="49">
        <v>45067.072916648904</v>
      </c>
      <c r="F5295" s="56">
        <v>11.616997456952365</v>
      </c>
      <c r="G5295" s="48"/>
      <c r="H5295" s="48"/>
      <c r="I5295" s="48"/>
      <c r="J5295" s="48"/>
      <c r="L5295" s="65"/>
    </row>
    <row r="5296" spans="5:12">
      <c r="E5296" s="49">
        <v>45067.076388871123</v>
      </c>
      <c r="F5296" s="56">
        <v>11.616997456952365</v>
      </c>
      <c r="G5296" s="48"/>
      <c r="H5296" s="48"/>
      <c r="I5296" s="48"/>
      <c r="J5296" s="48"/>
      <c r="L5296" s="65"/>
    </row>
    <row r="5297" spans="5:12">
      <c r="E5297" s="49">
        <v>45067.079861093342</v>
      </c>
      <c r="F5297" s="56">
        <v>11.616997456952365</v>
      </c>
      <c r="G5297" s="48"/>
      <c r="H5297" s="48"/>
      <c r="I5297" s="48"/>
      <c r="J5297" s="48"/>
      <c r="L5297" s="65"/>
    </row>
    <row r="5298" spans="5:12">
      <c r="E5298" s="49">
        <v>45067.083333315561</v>
      </c>
      <c r="F5298" s="56">
        <v>11.616997456952365</v>
      </c>
      <c r="G5298" s="48"/>
      <c r="H5298" s="48"/>
      <c r="I5298" s="48"/>
      <c r="J5298" s="48"/>
      <c r="L5298" s="65"/>
    </row>
    <row r="5299" spans="5:12">
      <c r="E5299" s="49">
        <v>45067.08680553778</v>
      </c>
      <c r="F5299" s="56">
        <v>11.616997456952365</v>
      </c>
      <c r="G5299" s="48"/>
      <c r="H5299" s="48"/>
      <c r="I5299" s="48"/>
      <c r="J5299" s="48"/>
      <c r="L5299" s="65"/>
    </row>
    <row r="5300" spans="5:12">
      <c r="E5300" s="49">
        <v>45067.090277759999</v>
      </c>
      <c r="F5300" s="56">
        <v>11.616997456952365</v>
      </c>
      <c r="G5300" s="48"/>
      <c r="H5300" s="48"/>
      <c r="I5300" s="48"/>
      <c r="J5300" s="48"/>
      <c r="L5300" s="65"/>
    </row>
    <row r="5301" spans="5:12">
      <c r="E5301" s="49">
        <v>45067.093749982218</v>
      </c>
      <c r="F5301" s="56">
        <v>11.616997456952365</v>
      </c>
      <c r="G5301" s="48"/>
      <c r="H5301" s="48"/>
      <c r="I5301" s="48"/>
      <c r="J5301" s="48"/>
      <c r="L5301" s="65"/>
    </row>
    <row r="5302" spans="5:12">
      <c r="E5302" s="49">
        <v>45067.097222204437</v>
      </c>
      <c r="F5302" s="56">
        <v>11.616997456952365</v>
      </c>
      <c r="G5302" s="48"/>
      <c r="H5302" s="48"/>
      <c r="I5302" s="48"/>
      <c r="J5302" s="48"/>
      <c r="L5302" s="65"/>
    </row>
    <row r="5303" spans="5:12">
      <c r="E5303" s="49">
        <v>45067.100694426656</v>
      </c>
      <c r="F5303" s="56">
        <v>11.616997456952365</v>
      </c>
      <c r="G5303" s="48"/>
      <c r="H5303" s="48"/>
      <c r="I5303" s="48"/>
      <c r="J5303" s="48"/>
      <c r="L5303" s="65"/>
    </row>
    <row r="5304" spans="5:12">
      <c r="E5304" s="49">
        <v>45067.104166648875</v>
      </c>
      <c r="F5304" s="56">
        <v>11.616997456952365</v>
      </c>
      <c r="G5304" s="48"/>
      <c r="H5304" s="48"/>
      <c r="I5304" s="48"/>
      <c r="J5304" s="48"/>
      <c r="L5304" s="65"/>
    </row>
    <row r="5305" spans="5:12">
      <c r="E5305" s="49">
        <v>45067.107638871094</v>
      </c>
      <c r="F5305" s="56">
        <v>11.616997456952365</v>
      </c>
      <c r="G5305" s="48"/>
      <c r="H5305" s="48"/>
      <c r="I5305" s="48"/>
      <c r="J5305" s="48"/>
      <c r="L5305" s="65"/>
    </row>
    <row r="5306" spans="5:12">
      <c r="E5306" s="49">
        <v>45067.111111093313</v>
      </c>
      <c r="F5306" s="56">
        <v>11.616997456952365</v>
      </c>
      <c r="G5306" s="48"/>
      <c r="H5306" s="48"/>
      <c r="I5306" s="48"/>
      <c r="J5306" s="48"/>
      <c r="L5306" s="65"/>
    </row>
    <row r="5307" spans="5:12">
      <c r="E5307" s="49">
        <v>45067.114583315531</v>
      </c>
      <c r="F5307" s="56">
        <v>11.616997456952365</v>
      </c>
      <c r="G5307" s="48"/>
      <c r="H5307" s="48"/>
      <c r="I5307" s="48"/>
      <c r="J5307" s="48"/>
      <c r="L5307" s="65"/>
    </row>
    <row r="5308" spans="5:12">
      <c r="E5308" s="49">
        <v>45067.11805553775</v>
      </c>
      <c r="F5308" s="56">
        <v>11.616997456952365</v>
      </c>
      <c r="G5308" s="48"/>
      <c r="H5308" s="48"/>
      <c r="I5308" s="48"/>
      <c r="J5308" s="48"/>
      <c r="L5308" s="65"/>
    </row>
    <row r="5309" spans="5:12">
      <c r="E5309" s="49">
        <v>45067.121527759969</v>
      </c>
      <c r="F5309" s="56">
        <v>11.616997456952365</v>
      </c>
      <c r="G5309" s="48"/>
      <c r="H5309" s="48"/>
      <c r="I5309" s="48"/>
      <c r="J5309" s="48"/>
      <c r="L5309" s="65"/>
    </row>
    <row r="5310" spans="5:12">
      <c r="E5310" s="49">
        <v>45067.124999982188</v>
      </c>
      <c r="F5310" s="56">
        <v>11.616997456952365</v>
      </c>
      <c r="G5310" s="48"/>
      <c r="H5310" s="48"/>
      <c r="I5310" s="48"/>
      <c r="J5310" s="48"/>
      <c r="L5310" s="65"/>
    </row>
    <row r="5311" spans="5:12">
      <c r="E5311" s="49">
        <v>45067.128472204407</v>
      </c>
      <c r="F5311" s="56">
        <v>11.616997456952365</v>
      </c>
      <c r="G5311" s="48"/>
      <c r="H5311" s="48"/>
      <c r="I5311" s="48"/>
      <c r="J5311" s="48"/>
      <c r="L5311" s="65"/>
    </row>
    <row r="5312" spans="5:12">
      <c r="E5312" s="49">
        <v>45067.131944426626</v>
      </c>
      <c r="F5312" s="56">
        <v>11.616997456952365</v>
      </c>
      <c r="G5312" s="48"/>
      <c r="H5312" s="48"/>
      <c r="I5312" s="48"/>
      <c r="J5312" s="48"/>
      <c r="L5312" s="65"/>
    </row>
    <row r="5313" spans="5:12">
      <c r="E5313" s="49">
        <v>45067.135416648845</v>
      </c>
      <c r="F5313" s="56">
        <v>11.616997456952365</v>
      </c>
      <c r="G5313" s="48"/>
      <c r="H5313" s="48"/>
      <c r="I5313" s="48"/>
      <c r="J5313" s="48"/>
      <c r="L5313" s="65"/>
    </row>
    <row r="5314" spans="5:12">
      <c r="E5314" s="49">
        <v>45067.138888871064</v>
      </c>
      <c r="F5314" s="56">
        <v>11.616997456952365</v>
      </c>
      <c r="G5314" s="48"/>
      <c r="H5314" s="48"/>
      <c r="I5314" s="48"/>
      <c r="J5314" s="48"/>
      <c r="L5314" s="65"/>
    </row>
    <row r="5315" spans="5:12">
      <c r="E5315" s="49">
        <v>45067.142361093283</v>
      </c>
      <c r="F5315" s="56">
        <v>11.616997456952365</v>
      </c>
      <c r="G5315" s="48"/>
      <c r="H5315" s="48"/>
      <c r="I5315" s="48"/>
      <c r="J5315" s="48"/>
      <c r="L5315" s="65"/>
    </row>
    <row r="5316" spans="5:12">
      <c r="E5316" s="49">
        <v>45067.145833315502</v>
      </c>
      <c r="F5316" s="56">
        <v>11.616997456952365</v>
      </c>
      <c r="G5316" s="48"/>
      <c r="H5316" s="48"/>
      <c r="I5316" s="48"/>
      <c r="J5316" s="48"/>
      <c r="L5316" s="65"/>
    </row>
    <row r="5317" spans="5:12">
      <c r="E5317" s="49">
        <v>45067.149305537721</v>
      </c>
      <c r="F5317" s="56">
        <v>11.616997456952365</v>
      </c>
      <c r="G5317" s="48"/>
      <c r="H5317" s="48"/>
      <c r="I5317" s="48"/>
      <c r="J5317" s="48"/>
      <c r="L5317" s="65"/>
    </row>
    <row r="5318" spans="5:12">
      <c r="E5318" s="49">
        <v>45067.15277775994</v>
      </c>
      <c r="F5318" s="56">
        <v>11.616997456952365</v>
      </c>
      <c r="G5318" s="48"/>
      <c r="H5318" s="48"/>
      <c r="I5318" s="48"/>
      <c r="J5318" s="48"/>
      <c r="L5318" s="65"/>
    </row>
    <row r="5319" spans="5:12">
      <c r="E5319" s="49">
        <v>45067.156249982159</v>
      </c>
      <c r="F5319" s="56">
        <v>11.616997456952365</v>
      </c>
      <c r="G5319" s="48"/>
      <c r="H5319" s="48"/>
      <c r="I5319" s="48"/>
      <c r="J5319" s="48"/>
      <c r="L5319" s="65"/>
    </row>
    <row r="5320" spans="5:12">
      <c r="E5320" s="49">
        <v>45067.159722204378</v>
      </c>
      <c r="F5320" s="56">
        <v>11.616997456952365</v>
      </c>
      <c r="G5320" s="48"/>
      <c r="H5320" s="48"/>
      <c r="I5320" s="48"/>
      <c r="J5320" s="48"/>
      <c r="L5320" s="65"/>
    </row>
    <row r="5321" spans="5:12">
      <c r="E5321" s="49">
        <v>45067.163194426597</v>
      </c>
      <c r="F5321" s="56">
        <v>11.616997456952365</v>
      </c>
      <c r="G5321" s="48"/>
      <c r="H5321" s="48"/>
      <c r="I5321" s="48"/>
      <c r="J5321" s="48"/>
      <c r="L5321" s="65"/>
    </row>
    <row r="5322" spans="5:12">
      <c r="E5322" s="49">
        <v>45067.166666648816</v>
      </c>
      <c r="F5322" s="56">
        <v>11.616997456952365</v>
      </c>
      <c r="G5322" s="48"/>
      <c r="H5322" s="48"/>
      <c r="I5322" s="48"/>
      <c r="J5322" s="48"/>
      <c r="L5322" s="65"/>
    </row>
    <row r="5323" spans="5:12">
      <c r="E5323" s="49">
        <v>45067.170138871035</v>
      </c>
      <c r="F5323" s="56">
        <v>11.616997456952365</v>
      </c>
      <c r="G5323" s="48"/>
      <c r="H5323" s="48"/>
      <c r="I5323" s="48"/>
      <c r="J5323" s="48"/>
      <c r="L5323" s="65"/>
    </row>
    <row r="5324" spans="5:12">
      <c r="E5324" s="49">
        <v>45067.173611093254</v>
      </c>
      <c r="F5324" s="56">
        <v>11.616997456952365</v>
      </c>
      <c r="G5324" s="48"/>
      <c r="H5324" s="48"/>
      <c r="I5324" s="48"/>
      <c r="J5324" s="48"/>
      <c r="L5324" s="65"/>
    </row>
    <row r="5325" spans="5:12">
      <c r="E5325" s="49">
        <v>45067.177083315473</v>
      </c>
      <c r="F5325" s="56">
        <v>11.616997456952365</v>
      </c>
      <c r="G5325" s="48"/>
      <c r="H5325" s="48"/>
      <c r="I5325" s="48"/>
      <c r="J5325" s="48"/>
      <c r="L5325" s="65"/>
    </row>
    <row r="5326" spans="5:12">
      <c r="E5326" s="49">
        <v>45067.180555537692</v>
      </c>
      <c r="F5326" s="56">
        <v>11.616997456952365</v>
      </c>
      <c r="G5326" s="48"/>
      <c r="H5326" s="48"/>
      <c r="I5326" s="48"/>
      <c r="J5326" s="48"/>
      <c r="L5326" s="65"/>
    </row>
    <row r="5327" spans="5:12">
      <c r="E5327" s="49">
        <v>45067.184027759911</v>
      </c>
      <c r="F5327" s="56">
        <v>11.616997456952365</v>
      </c>
      <c r="G5327" s="48"/>
      <c r="H5327" s="48"/>
      <c r="I5327" s="48"/>
      <c r="J5327" s="48"/>
      <c r="L5327" s="65"/>
    </row>
    <row r="5328" spans="5:12">
      <c r="E5328" s="49">
        <v>45067.18749998213</v>
      </c>
      <c r="F5328" s="56">
        <v>11.616997456952365</v>
      </c>
      <c r="G5328" s="48"/>
      <c r="H5328" s="48"/>
      <c r="I5328" s="48"/>
      <c r="J5328" s="48"/>
      <c r="L5328" s="65"/>
    </row>
    <row r="5329" spans="5:12">
      <c r="E5329" s="49">
        <v>45067.190972204349</v>
      </c>
      <c r="F5329" s="56">
        <v>11.616997456952365</v>
      </c>
      <c r="G5329" s="48"/>
      <c r="H5329" s="48"/>
      <c r="I5329" s="48"/>
      <c r="J5329" s="48"/>
      <c r="L5329" s="65"/>
    </row>
    <row r="5330" spans="5:12">
      <c r="E5330" s="49">
        <v>45067.194444426568</v>
      </c>
      <c r="F5330" s="56">
        <v>11.616997456952365</v>
      </c>
      <c r="G5330" s="48"/>
      <c r="H5330" s="48"/>
      <c r="I5330" s="48"/>
      <c r="J5330" s="48"/>
      <c r="L5330" s="65"/>
    </row>
    <row r="5331" spans="5:12">
      <c r="E5331" s="49">
        <v>45067.197916648787</v>
      </c>
      <c r="F5331" s="56">
        <v>11.616997456952365</v>
      </c>
      <c r="G5331" s="48"/>
      <c r="H5331" s="48"/>
      <c r="I5331" s="48"/>
      <c r="J5331" s="48"/>
      <c r="L5331" s="65"/>
    </row>
    <row r="5332" spans="5:12">
      <c r="E5332" s="49">
        <v>45067.201388871006</v>
      </c>
      <c r="F5332" s="56">
        <v>11.616997456952365</v>
      </c>
      <c r="G5332" s="48"/>
      <c r="H5332" s="48"/>
      <c r="I5332" s="48"/>
      <c r="J5332" s="48"/>
      <c r="L5332" s="65"/>
    </row>
    <row r="5333" spans="5:12">
      <c r="E5333" s="49">
        <v>45067.204861093225</v>
      </c>
      <c r="F5333" s="56">
        <v>11.616997456952365</v>
      </c>
      <c r="G5333" s="48"/>
      <c r="H5333" s="48"/>
      <c r="I5333" s="48"/>
      <c r="J5333" s="48"/>
      <c r="L5333" s="65"/>
    </row>
    <row r="5334" spans="5:12">
      <c r="E5334" s="49">
        <v>45067.208333315444</v>
      </c>
      <c r="F5334" s="56">
        <v>11.616997456952365</v>
      </c>
      <c r="G5334" s="48"/>
      <c r="H5334" s="48"/>
      <c r="I5334" s="48"/>
      <c r="J5334" s="48"/>
      <c r="L5334" s="65"/>
    </row>
    <row r="5335" spans="5:12">
      <c r="E5335" s="49">
        <v>45067.211805537663</v>
      </c>
      <c r="F5335" s="56">
        <v>11.616997456952365</v>
      </c>
      <c r="G5335" s="48"/>
      <c r="H5335" s="48"/>
      <c r="I5335" s="48"/>
      <c r="J5335" s="48"/>
      <c r="L5335" s="65"/>
    </row>
    <row r="5336" spans="5:12">
      <c r="E5336" s="49">
        <v>45067.215277759882</v>
      </c>
      <c r="F5336" s="56">
        <v>11.616997456952365</v>
      </c>
      <c r="G5336" s="48"/>
      <c r="H5336" s="48"/>
      <c r="I5336" s="48"/>
      <c r="J5336" s="48"/>
      <c r="L5336" s="65"/>
    </row>
    <row r="5337" spans="5:12">
      <c r="E5337" s="49">
        <v>45067.218749982101</v>
      </c>
      <c r="F5337" s="56">
        <v>11.616997456952365</v>
      </c>
      <c r="G5337" s="48"/>
      <c r="H5337" s="48"/>
      <c r="I5337" s="48"/>
      <c r="J5337" s="48"/>
      <c r="L5337" s="65"/>
    </row>
    <row r="5338" spans="5:12">
      <c r="E5338" s="49">
        <v>45067.22222220432</v>
      </c>
      <c r="F5338" s="56">
        <v>11.616997456952365</v>
      </c>
      <c r="G5338" s="48"/>
      <c r="H5338" s="48"/>
      <c r="I5338" s="48"/>
      <c r="J5338" s="48"/>
      <c r="L5338" s="65"/>
    </row>
    <row r="5339" spans="5:12">
      <c r="E5339" s="49">
        <v>45067.225694426539</v>
      </c>
      <c r="F5339" s="56">
        <v>11.616997456952365</v>
      </c>
      <c r="G5339" s="48"/>
      <c r="H5339" s="48"/>
      <c r="I5339" s="48"/>
      <c r="J5339" s="48"/>
      <c r="L5339" s="65"/>
    </row>
    <row r="5340" spans="5:12">
      <c r="E5340" s="49">
        <v>45067.229166648758</v>
      </c>
      <c r="F5340" s="56">
        <v>11.616997456952365</v>
      </c>
      <c r="G5340" s="48"/>
      <c r="H5340" s="48"/>
      <c r="I5340" s="48"/>
      <c r="J5340" s="48"/>
      <c r="L5340" s="65"/>
    </row>
    <row r="5341" spans="5:12">
      <c r="E5341" s="49">
        <v>45067.232638870977</v>
      </c>
      <c r="F5341" s="56">
        <v>11.616997456952365</v>
      </c>
      <c r="G5341" s="48"/>
      <c r="H5341" s="48"/>
      <c r="I5341" s="48"/>
      <c r="J5341" s="48"/>
      <c r="L5341" s="65"/>
    </row>
    <row r="5342" spans="5:12">
      <c r="E5342" s="49">
        <v>45067.236111093196</v>
      </c>
      <c r="F5342" s="56">
        <v>11.616997456952365</v>
      </c>
      <c r="G5342" s="48"/>
      <c r="H5342" s="48"/>
      <c r="I5342" s="48"/>
      <c r="J5342" s="48"/>
      <c r="L5342" s="65"/>
    </row>
    <row r="5343" spans="5:12">
      <c r="E5343" s="49">
        <v>45067.239583315415</v>
      </c>
      <c r="F5343" s="56">
        <v>11.616997456952365</v>
      </c>
      <c r="G5343" s="48"/>
      <c r="H5343" s="48"/>
      <c r="I5343" s="48"/>
      <c r="J5343" s="48"/>
      <c r="L5343" s="65"/>
    </row>
    <row r="5344" spans="5:12">
      <c r="E5344" s="49">
        <v>45067.243055537634</v>
      </c>
      <c r="F5344" s="56">
        <v>11.616997456952365</v>
      </c>
      <c r="G5344" s="48"/>
      <c r="H5344" s="48"/>
      <c r="I5344" s="48"/>
      <c r="J5344" s="48"/>
      <c r="L5344" s="65"/>
    </row>
    <row r="5345" spans="5:12">
      <c r="E5345" s="49">
        <v>45067.246527759853</v>
      </c>
      <c r="F5345" s="56">
        <v>11.616997456952365</v>
      </c>
      <c r="G5345" s="48"/>
      <c r="H5345" s="48"/>
      <c r="I5345" s="48"/>
      <c r="J5345" s="48"/>
      <c r="L5345" s="65"/>
    </row>
    <row r="5346" spans="5:12">
      <c r="E5346" s="49">
        <v>45067.249999982072</v>
      </c>
      <c r="F5346" s="56">
        <v>11.616997456952365</v>
      </c>
      <c r="G5346" s="48"/>
      <c r="H5346" s="48"/>
      <c r="I5346" s="48"/>
      <c r="J5346" s="48"/>
      <c r="L5346" s="65"/>
    </row>
    <row r="5347" spans="5:12">
      <c r="E5347" s="49">
        <v>45067.253472204291</v>
      </c>
      <c r="F5347" s="56">
        <v>11.616997456952365</v>
      </c>
      <c r="G5347" s="48"/>
      <c r="H5347" s="48"/>
      <c r="I5347" s="48"/>
      <c r="J5347" s="48"/>
      <c r="L5347" s="65"/>
    </row>
    <row r="5348" spans="5:12">
      <c r="E5348" s="49">
        <v>45067.25694442651</v>
      </c>
      <c r="F5348" s="56">
        <v>11.616997456952365</v>
      </c>
      <c r="G5348" s="48"/>
      <c r="H5348" s="48"/>
      <c r="I5348" s="48"/>
      <c r="J5348" s="48"/>
      <c r="L5348" s="65"/>
    </row>
    <row r="5349" spans="5:12">
      <c r="E5349" s="49">
        <v>45067.260416648729</v>
      </c>
      <c r="F5349" s="56">
        <v>11.616997456952365</v>
      </c>
      <c r="G5349" s="48"/>
      <c r="H5349" s="48"/>
      <c r="I5349" s="48"/>
      <c r="J5349" s="48"/>
      <c r="L5349" s="65"/>
    </row>
    <row r="5350" spans="5:12">
      <c r="E5350" s="49">
        <v>45067.263888870948</v>
      </c>
      <c r="F5350" s="56">
        <v>11.616997456952365</v>
      </c>
      <c r="G5350" s="48"/>
      <c r="H5350" s="48"/>
      <c r="I5350" s="48"/>
      <c r="J5350" s="48"/>
      <c r="L5350" s="65"/>
    </row>
    <row r="5351" spans="5:12">
      <c r="E5351" s="49">
        <v>45067.267361093167</v>
      </c>
      <c r="F5351" s="56">
        <v>11.616997456952365</v>
      </c>
      <c r="G5351" s="48"/>
      <c r="H5351" s="48"/>
      <c r="I5351" s="48"/>
      <c r="J5351" s="48"/>
      <c r="L5351" s="65"/>
    </row>
    <row r="5352" spans="5:12">
      <c r="E5352" s="49">
        <v>45067.270833315386</v>
      </c>
      <c r="F5352" s="56">
        <v>11.616997456952365</v>
      </c>
      <c r="G5352" s="48"/>
      <c r="H5352" s="48"/>
      <c r="I5352" s="48"/>
      <c r="J5352" s="48"/>
      <c r="L5352" s="65"/>
    </row>
    <row r="5353" spans="5:12">
      <c r="E5353" s="49">
        <v>45067.274305537605</v>
      </c>
      <c r="F5353" s="56">
        <v>11.616997456952365</v>
      </c>
      <c r="G5353" s="48"/>
      <c r="H5353" s="48"/>
      <c r="I5353" s="48"/>
      <c r="J5353" s="48"/>
      <c r="L5353" s="65"/>
    </row>
    <row r="5354" spans="5:12">
      <c r="E5354" s="49">
        <v>45067.277777759824</v>
      </c>
      <c r="F5354" s="56">
        <v>11.616997456952365</v>
      </c>
      <c r="G5354" s="48"/>
      <c r="H5354" s="48"/>
      <c r="I5354" s="48"/>
      <c r="J5354" s="48"/>
      <c r="L5354" s="65"/>
    </row>
    <row r="5355" spans="5:12">
      <c r="E5355" s="49">
        <v>45067.281249982043</v>
      </c>
      <c r="F5355" s="56">
        <v>11.616997456952365</v>
      </c>
      <c r="G5355" s="48"/>
      <c r="H5355" s="48"/>
      <c r="I5355" s="48"/>
      <c r="J5355" s="48"/>
      <c r="L5355" s="65"/>
    </row>
    <row r="5356" spans="5:12">
      <c r="E5356" s="49">
        <v>45067.284722204262</v>
      </c>
      <c r="F5356" s="56">
        <v>11.616997456952365</v>
      </c>
      <c r="G5356" s="48"/>
      <c r="H5356" s="48"/>
      <c r="I5356" s="48"/>
      <c r="J5356" s="48"/>
      <c r="L5356" s="65"/>
    </row>
    <row r="5357" spans="5:12">
      <c r="E5357" s="49">
        <v>45067.288194426481</v>
      </c>
      <c r="F5357" s="56">
        <v>11.616997456952365</v>
      </c>
      <c r="G5357" s="48"/>
      <c r="H5357" s="48"/>
      <c r="I5357" s="48"/>
      <c r="J5357" s="48"/>
      <c r="L5357" s="65"/>
    </row>
    <row r="5358" spans="5:12">
      <c r="E5358" s="49">
        <v>45067.2916666487</v>
      </c>
      <c r="F5358" s="56">
        <v>11.616997456952365</v>
      </c>
      <c r="G5358" s="48"/>
      <c r="H5358" s="48"/>
      <c r="I5358" s="48"/>
      <c r="J5358" s="48"/>
      <c r="L5358" s="65"/>
    </row>
    <row r="5359" spans="5:12">
      <c r="E5359" s="49">
        <v>45067.295138870919</v>
      </c>
      <c r="F5359" s="56">
        <v>11.616997456952365</v>
      </c>
      <c r="G5359" s="48"/>
      <c r="H5359" s="48"/>
      <c r="I5359" s="48"/>
      <c r="J5359" s="48"/>
      <c r="L5359" s="65"/>
    </row>
    <row r="5360" spans="5:12">
      <c r="E5360" s="49">
        <v>45067.298611093138</v>
      </c>
      <c r="F5360" s="56">
        <v>11.616997456952365</v>
      </c>
      <c r="G5360" s="48"/>
      <c r="H5360" s="48"/>
      <c r="I5360" s="48"/>
      <c r="J5360" s="48"/>
      <c r="L5360" s="65"/>
    </row>
    <row r="5361" spans="5:12">
      <c r="E5361" s="49">
        <v>45067.302083315357</v>
      </c>
      <c r="F5361" s="56">
        <v>11.616997456952365</v>
      </c>
      <c r="G5361" s="48"/>
      <c r="H5361" s="48"/>
      <c r="I5361" s="48"/>
      <c r="J5361" s="48"/>
      <c r="L5361" s="65"/>
    </row>
    <row r="5362" spans="5:12">
      <c r="E5362" s="49">
        <v>45067.305555537576</v>
      </c>
      <c r="F5362" s="56">
        <v>11.616997456952365</v>
      </c>
      <c r="G5362" s="48"/>
      <c r="H5362" s="48"/>
      <c r="I5362" s="48"/>
      <c r="J5362" s="48"/>
      <c r="L5362" s="65"/>
    </row>
    <row r="5363" spans="5:12">
      <c r="E5363" s="49">
        <v>45067.309027759795</v>
      </c>
      <c r="F5363" s="56">
        <v>11.616997456952365</v>
      </c>
      <c r="G5363" s="48"/>
      <c r="H5363" s="48"/>
      <c r="I5363" s="48"/>
      <c r="J5363" s="48"/>
      <c r="L5363" s="65"/>
    </row>
    <row r="5364" spans="5:12">
      <c r="E5364" s="49">
        <v>45067.312499982014</v>
      </c>
      <c r="F5364" s="56">
        <v>11.616997456952365</v>
      </c>
      <c r="G5364" s="48"/>
      <c r="H5364" s="48"/>
      <c r="I5364" s="48"/>
      <c r="J5364" s="48"/>
      <c r="L5364" s="65"/>
    </row>
    <row r="5365" spans="5:12">
      <c r="E5365" s="49">
        <v>45067.315972204233</v>
      </c>
      <c r="F5365" s="56">
        <v>11.616997456952365</v>
      </c>
      <c r="G5365" s="48"/>
      <c r="H5365" s="48"/>
      <c r="I5365" s="48"/>
      <c r="J5365" s="48"/>
      <c r="L5365" s="65"/>
    </row>
    <row r="5366" spans="5:12">
      <c r="E5366" s="49">
        <v>45067.319444426452</v>
      </c>
      <c r="F5366" s="56">
        <v>11.616997456952365</v>
      </c>
      <c r="G5366" s="48"/>
      <c r="H5366" s="48"/>
      <c r="I5366" s="48"/>
      <c r="J5366" s="48"/>
      <c r="L5366" s="65"/>
    </row>
    <row r="5367" spans="5:12">
      <c r="E5367" s="49">
        <v>45067.322916648671</v>
      </c>
      <c r="F5367" s="56">
        <v>11.616997456952365</v>
      </c>
      <c r="G5367" s="48"/>
      <c r="H5367" s="48"/>
      <c r="I5367" s="48"/>
      <c r="J5367" s="48"/>
      <c r="L5367" s="65"/>
    </row>
    <row r="5368" spans="5:12">
      <c r="E5368" s="49">
        <v>45067.32638887089</v>
      </c>
      <c r="F5368" s="56">
        <v>11.616997456952365</v>
      </c>
      <c r="G5368" s="48"/>
      <c r="H5368" s="48"/>
      <c r="I5368" s="48"/>
      <c r="J5368" s="48"/>
      <c r="L5368" s="65"/>
    </row>
    <row r="5369" spans="5:12">
      <c r="E5369" s="49">
        <v>45067.329861093109</v>
      </c>
      <c r="F5369" s="56">
        <v>11.616997456952365</v>
      </c>
      <c r="G5369" s="48"/>
      <c r="H5369" s="48"/>
      <c r="I5369" s="48"/>
      <c r="J5369" s="48"/>
      <c r="L5369" s="65"/>
    </row>
    <row r="5370" spans="5:12">
      <c r="E5370" s="49">
        <v>45067.333333315328</v>
      </c>
      <c r="F5370" s="56">
        <v>11.616997456952365</v>
      </c>
      <c r="G5370" s="48"/>
      <c r="H5370" s="48"/>
      <c r="I5370" s="48"/>
      <c r="J5370" s="48"/>
      <c r="L5370" s="65"/>
    </row>
    <row r="5371" spans="5:12">
      <c r="E5371" s="49">
        <v>45067.336805537547</v>
      </c>
      <c r="F5371" s="56">
        <v>11.616997456952365</v>
      </c>
      <c r="G5371" s="48"/>
      <c r="H5371" s="48"/>
      <c r="I5371" s="48"/>
      <c r="J5371" s="48"/>
      <c r="L5371" s="65"/>
    </row>
    <row r="5372" spans="5:12">
      <c r="E5372" s="49">
        <v>45067.340277759766</v>
      </c>
      <c r="F5372" s="56">
        <v>11.616997456952365</v>
      </c>
      <c r="G5372" s="48"/>
      <c r="H5372" s="48"/>
      <c r="I5372" s="48"/>
      <c r="J5372" s="48"/>
      <c r="L5372" s="65"/>
    </row>
    <row r="5373" spans="5:12">
      <c r="E5373" s="49">
        <v>45067.343749981985</v>
      </c>
      <c r="F5373" s="56">
        <v>11.616997456952365</v>
      </c>
      <c r="G5373" s="48"/>
      <c r="H5373" s="48"/>
      <c r="I5373" s="48"/>
      <c r="J5373" s="48"/>
      <c r="L5373" s="65"/>
    </row>
    <row r="5374" spans="5:12">
      <c r="E5374" s="49">
        <v>45067.347222204204</v>
      </c>
      <c r="F5374" s="56">
        <v>11.616997456952365</v>
      </c>
      <c r="G5374" s="48"/>
      <c r="H5374" s="48"/>
      <c r="I5374" s="48"/>
      <c r="J5374" s="48"/>
      <c r="L5374" s="65"/>
    </row>
    <row r="5375" spans="5:12">
      <c r="E5375" s="49">
        <v>45067.350694426423</v>
      </c>
      <c r="F5375" s="56">
        <v>11.616997456952365</v>
      </c>
      <c r="G5375" s="48"/>
      <c r="H5375" s="48"/>
      <c r="I5375" s="48"/>
      <c r="J5375" s="48"/>
      <c r="L5375" s="65"/>
    </row>
    <row r="5376" spans="5:12">
      <c r="E5376" s="49">
        <v>45067.354166648642</v>
      </c>
      <c r="F5376" s="56">
        <v>11.616997456952365</v>
      </c>
      <c r="G5376" s="48"/>
      <c r="H5376" s="48"/>
      <c r="I5376" s="48"/>
      <c r="J5376" s="48"/>
      <c r="L5376" s="65"/>
    </row>
    <row r="5377" spans="5:12">
      <c r="E5377" s="49">
        <v>45067.357638870861</v>
      </c>
      <c r="F5377" s="56">
        <v>11.616997456952365</v>
      </c>
      <c r="G5377" s="48"/>
      <c r="H5377" s="48"/>
      <c r="I5377" s="48"/>
      <c r="J5377" s="48"/>
      <c r="L5377" s="65"/>
    </row>
    <row r="5378" spans="5:12">
      <c r="E5378" s="49">
        <v>45067.36111109308</v>
      </c>
      <c r="F5378" s="56">
        <v>11.616997456952365</v>
      </c>
      <c r="G5378" s="48"/>
      <c r="H5378" s="48"/>
      <c r="I5378" s="48"/>
      <c r="J5378" s="48"/>
      <c r="L5378" s="65"/>
    </row>
    <row r="5379" spans="5:12">
      <c r="E5379" s="49">
        <v>45067.364583315299</v>
      </c>
      <c r="F5379" s="56">
        <v>11.616997456952365</v>
      </c>
      <c r="G5379" s="48"/>
      <c r="H5379" s="48"/>
      <c r="I5379" s="48"/>
      <c r="J5379" s="48"/>
      <c r="L5379" s="65"/>
    </row>
    <row r="5380" spans="5:12">
      <c r="E5380" s="49">
        <v>45067.368055537518</v>
      </c>
      <c r="F5380" s="56">
        <v>11.616997456952365</v>
      </c>
      <c r="G5380" s="48"/>
      <c r="H5380" s="48"/>
      <c r="I5380" s="48"/>
      <c r="J5380" s="48"/>
      <c r="L5380" s="65"/>
    </row>
    <row r="5381" spans="5:12">
      <c r="E5381" s="49">
        <v>45067.371527759737</v>
      </c>
      <c r="F5381" s="56">
        <v>11.616997456952365</v>
      </c>
      <c r="G5381" s="48"/>
      <c r="H5381" s="48"/>
      <c r="I5381" s="48"/>
      <c r="J5381" s="48"/>
      <c r="L5381" s="65"/>
    </row>
    <row r="5382" spans="5:12">
      <c r="E5382" s="49">
        <v>45067.374999981956</v>
      </c>
      <c r="F5382" s="56">
        <v>11.616997456952365</v>
      </c>
      <c r="G5382" s="48"/>
      <c r="H5382" s="48"/>
      <c r="I5382" s="48"/>
      <c r="J5382" s="48"/>
      <c r="L5382" s="65"/>
    </row>
    <row r="5383" spans="5:12">
      <c r="E5383" s="49">
        <v>45067.378472204175</v>
      </c>
      <c r="F5383" s="56">
        <v>11.616997456952365</v>
      </c>
      <c r="G5383" s="48"/>
      <c r="H5383" s="48"/>
      <c r="I5383" s="48"/>
      <c r="J5383" s="48"/>
      <c r="L5383" s="65"/>
    </row>
    <row r="5384" spans="5:12">
      <c r="E5384" s="49">
        <v>45067.381944426394</v>
      </c>
      <c r="F5384" s="56">
        <v>11.616997456952365</v>
      </c>
      <c r="G5384" s="48"/>
      <c r="H5384" s="48"/>
      <c r="I5384" s="48"/>
      <c r="J5384" s="48"/>
      <c r="L5384" s="65"/>
    </row>
    <row r="5385" spans="5:12">
      <c r="E5385" s="49">
        <v>45067.385416648613</v>
      </c>
      <c r="F5385" s="56">
        <v>11.616997456952365</v>
      </c>
      <c r="G5385" s="48"/>
      <c r="H5385" s="48"/>
      <c r="I5385" s="48"/>
      <c r="J5385" s="48"/>
      <c r="L5385" s="65"/>
    </row>
    <row r="5386" spans="5:12">
      <c r="E5386" s="49">
        <v>45067.388888870832</v>
      </c>
      <c r="F5386" s="56">
        <v>11.616997456952365</v>
      </c>
      <c r="G5386" s="48"/>
      <c r="H5386" s="48"/>
      <c r="I5386" s="48"/>
      <c r="J5386" s="48"/>
      <c r="L5386" s="65"/>
    </row>
    <row r="5387" spans="5:12">
      <c r="E5387" s="49">
        <v>45067.392361093051</v>
      </c>
      <c r="F5387" s="56">
        <v>11.616997456952365</v>
      </c>
      <c r="G5387" s="48"/>
      <c r="H5387" s="48"/>
      <c r="I5387" s="48"/>
      <c r="J5387" s="48"/>
      <c r="L5387" s="65"/>
    </row>
    <row r="5388" spans="5:12">
      <c r="E5388" s="49">
        <v>45067.39583331527</v>
      </c>
      <c r="F5388" s="56">
        <v>11.616997456952365</v>
      </c>
      <c r="G5388" s="48"/>
      <c r="H5388" s="48"/>
      <c r="I5388" s="48"/>
      <c r="J5388" s="48"/>
      <c r="L5388" s="65"/>
    </row>
    <row r="5389" spans="5:12">
      <c r="E5389" s="49">
        <v>45067.399305537489</v>
      </c>
      <c r="F5389" s="56">
        <v>11.616997456952365</v>
      </c>
      <c r="G5389" s="48"/>
      <c r="H5389" s="48"/>
      <c r="I5389" s="48"/>
      <c r="J5389" s="48"/>
      <c r="L5389" s="65"/>
    </row>
    <row r="5390" spans="5:12">
      <c r="E5390" s="49">
        <v>45067.402777759708</v>
      </c>
      <c r="F5390" s="56">
        <v>11.616997456952365</v>
      </c>
      <c r="G5390" s="48"/>
      <c r="H5390" s="48"/>
      <c r="I5390" s="48"/>
      <c r="J5390" s="48"/>
      <c r="L5390" s="65"/>
    </row>
    <row r="5391" spans="5:12">
      <c r="E5391" s="49">
        <v>45067.406249981927</v>
      </c>
      <c r="F5391" s="56">
        <v>11.616997456952365</v>
      </c>
      <c r="G5391" s="48"/>
      <c r="H5391" s="48"/>
      <c r="I5391" s="48"/>
      <c r="J5391" s="48"/>
      <c r="L5391" s="65"/>
    </row>
    <row r="5392" spans="5:12">
      <c r="E5392" s="49">
        <v>45067.409722204146</v>
      </c>
      <c r="F5392" s="56">
        <v>11.616997456952365</v>
      </c>
      <c r="G5392" s="48"/>
      <c r="H5392" s="48"/>
      <c r="I5392" s="48"/>
      <c r="J5392" s="48"/>
      <c r="L5392" s="65"/>
    </row>
    <row r="5393" spans="5:12">
      <c r="E5393" s="49">
        <v>45067.413194426364</v>
      </c>
      <c r="F5393" s="56">
        <v>11.616997456952365</v>
      </c>
      <c r="G5393" s="48"/>
      <c r="H5393" s="48"/>
      <c r="I5393" s="48"/>
      <c r="J5393" s="48"/>
      <c r="L5393" s="65"/>
    </row>
    <row r="5394" spans="5:12">
      <c r="E5394" s="49">
        <v>45067.416666648583</v>
      </c>
      <c r="F5394" s="56">
        <v>11.616997456952365</v>
      </c>
      <c r="G5394" s="48"/>
      <c r="H5394" s="48"/>
      <c r="I5394" s="48"/>
      <c r="J5394" s="48"/>
      <c r="L5394" s="65"/>
    </row>
    <row r="5395" spans="5:12">
      <c r="E5395" s="49">
        <v>45067.420138870802</v>
      </c>
      <c r="F5395" s="56">
        <v>11.616997456952365</v>
      </c>
      <c r="G5395" s="48"/>
      <c r="H5395" s="48"/>
      <c r="I5395" s="48"/>
      <c r="J5395" s="48"/>
      <c r="L5395" s="65"/>
    </row>
    <row r="5396" spans="5:12">
      <c r="E5396" s="49">
        <v>45067.423611093021</v>
      </c>
      <c r="F5396" s="56">
        <v>11.616997456952365</v>
      </c>
      <c r="G5396" s="48"/>
      <c r="H5396" s="48"/>
      <c r="I5396" s="48"/>
      <c r="J5396" s="48"/>
      <c r="L5396" s="65"/>
    </row>
    <row r="5397" spans="5:12">
      <c r="E5397" s="49">
        <v>45067.42708331524</v>
      </c>
      <c r="F5397" s="56">
        <v>11.616997456952365</v>
      </c>
      <c r="G5397" s="48"/>
      <c r="H5397" s="48"/>
      <c r="I5397" s="48"/>
      <c r="J5397" s="48"/>
      <c r="L5397" s="65"/>
    </row>
    <row r="5398" spans="5:12">
      <c r="E5398" s="49">
        <v>45067.430555537459</v>
      </c>
      <c r="F5398" s="56">
        <v>11.616997456952365</v>
      </c>
      <c r="G5398" s="48"/>
      <c r="H5398" s="48"/>
      <c r="I5398" s="48"/>
      <c r="J5398" s="48"/>
      <c r="L5398" s="65"/>
    </row>
    <row r="5399" spans="5:12">
      <c r="E5399" s="49">
        <v>45067.434027759678</v>
      </c>
      <c r="F5399" s="56">
        <v>11.616997456952365</v>
      </c>
      <c r="G5399" s="48"/>
      <c r="H5399" s="48"/>
      <c r="I5399" s="48"/>
      <c r="J5399" s="48"/>
      <c r="L5399" s="65"/>
    </row>
    <row r="5400" spans="5:12">
      <c r="E5400" s="49">
        <v>45067.437499981897</v>
      </c>
      <c r="F5400" s="56">
        <v>11.616997456952365</v>
      </c>
      <c r="G5400" s="48"/>
      <c r="H5400" s="48"/>
      <c r="I5400" s="48"/>
      <c r="J5400" s="48"/>
      <c r="L5400" s="65"/>
    </row>
    <row r="5401" spans="5:12">
      <c r="E5401" s="49">
        <v>45067.440972204116</v>
      </c>
      <c r="F5401" s="56">
        <v>11.616997456952365</v>
      </c>
      <c r="G5401" s="48"/>
      <c r="H5401" s="48"/>
      <c r="I5401" s="48"/>
      <c r="J5401" s="48"/>
      <c r="L5401" s="65"/>
    </row>
    <row r="5402" spans="5:12">
      <c r="E5402" s="49">
        <v>45067.444444426335</v>
      </c>
      <c r="F5402" s="56">
        <v>11.616997456952365</v>
      </c>
      <c r="G5402" s="48"/>
      <c r="H5402" s="48"/>
      <c r="I5402" s="48"/>
      <c r="J5402" s="48"/>
      <c r="L5402" s="65"/>
    </row>
    <row r="5403" spans="5:12">
      <c r="E5403" s="49">
        <v>45067.447916648554</v>
      </c>
      <c r="F5403" s="56">
        <v>11.616997456952365</v>
      </c>
      <c r="G5403" s="48"/>
      <c r="H5403" s="48"/>
      <c r="I5403" s="48"/>
      <c r="J5403" s="48"/>
      <c r="L5403" s="65"/>
    </row>
    <row r="5404" spans="5:12">
      <c r="E5404" s="49">
        <v>45067.451388870773</v>
      </c>
      <c r="F5404" s="56">
        <v>11.616997456952365</v>
      </c>
      <c r="G5404" s="48"/>
      <c r="H5404" s="48"/>
      <c r="I5404" s="48"/>
      <c r="J5404" s="48"/>
      <c r="L5404" s="65"/>
    </row>
    <row r="5405" spans="5:12">
      <c r="E5405" s="49">
        <v>45067.454861092992</v>
      </c>
      <c r="F5405" s="56">
        <v>11.616997456952365</v>
      </c>
      <c r="G5405" s="48"/>
      <c r="H5405" s="48"/>
      <c r="I5405" s="48"/>
      <c r="J5405" s="48"/>
      <c r="L5405" s="65"/>
    </row>
    <row r="5406" spans="5:12">
      <c r="E5406" s="49">
        <v>45067.458333315211</v>
      </c>
      <c r="F5406" s="56">
        <v>11.616997456952365</v>
      </c>
      <c r="G5406" s="48"/>
      <c r="H5406" s="48"/>
      <c r="I5406" s="48"/>
      <c r="J5406" s="48"/>
      <c r="L5406" s="65"/>
    </row>
    <row r="5407" spans="5:12">
      <c r="E5407" s="49">
        <v>45067.46180553743</v>
      </c>
      <c r="F5407" s="56">
        <v>11.616997456952365</v>
      </c>
      <c r="G5407" s="48"/>
      <c r="H5407" s="48"/>
      <c r="I5407" s="48"/>
      <c r="J5407" s="48"/>
      <c r="L5407" s="65"/>
    </row>
    <row r="5408" spans="5:12">
      <c r="E5408" s="49">
        <v>45067.465277759649</v>
      </c>
      <c r="F5408" s="56">
        <v>11.616997456952365</v>
      </c>
      <c r="G5408" s="48"/>
      <c r="H5408" s="48"/>
      <c r="I5408" s="48"/>
      <c r="J5408" s="48"/>
      <c r="L5408" s="65"/>
    </row>
    <row r="5409" spans="5:12">
      <c r="E5409" s="49">
        <v>45067.468749981868</v>
      </c>
      <c r="F5409" s="56">
        <v>11.616997456952365</v>
      </c>
      <c r="G5409" s="48"/>
      <c r="H5409" s="48"/>
      <c r="I5409" s="48"/>
      <c r="J5409" s="48"/>
      <c r="L5409" s="65"/>
    </row>
    <row r="5410" spans="5:12">
      <c r="E5410" s="49">
        <v>45067.472222204087</v>
      </c>
      <c r="F5410" s="56">
        <v>11.616997456952365</v>
      </c>
      <c r="G5410" s="48"/>
      <c r="H5410" s="48"/>
      <c r="I5410" s="48"/>
      <c r="J5410" s="48"/>
      <c r="L5410" s="65"/>
    </row>
    <row r="5411" spans="5:12">
      <c r="E5411" s="49">
        <v>45067.475694426306</v>
      </c>
      <c r="F5411" s="56">
        <v>11.616997456952365</v>
      </c>
      <c r="G5411" s="48"/>
      <c r="H5411" s="48"/>
      <c r="I5411" s="48"/>
      <c r="J5411" s="48"/>
      <c r="L5411" s="65"/>
    </row>
    <row r="5412" spans="5:12">
      <c r="E5412" s="49">
        <v>45067.479166648525</v>
      </c>
      <c r="F5412" s="56">
        <v>11.616997456952365</v>
      </c>
      <c r="G5412" s="48"/>
      <c r="H5412" s="48"/>
      <c r="I5412" s="48"/>
      <c r="J5412" s="48"/>
      <c r="L5412" s="65"/>
    </row>
    <row r="5413" spans="5:12">
      <c r="E5413" s="49">
        <v>45067.482638870744</v>
      </c>
      <c r="F5413" s="56">
        <v>11.616997456952365</v>
      </c>
      <c r="G5413" s="48"/>
      <c r="H5413" s="48"/>
      <c r="I5413" s="48"/>
      <c r="J5413" s="48"/>
      <c r="L5413" s="65"/>
    </row>
    <row r="5414" spans="5:12">
      <c r="E5414" s="49">
        <v>45067.486111092963</v>
      </c>
      <c r="F5414" s="56">
        <v>11.616997456952365</v>
      </c>
      <c r="G5414" s="48"/>
      <c r="H5414" s="48"/>
      <c r="I5414" s="48"/>
      <c r="J5414" s="48"/>
      <c r="L5414" s="65"/>
    </row>
    <row r="5415" spans="5:12">
      <c r="E5415" s="49">
        <v>45067.489583315182</v>
      </c>
      <c r="F5415" s="56">
        <v>11.616997456952365</v>
      </c>
      <c r="G5415" s="48"/>
      <c r="H5415" s="48"/>
      <c r="I5415" s="48"/>
      <c r="J5415" s="48"/>
      <c r="L5415" s="65"/>
    </row>
    <row r="5416" spans="5:12">
      <c r="E5416" s="49">
        <v>45067.493055537401</v>
      </c>
      <c r="F5416" s="56">
        <v>11.616997456952365</v>
      </c>
      <c r="G5416" s="48"/>
      <c r="H5416" s="48"/>
      <c r="I5416" s="48"/>
      <c r="J5416" s="48"/>
      <c r="L5416" s="65"/>
    </row>
    <row r="5417" spans="5:12">
      <c r="E5417" s="49">
        <v>45067.49652775962</v>
      </c>
      <c r="F5417" s="56">
        <v>11.616997456952365</v>
      </c>
      <c r="G5417" s="48"/>
      <c r="H5417" s="48"/>
      <c r="I5417" s="48"/>
      <c r="J5417" s="48"/>
      <c r="L5417" s="65"/>
    </row>
    <row r="5418" spans="5:12">
      <c r="E5418" s="49">
        <v>45067.499999981839</v>
      </c>
      <c r="F5418" s="56">
        <v>11.616997456952365</v>
      </c>
      <c r="G5418" s="48"/>
      <c r="H5418" s="48"/>
      <c r="I5418" s="48"/>
      <c r="J5418" s="48"/>
      <c r="L5418" s="65"/>
    </row>
    <row r="5419" spans="5:12">
      <c r="E5419" s="49">
        <v>45067.503472204058</v>
      </c>
      <c r="F5419" s="56">
        <v>11.616997456952365</v>
      </c>
      <c r="G5419" s="48"/>
      <c r="H5419" s="48"/>
      <c r="I5419" s="48"/>
      <c r="J5419" s="48"/>
      <c r="L5419" s="65"/>
    </row>
    <row r="5420" spans="5:12">
      <c r="E5420" s="49">
        <v>45067.506944426277</v>
      </c>
      <c r="F5420" s="56">
        <v>11.616997456952365</v>
      </c>
      <c r="G5420" s="48"/>
      <c r="H5420" s="48"/>
      <c r="I5420" s="48"/>
      <c r="J5420" s="48"/>
      <c r="L5420" s="65"/>
    </row>
    <row r="5421" spans="5:12">
      <c r="E5421" s="49">
        <v>45067.510416648496</v>
      </c>
      <c r="F5421" s="56">
        <v>11.616997456952365</v>
      </c>
      <c r="G5421" s="48"/>
      <c r="H5421" s="48"/>
      <c r="I5421" s="48"/>
      <c r="J5421" s="48"/>
      <c r="L5421" s="65"/>
    </row>
    <row r="5422" spans="5:12">
      <c r="E5422" s="49">
        <v>45067.513888870715</v>
      </c>
      <c r="F5422" s="56">
        <v>11.616997456952365</v>
      </c>
      <c r="G5422" s="48"/>
      <c r="H5422" s="48"/>
      <c r="I5422" s="48"/>
      <c r="J5422" s="48"/>
      <c r="L5422" s="65"/>
    </row>
    <row r="5423" spans="5:12">
      <c r="E5423" s="49">
        <v>45067.517361092934</v>
      </c>
      <c r="F5423" s="56">
        <v>11.616997456952365</v>
      </c>
      <c r="G5423" s="48"/>
      <c r="H5423" s="48"/>
      <c r="I5423" s="48"/>
      <c r="J5423" s="48"/>
      <c r="L5423" s="65"/>
    </row>
    <row r="5424" spans="5:12">
      <c r="E5424" s="49">
        <v>45067.520833315153</v>
      </c>
      <c r="F5424" s="56">
        <v>11.616997456952365</v>
      </c>
      <c r="G5424" s="48"/>
      <c r="H5424" s="48"/>
      <c r="I5424" s="48"/>
      <c r="J5424" s="48"/>
      <c r="L5424" s="65"/>
    </row>
    <row r="5425" spans="5:12">
      <c r="E5425" s="49">
        <v>45067.524305537372</v>
      </c>
      <c r="F5425" s="56">
        <v>11.616997456952365</v>
      </c>
      <c r="G5425" s="48"/>
      <c r="H5425" s="48"/>
      <c r="I5425" s="48"/>
      <c r="J5425" s="48"/>
      <c r="L5425" s="65"/>
    </row>
    <row r="5426" spans="5:12">
      <c r="E5426" s="49">
        <v>45067.527777759591</v>
      </c>
      <c r="F5426" s="56">
        <v>11.616997456952365</v>
      </c>
      <c r="G5426" s="48"/>
      <c r="H5426" s="48"/>
      <c r="I5426" s="48"/>
      <c r="J5426" s="48"/>
      <c r="L5426" s="65"/>
    </row>
    <row r="5427" spans="5:12">
      <c r="E5427" s="49">
        <v>45067.53124998181</v>
      </c>
      <c r="F5427" s="56">
        <v>11.616997456952365</v>
      </c>
      <c r="G5427" s="48"/>
      <c r="H5427" s="48"/>
      <c r="I5427" s="48"/>
      <c r="J5427" s="48"/>
      <c r="L5427" s="65"/>
    </row>
    <row r="5428" spans="5:12">
      <c r="E5428" s="49">
        <v>45067.534722204029</v>
      </c>
      <c r="F5428" s="56">
        <v>11.616997456952365</v>
      </c>
      <c r="G5428" s="48"/>
      <c r="H5428" s="48"/>
      <c r="I5428" s="48"/>
      <c r="J5428" s="48"/>
      <c r="L5428" s="65"/>
    </row>
    <row r="5429" spans="5:12">
      <c r="E5429" s="49">
        <v>45067.538194426248</v>
      </c>
      <c r="F5429" s="56">
        <v>11.616997456952365</v>
      </c>
      <c r="G5429" s="48"/>
      <c r="H5429" s="48"/>
      <c r="I5429" s="48"/>
      <c r="J5429" s="48"/>
      <c r="L5429" s="65"/>
    </row>
    <row r="5430" spans="5:12">
      <c r="E5430" s="49">
        <v>45067.541666648467</v>
      </c>
      <c r="F5430" s="56">
        <v>11.616997456952365</v>
      </c>
      <c r="G5430" s="48"/>
      <c r="H5430" s="48"/>
      <c r="I5430" s="48"/>
      <c r="J5430" s="48"/>
      <c r="L5430" s="65"/>
    </row>
    <row r="5431" spans="5:12">
      <c r="E5431" s="49">
        <v>45067.545138870686</v>
      </c>
      <c r="F5431" s="56">
        <v>11.616997456952365</v>
      </c>
      <c r="G5431" s="48"/>
      <c r="H5431" s="48"/>
      <c r="I5431" s="48"/>
      <c r="J5431" s="48"/>
      <c r="L5431" s="65"/>
    </row>
    <row r="5432" spans="5:12">
      <c r="E5432" s="49">
        <v>45067.548611092905</v>
      </c>
      <c r="F5432" s="56">
        <v>11.616997456952365</v>
      </c>
      <c r="G5432" s="48"/>
      <c r="H5432" s="48"/>
      <c r="I5432" s="48"/>
      <c r="J5432" s="48"/>
      <c r="L5432" s="65"/>
    </row>
    <row r="5433" spans="5:12">
      <c r="E5433" s="49">
        <v>45067.552083315124</v>
      </c>
      <c r="F5433" s="56">
        <v>11.616997456952365</v>
      </c>
      <c r="G5433" s="48"/>
      <c r="H5433" s="48"/>
      <c r="I5433" s="48"/>
      <c r="J5433" s="48"/>
      <c r="L5433" s="65"/>
    </row>
    <row r="5434" spans="5:12">
      <c r="E5434" s="49">
        <v>45067.555555537343</v>
      </c>
      <c r="F5434" s="56">
        <v>11.616997456952365</v>
      </c>
      <c r="G5434" s="48"/>
      <c r="H5434" s="48"/>
      <c r="I5434" s="48"/>
      <c r="J5434" s="48"/>
      <c r="L5434" s="65"/>
    </row>
    <row r="5435" spans="5:12">
      <c r="E5435" s="49">
        <v>45067.559027759562</v>
      </c>
      <c r="F5435" s="56">
        <v>11.616997456952365</v>
      </c>
      <c r="G5435" s="48"/>
      <c r="H5435" s="48"/>
      <c r="I5435" s="48"/>
      <c r="J5435" s="48"/>
      <c r="L5435" s="65"/>
    </row>
    <row r="5436" spans="5:12">
      <c r="E5436" s="49">
        <v>45067.562499981781</v>
      </c>
      <c r="F5436" s="56">
        <v>11.616997456952365</v>
      </c>
      <c r="G5436" s="48"/>
      <c r="H5436" s="48"/>
      <c r="I5436" s="48"/>
      <c r="J5436" s="48"/>
      <c r="L5436" s="65"/>
    </row>
    <row r="5437" spans="5:12">
      <c r="E5437" s="49">
        <v>45067.565972204</v>
      </c>
      <c r="F5437" s="56">
        <v>0</v>
      </c>
      <c r="G5437" s="48"/>
      <c r="H5437" s="48"/>
      <c r="I5437" s="48"/>
      <c r="J5437" s="48"/>
      <c r="L5437" s="65"/>
    </row>
    <row r="5438" spans="5:12">
      <c r="E5438" s="49">
        <v>45067.569444426219</v>
      </c>
      <c r="F5438" s="56">
        <v>0</v>
      </c>
      <c r="G5438" s="48"/>
      <c r="H5438" s="48"/>
      <c r="I5438" s="48"/>
      <c r="J5438" s="48"/>
      <c r="L5438" s="65"/>
    </row>
    <row r="5439" spans="5:12">
      <c r="E5439" s="49">
        <v>45067.572916648438</v>
      </c>
      <c r="F5439" s="56">
        <v>0</v>
      </c>
      <c r="G5439" s="48"/>
      <c r="H5439" s="48"/>
      <c r="I5439" s="48"/>
      <c r="J5439" s="48"/>
      <c r="L5439" s="65"/>
    </row>
    <row r="5440" spans="5:12">
      <c r="E5440" s="49">
        <v>45067.576388870657</v>
      </c>
      <c r="F5440" s="56">
        <v>0</v>
      </c>
      <c r="G5440" s="48"/>
      <c r="H5440" s="48"/>
      <c r="I5440" s="48"/>
      <c r="J5440" s="48"/>
      <c r="L5440" s="65"/>
    </row>
    <row r="5441" spans="5:12">
      <c r="E5441" s="49">
        <v>45067.579861092876</v>
      </c>
      <c r="F5441" s="56">
        <v>0</v>
      </c>
      <c r="G5441" s="48"/>
      <c r="H5441" s="48"/>
      <c r="I5441" s="48"/>
      <c r="J5441" s="48"/>
      <c r="L5441" s="65"/>
    </row>
    <row r="5442" spans="5:12">
      <c r="E5442" s="49">
        <v>45067.583333315095</v>
      </c>
      <c r="F5442" s="56">
        <v>0</v>
      </c>
      <c r="G5442" s="48"/>
      <c r="H5442" s="48"/>
      <c r="I5442" s="48"/>
      <c r="J5442" s="48"/>
      <c r="L5442" s="65"/>
    </row>
    <row r="5443" spans="5:12">
      <c r="E5443" s="49">
        <v>45067.586805537314</v>
      </c>
      <c r="F5443" s="56">
        <v>0</v>
      </c>
      <c r="G5443" s="48"/>
      <c r="H5443" s="48"/>
      <c r="I5443" s="48"/>
      <c r="J5443" s="48"/>
      <c r="L5443" s="65"/>
    </row>
    <row r="5444" spans="5:12">
      <c r="E5444" s="49">
        <v>45067.590277759533</v>
      </c>
      <c r="F5444" s="56">
        <v>0</v>
      </c>
      <c r="G5444" s="48"/>
      <c r="H5444" s="48"/>
      <c r="I5444" s="48"/>
      <c r="J5444" s="48"/>
      <c r="L5444" s="65"/>
    </row>
    <row r="5445" spans="5:12">
      <c r="E5445" s="49">
        <v>45067.593749981752</v>
      </c>
      <c r="F5445" s="56">
        <v>0</v>
      </c>
      <c r="G5445" s="48"/>
      <c r="H5445" s="48"/>
      <c r="I5445" s="48"/>
      <c r="J5445" s="48"/>
      <c r="L5445" s="65"/>
    </row>
    <row r="5446" spans="5:12">
      <c r="E5446" s="49">
        <v>45067.597222203971</v>
      </c>
      <c r="F5446" s="56">
        <v>0</v>
      </c>
      <c r="G5446" s="48"/>
      <c r="H5446" s="48"/>
      <c r="I5446" s="48"/>
      <c r="J5446" s="48"/>
      <c r="L5446" s="65"/>
    </row>
    <row r="5447" spans="5:12">
      <c r="E5447" s="49">
        <v>45067.60069442619</v>
      </c>
      <c r="F5447" s="56">
        <v>0</v>
      </c>
      <c r="G5447" s="48"/>
      <c r="H5447" s="48"/>
      <c r="I5447" s="48"/>
      <c r="J5447" s="48"/>
      <c r="L5447" s="65"/>
    </row>
    <row r="5448" spans="5:12">
      <c r="E5448" s="49">
        <v>45067.604166648409</v>
      </c>
      <c r="F5448" s="56">
        <v>0</v>
      </c>
      <c r="G5448" s="48"/>
      <c r="H5448" s="48"/>
      <c r="I5448" s="48"/>
      <c r="J5448" s="48"/>
      <c r="L5448" s="65"/>
    </row>
    <row r="5449" spans="5:12">
      <c r="E5449" s="49">
        <v>45067.607638870628</v>
      </c>
      <c r="F5449" s="56">
        <v>0</v>
      </c>
      <c r="G5449" s="48"/>
      <c r="H5449" s="48"/>
      <c r="I5449" s="48"/>
      <c r="J5449" s="48"/>
      <c r="L5449" s="65"/>
    </row>
    <row r="5450" spans="5:12">
      <c r="E5450" s="49">
        <v>45067.611111092847</v>
      </c>
      <c r="F5450" s="56">
        <v>0</v>
      </c>
      <c r="G5450" s="48"/>
      <c r="H5450" s="48"/>
      <c r="I5450" s="48"/>
      <c r="J5450" s="48"/>
      <c r="L5450" s="65"/>
    </row>
    <row r="5451" spans="5:12">
      <c r="E5451" s="49">
        <v>45067.614583315066</v>
      </c>
      <c r="F5451" s="56">
        <v>0</v>
      </c>
      <c r="G5451" s="48"/>
      <c r="H5451" s="48"/>
      <c r="I5451" s="48"/>
      <c r="J5451" s="48"/>
      <c r="L5451" s="65"/>
    </row>
    <row r="5452" spans="5:12">
      <c r="E5452" s="49">
        <v>45067.618055537285</v>
      </c>
      <c r="F5452" s="56">
        <v>0</v>
      </c>
      <c r="G5452" s="48"/>
      <c r="H5452" s="48"/>
      <c r="I5452" s="48"/>
      <c r="J5452" s="48"/>
      <c r="L5452" s="65"/>
    </row>
    <row r="5453" spans="5:12">
      <c r="E5453" s="49">
        <v>45067.621527759504</v>
      </c>
      <c r="F5453" s="56">
        <v>0</v>
      </c>
      <c r="G5453" s="48"/>
      <c r="H5453" s="48"/>
      <c r="I5453" s="48"/>
      <c r="J5453" s="48"/>
      <c r="L5453" s="65"/>
    </row>
    <row r="5454" spans="5:12">
      <c r="E5454" s="49">
        <v>45067.624999981723</v>
      </c>
      <c r="F5454" s="56">
        <v>0</v>
      </c>
      <c r="G5454" s="48"/>
      <c r="H5454" s="48"/>
      <c r="I5454" s="48"/>
      <c r="J5454" s="48"/>
      <c r="L5454" s="65"/>
    </row>
    <row r="5455" spans="5:12">
      <c r="E5455" s="49">
        <v>45067.628472203942</v>
      </c>
      <c r="F5455" s="56">
        <v>0</v>
      </c>
      <c r="G5455" s="48"/>
      <c r="H5455" s="48"/>
      <c r="I5455" s="48"/>
      <c r="J5455" s="48"/>
      <c r="L5455" s="65"/>
    </row>
    <row r="5456" spans="5:12">
      <c r="E5456" s="49">
        <v>45067.631944426161</v>
      </c>
      <c r="F5456" s="56">
        <v>0</v>
      </c>
      <c r="G5456" s="48"/>
      <c r="H5456" s="48"/>
      <c r="I5456" s="48"/>
      <c r="J5456" s="48"/>
      <c r="L5456" s="65"/>
    </row>
    <row r="5457" spans="5:12">
      <c r="E5457" s="49">
        <v>45067.63541664838</v>
      </c>
      <c r="F5457" s="56">
        <v>0</v>
      </c>
      <c r="G5457" s="48"/>
      <c r="H5457" s="48"/>
      <c r="I5457" s="48"/>
      <c r="J5457" s="48"/>
      <c r="L5457" s="65"/>
    </row>
    <row r="5458" spans="5:12">
      <c r="E5458" s="49">
        <v>45067.638888870599</v>
      </c>
      <c r="F5458" s="56">
        <v>0</v>
      </c>
      <c r="G5458" s="48"/>
      <c r="H5458" s="48"/>
      <c r="I5458" s="48"/>
      <c r="J5458" s="48"/>
      <c r="L5458" s="65"/>
    </row>
    <row r="5459" spans="5:12">
      <c r="E5459" s="49">
        <v>45067.642361092818</v>
      </c>
      <c r="F5459" s="56">
        <v>0</v>
      </c>
      <c r="G5459" s="48"/>
      <c r="H5459" s="48"/>
      <c r="I5459" s="48"/>
      <c r="J5459" s="48"/>
      <c r="L5459" s="65"/>
    </row>
    <row r="5460" spans="5:12">
      <c r="E5460" s="49">
        <v>45067.645833315037</v>
      </c>
      <c r="F5460" s="56">
        <v>0</v>
      </c>
      <c r="G5460" s="48"/>
      <c r="H5460" s="48"/>
      <c r="I5460" s="48"/>
      <c r="J5460" s="48"/>
      <c r="L5460" s="65"/>
    </row>
    <row r="5461" spans="5:12">
      <c r="E5461" s="49">
        <v>45067.649305537256</v>
      </c>
      <c r="F5461" s="56">
        <v>0</v>
      </c>
      <c r="G5461" s="48"/>
      <c r="H5461" s="48"/>
      <c r="I5461" s="48"/>
      <c r="J5461" s="48"/>
      <c r="L5461" s="65"/>
    </row>
    <row r="5462" spans="5:12">
      <c r="E5462" s="49">
        <v>45067.652777759475</v>
      </c>
      <c r="F5462" s="56">
        <v>0</v>
      </c>
      <c r="G5462" s="48"/>
      <c r="H5462" s="48"/>
      <c r="I5462" s="48"/>
      <c r="J5462" s="48"/>
      <c r="L5462" s="65"/>
    </row>
    <row r="5463" spans="5:12">
      <c r="E5463" s="49">
        <v>45067.656249981694</v>
      </c>
      <c r="F5463" s="56">
        <v>0</v>
      </c>
      <c r="G5463" s="48"/>
      <c r="H5463" s="48"/>
      <c r="I5463" s="48"/>
      <c r="J5463" s="48"/>
      <c r="L5463" s="65"/>
    </row>
    <row r="5464" spans="5:12">
      <c r="E5464" s="49">
        <v>45067.659722203913</v>
      </c>
      <c r="F5464" s="56">
        <v>0</v>
      </c>
      <c r="G5464" s="48"/>
      <c r="H5464" s="48"/>
      <c r="I5464" s="48"/>
      <c r="J5464" s="48"/>
      <c r="L5464" s="65"/>
    </row>
    <row r="5465" spans="5:12">
      <c r="E5465" s="49">
        <v>45067.663194426132</v>
      </c>
      <c r="F5465" s="56">
        <v>0</v>
      </c>
      <c r="G5465" s="48"/>
      <c r="H5465" s="48"/>
      <c r="I5465" s="48"/>
      <c r="J5465" s="48"/>
      <c r="L5465" s="65"/>
    </row>
    <row r="5466" spans="5:12">
      <c r="E5466" s="49">
        <v>45067.666666648351</v>
      </c>
      <c r="F5466" s="56">
        <v>0</v>
      </c>
      <c r="G5466" s="48"/>
      <c r="H5466" s="48"/>
      <c r="I5466" s="48"/>
      <c r="J5466" s="48"/>
      <c r="L5466" s="65"/>
    </row>
    <row r="5467" spans="5:12">
      <c r="E5467" s="49">
        <v>45067.67013887057</v>
      </c>
      <c r="F5467" s="56">
        <v>0</v>
      </c>
      <c r="G5467" s="48"/>
      <c r="H5467" s="48"/>
      <c r="I5467" s="48"/>
      <c r="J5467" s="48"/>
      <c r="L5467" s="65"/>
    </row>
    <row r="5468" spans="5:12">
      <c r="E5468" s="49">
        <v>45067.673611092789</v>
      </c>
      <c r="F5468" s="56">
        <v>0</v>
      </c>
      <c r="G5468" s="48"/>
      <c r="H5468" s="48"/>
      <c r="I5468" s="48"/>
      <c r="J5468" s="48"/>
      <c r="L5468" s="65"/>
    </row>
    <row r="5469" spans="5:12">
      <c r="E5469" s="49">
        <v>45067.677083315008</v>
      </c>
      <c r="F5469" s="56">
        <v>0</v>
      </c>
      <c r="G5469" s="48"/>
      <c r="H5469" s="48"/>
      <c r="I5469" s="48"/>
      <c r="J5469" s="48"/>
      <c r="L5469" s="65"/>
    </row>
    <row r="5470" spans="5:12">
      <c r="E5470" s="49">
        <v>45067.680555537227</v>
      </c>
      <c r="F5470" s="56">
        <v>0</v>
      </c>
      <c r="G5470" s="48"/>
      <c r="H5470" s="48"/>
      <c r="I5470" s="48"/>
      <c r="J5470" s="48"/>
      <c r="L5470" s="65"/>
    </row>
    <row r="5471" spans="5:12">
      <c r="E5471" s="49">
        <v>45067.684027759446</v>
      </c>
      <c r="F5471" s="56">
        <v>0</v>
      </c>
      <c r="G5471" s="48"/>
      <c r="H5471" s="48"/>
      <c r="I5471" s="48"/>
      <c r="J5471" s="48"/>
      <c r="L5471" s="65"/>
    </row>
    <row r="5472" spans="5:12">
      <c r="E5472" s="49">
        <v>45067.687499981665</v>
      </c>
      <c r="F5472" s="56">
        <v>0</v>
      </c>
      <c r="G5472" s="48"/>
      <c r="H5472" s="48"/>
      <c r="I5472" s="48"/>
      <c r="J5472" s="48"/>
      <c r="L5472" s="65"/>
    </row>
    <row r="5473" spans="5:12">
      <c r="E5473" s="49">
        <v>45067.690972203884</v>
      </c>
      <c r="F5473" s="56">
        <v>0</v>
      </c>
      <c r="G5473" s="48"/>
      <c r="H5473" s="48"/>
      <c r="I5473" s="48"/>
      <c r="J5473" s="48"/>
      <c r="L5473" s="65"/>
    </row>
    <row r="5474" spans="5:12">
      <c r="E5474" s="49">
        <v>45067.694444426103</v>
      </c>
      <c r="F5474" s="56">
        <v>0</v>
      </c>
      <c r="G5474" s="48"/>
      <c r="H5474" s="48"/>
      <c r="I5474" s="48"/>
      <c r="J5474" s="48"/>
      <c r="L5474" s="65"/>
    </row>
    <row r="5475" spans="5:12">
      <c r="E5475" s="49">
        <v>45067.697916648322</v>
      </c>
      <c r="F5475" s="56">
        <v>0</v>
      </c>
      <c r="G5475" s="48"/>
      <c r="H5475" s="48"/>
      <c r="I5475" s="48"/>
      <c r="J5475" s="48"/>
      <c r="L5475" s="65"/>
    </row>
    <row r="5476" spans="5:12">
      <c r="E5476" s="49">
        <v>45067.701388870541</v>
      </c>
      <c r="F5476" s="56">
        <v>0</v>
      </c>
      <c r="G5476" s="48"/>
      <c r="H5476" s="48"/>
      <c r="I5476" s="48"/>
      <c r="J5476" s="48"/>
      <c r="L5476" s="65"/>
    </row>
    <row r="5477" spans="5:12">
      <c r="E5477" s="49">
        <v>45067.70486109276</v>
      </c>
      <c r="F5477" s="56">
        <v>0</v>
      </c>
      <c r="G5477" s="48"/>
      <c r="H5477" s="48"/>
      <c r="I5477" s="48"/>
      <c r="J5477" s="48"/>
      <c r="L5477" s="65"/>
    </row>
    <row r="5478" spans="5:12">
      <c r="E5478" s="49">
        <v>45067.708333314979</v>
      </c>
      <c r="F5478" s="56">
        <v>0</v>
      </c>
      <c r="G5478" s="48"/>
      <c r="H5478" s="48"/>
      <c r="I5478" s="48"/>
      <c r="J5478" s="48"/>
      <c r="L5478" s="65"/>
    </row>
    <row r="5479" spans="5:12">
      <c r="E5479" s="49">
        <v>45067.711805537198</v>
      </c>
      <c r="F5479" s="56">
        <v>0</v>
      </c>
      <c r="G5479" s="48"/>
      <c r="H5479" s="48"/>
      <c r="I5479" s="48"/>
      <c r="J5479" s="48"/>
      <c r="L5479" s="65"/>
    </row>
    <row r="5480" spans="5:12">
      <c r="E5480" s="49">
        <v>45067.715277759416</v>
      </c>
      <c r="F5480" s="56">
        <v>0</v>
      </c>
      <c r="G5480" s="48"/>
      <c r="H5480" s="48"/>
      <c r="I5480" s="48"/>
      <c r="J5480" s="48"/>
      <c r="L5480" s="65"/>
    </row>
    <row r="5481" spans="5:12">
      <c r="E5481" s="49">
        <v>45067.718749981635</v>
      </c>
      <c r="F5481" s="56">
        <v>0</v>
      </c>
      <c r="G5481" s="48"/>
      <c r="H5481" s="48"/>
      <c r="I5481" s="48"/>
      <c r="J5481" s="48"/>
      <c r="L5481" s="65"/>
    </row>
    <row r="5482" spans="5:12">
      <c r="E5482" s="49">
        <v>45067.722222203854</v>
      </c>
      <c r="F5482" s="56">
        <v>0</v>
      </c>
      <c r="G5482" s="48"/>
      <c r="H5482" s="48"/>
      <c r="I5482" s="48"/>
      <c r="J5482" s="48"/>
      <c r="L5482" s="65"/>
    </row>
    <row r="5483" spans="5:12">
      <c r="E5483" s="49">
        <v>45067.725694426073</v>
      </c>
      <c r="F5483" s="56">
        <v>0</v>
      </c>
      <c r="G5483" s="48"/>
      <c r="H5483" s="48"/>
      <c r="I5483" s="48"/>
      <c r="J5483" s="48"/>
      <c r="L5483" s="65"/>
    </row>
    <row r="5484" spans="5:12">
      <c r="E5484" s="49">
        <v>45067.729166648292</v>
      </c>
      <c r="F5484" s="56">
        <v>0</v>
      </c>
      <c r="G5484" s="48"/>
      <c r="H5484" s="48"/>
      <c r="I5484" s="48"/>
      <c r="J5484" s="48"/>
      <c r="L5484" s="65"/>
    </row>
    <row r="5485" spans="5:12">
      <c r="E5485" s="49">
        <v>45067.732638870511</v>
      </c>
      <c r="F5485" s="56">
        <v>0</v>
      </c>
      <c r="G5485" s="48"/>
      <c r="H5485" s="48"/>
      <c r="I5485" s="48"/>
      <c r="J5485" s="48"/>
      <c r="L5485" s="65"/>
    </row>
    <row r="5486" spans="5:12">
      <c r="E5486" s="49">
        <v>45067.73611109273</v>
      </c>
      <c r="F5486" s="56">
        <v>0</v>
      </c>
      <c r="G5486" s="48"/>
      <c r="H5486" s="48"/>
      <c r="I5486" s="48"/>
      <c r="J5486" s="48"/>
      <c r="L5486" s="65"/>
    </row>
    <row r="5487" spans="5:12">
      <c r="E5487" s="49">
        <v>45067.739583314949</v>
      </c>
      <c r="F5487" s="56">
        <v>0</v>
      </c>
      <c r="G5487" s="48"/>
      <c r="H5487" s="48"/>
      <c r="I5487" s="48"/>
      <c r="J5487" s="48"/>
      <c r="L5487" s="65"/>
    </row>
    <row r="5488" spans="5:12">
      <c r="E5488" s="49">
        <v>45067.743055537168</v>
      </c>
      <c r="F5488" s="56">
        <v>0</v>
      </c>
      <c r="G5488" s="48"/>
      <c r="H5488" s="48"/>
      <c r="I5488" s="48"/>
      <c r="J5488" s="48"/>
      <c r="L5488" s="65"/>
    </row>
    <row r="5489" spans="5:12">
      <c r="E5489" s="49">
        <v>45067.746527759387</v>
      </c>
      <c r="F5489" s="56">
        <v>0</v>
      </c>
      <c r="G5489" s="48"/>
      <c r="H5489" s="48"/>
      <c r="I5489" s="48"/>
      <c r="J5489" s="48"/>
      <c r="L5489" s="65"/>
    </row>
    <row r="5490" spans="5:12">
      <c r="E5490" s="49">
        <v>45067.749999981606</v>
      </c>
      <c r="F5490" s="56">
        <v>0</v>
      </c>
      <c r="G5490" s="48"/>
      <c r="H5490" s="48"/>
      <c r="I5490" s="48"/>
      <c r="J5490" s="48"/>
      <c r="L5490" s="65"/>
    </row>
    <row r="5491" spans="5:12">
      <c r="E5491" s="49">
        <v>45067.753472203825</v>
      </c>
      <c r="F5491" s="56">
        <v>0</v>
      </c>
      <c r="G5491" s="48"/>
      <c r="H5491" s="48"/>
      <c r="I5491" s="48"/>
      <c r="J5491" s="48"/>
      <c r="L5491" s="65"/>
    </row>
    <row r="5492" spans="5:12">
      <c r="E5492" s="49">
        <v>45067.756944426044</v>
      </c>
      <c r="F5492" s="56">
        <v>0</v>
      </c>
      <c r="G5492" s="48"/>
      <c r="H5492" s="48"/>
      <c r="I5492" s="48"/>
      <c r="J5492" s="48"/>
      <c r="L5492" s="65"/>
    </row>
    <row r="5493" spans="5:12">
      <c r="E5493" s="49">
        <v>45067.760416648263</v>
      </c>
      <c r="F5493" s="56">
        <v>0</v>
      </c>
      <c r="G5493" s="48"/>
      <c r="H5493" s="48"/>
      <c r="I5493" s="48"/>
      <c r="J5493" s="48"/>
      <c r="L5493" s="65"/>
    </row>
    <row r="5494" spans="5:12">
      <c r="E5494" s="49">
        <v>45067.763888870482</v>
      </c>
      <c r="F5494" s="56">
        <v>0</v>
      </c>
      <c r="G5494" s="48"/>
      <c r="H5494" s="48"/>
      <c r="I5494" s="48"/>
      <c r="J5494" s="48"/>
      <c r="L5494" s="65"/>
    </row>
    <row r="5495" spans="5:12">
      <c r="E5495" s="49">
        <v>45067.767361092701</v>
      </c>
      <c r="F5495" s="56">
        <v>0</v>
      </c>
      <c r="G5495" s="48"/>
      <c r="H5495" s="48"/>
      <c r="I5495" s="48"/>
      <c r="J5495" s="48"/>
      <c r="L5495" s="65"/>
    </row>
    <row r="5496" spans="5:12">
      <c r="E5496" s="49">
        <v>45067.77083331492</v>
      </c>
      <c r="F5496" s="56">
        <v>0</v>
      </c>
      <c r="G5496" s="48"/>
      <c r="H5496" s="48"/>
      <c r="I5496" s="48"/>
      <c r="J5496" s="48"/>
      <c r="L5496" s="65"/>
    </row>
    <row r="5497" spans="5:12">
      <c r="E5497" s="49">
        <v>45067.774305537139</v>
      </c>
      <c r="F5497" s="56">
        <v>0</v>
      </c>
      <c r="G5497" s="48"/>
      <c r="H5497" s="48"/>
      <c r="I5497" s="48"/>
      <c r="J5497" s="48"/>
      <c r="L5497" s="65"/>
    </row>
    <row r="5498" spans="5:12">
      <c r="E5498" s="49">
        <v>45067.777777759358</v>
      </c>
      <c r="F5498" s="56">
        <v>0</v>
      </c>
      <c r="G5498" s="48"/>
      <c r="H5498" s="48"/>
      <c r="I5498" s="48"/>
      <c r="J5498" s="48"/>
      <c r="L5498" s="65"/>
    </row>
    <row r="5499" spans="5:12">
      <c r="E5499" s="49">
        <v>45067.781249981577</v>
      </c>
      <c r="F5499" s="56">
        <v>0</v>
      </c>
      <c r="G5499" s="48"/>
      <c r="H5499" s="48"/>
      <c r="I5499" s="48"/>
      <c r="J5499" s="48"/>
      <c r="L5499" s="65"/>
    </row>
    <row r="5500" spans="5:12">
      <c r="E5500" s="49">
        <v>45067.784722203796</v>
      </c>
      <c r="F5500" s="56">
        <v>0</v>
      </c>
      <c r="G5500" s="48"/>
      <c r="H5500" s="48"/>
      <c r="I5500" s="48"/>
      <c r="J5500" s="48"/>
      <c r="L5500" s="65"/>
    </row>
    <row r="5501" spans="5:12">
      <c r="E5501" s="49">
        <v>45067.788194426015</v>
      </c>
      <c r="F5501" s="56">
        <v>0</v>
      </c>
      <c r="G5501" s="48"/>
      <c r="H5501" s="48"/>
      <c r="I5501" s="48"/>
      <c r="J5501" s="48"/>
      <c r="L5501" s="65"/>
    </row>
    <row r="5502" spans="5:12">
      <c r="E5502" s="49">
        <v>45067.791666648234</v>
      </c>
      <c r="F5502" s="56">
        <v>0</v>
      </c>
      <c r="G5502" s="48"/>
      <c r="H5502" s="48"/>
      <c r="I5502" s="48"/>
      <c r="J5502" s="48"/>
      <c r="L5502" s="65"/>
    </row>
    <row r="5503" spans="5:12">
      <c r="E5503" s="49">
        <v>45067.795138870453</v>
      </c>
      <c r="F5503" s="56">
        <v>0</v>
      </c>
      <c r="G5503" s="48"/>
      <c r="H5503" s="48"/>
      <c r="I5503" s="48"/>
      <c r="J5503" s="48"/>
      <c r="L5503" s="65"/>
    </row>
    <row r="5504" spans="5:12">
      <c r="E5504" s="49">
        <v>45067.798611092672</v>
      </c>
      <c r="F5504" s="56">
        <v>0</v>
      </c>
      <c r="G5504" s="48"/>
      <c r="H5504" s="48"/>
      <c r="I5504" s="48"/>
      <c r="J5504" s="48"/>
      <c r="L5504" s="65"/>
    </row>
    <row r="5505" spans="5:12">
      <c r="E5505" s="49">
        <v>45067.802083314891</v>
      </c>
      <c r="F5505" s="56">
        <v>0</v>
      </c>
      <c r="G5505" s="48"/>
      <c r="H5505" s="48"/>
      <c r="I5505" s="48"/>
      <c r="J5505" s="48"/>
      <c r="L5505" s="65"/>
    </row>
    <row r="5506" spans="5:12">
      <c r="E5506" s="49">
        <v>45067.80555553711</v>
      </c>
      <c r="F5506" s="56">
        <v>0</v>
      </c>
      <c r="G5506" s="48"/>
      <c r="H5506" s="48"/>
      <c r="I5506" s="48"/>
      <c r="J5506" s="48"/>
      <c r="L5506" s="65"/>
    </row>
    <row r="5507" spans="5:12">
      <c r="E5507" s="49">
        <v>45067.809027759329</v>
      </c>
      <c r="F5507" s="56">
        <v>0</v>
      </c>
      <c r="G5507" s="48"/>
      <c r="H5507" s="48"/>
      <c r="I5507" s="48"/>
      <c r="J5507" s="48"/>
      <c r="L5507" s="65"/>
    </row>
    <row r="5508" spans="5:12">
      <c r="E5508" s="49">
        <v>45067.812499981548</v>
      </c>
      <c r="F5508" s="56">
        <v>0</v>
      </c>
      <c r="G5508" s="48"/>
      <c r="H5508" s="48"/>
      <c r="I5508" s="48"/>
      <c r="J5508" s="48"/>
      <c r="L5508" s="65"/>
    </row>
    <row r="5509" spans="5:12">
      <c r="E5509" s="49">
        <v>45067.815972203767</v>
      </c>
      <c r="F5509" s="56">
        <v>0</v>
      </c>
      <c r="G5509" s="48"/>
      <c r="H5509" s="48"/>
      <c r="I5509" s="48"/>
      <c r="J5509" s="48"/>
      <c r="L5509" s="65"/>
    </row>
    <row r="5510" spans="5:12">
      <c r="E5510" s="49">
        <v>45067.819444425986</v>
      </c>
      <c r="F5510" s="56">
        <v>0</v>
      </c>
      <c r="G5510" s="48"/>
      <c r="H5510" s="48"/>
      <c r="I5510" s="48"/>
      <c r="J5510" s="48"/>
      <c r="L5510" s="65"/>
    </row>
    <row r="5511" spans="5:12">
      <c r="E5511" s="49">
        <v>45067.822916648205</v>
      </c>
      <c r="F5511" s="56">
        <v>0</v>
      </c>
      <c r="G5511" s="48"/>
      <c r="H5511" s="48"/>
      <c r="I5511" s="48"/>
      <c r="J5511" s="48"/>
      <c r="L5511" s="65"/>
    </row>
    <row r="5512" spans="5:12">
      <c r="E5512" s="49">
        <v>45067.826388870424</v>
      </c>
      <c r="F5512" s="56">
        <v>0</v>
      </c>
      <c r="G5512" s="48"/>
      <c r="H5512" s="48"/>
      <c r="I5512" s="48"/>
      <c r="J5512" s="48"/>
      <c r="L5512" s="65"/>
    </row>
    <row r="5513" spans="5:12">
      <c r="E5513" s="49">
        <v>45067.829861092643</v>
      </c>
      <c r="F5513" s="56">
        <v>0</v>
      </c>
      <c r="G5513" s="48"/>
      <c r="H5513" s="48"/>
      <c r="I5513" s="48"/>
      <c r="J5513" s="48"/>
      <c r="L5513" s="65"/>
    </row>
    <row r="5514" spans="5:12">
      <c r="E5514" s="49">
        <v>45067.833333314862</v>
      </c>
      <c r="F5514" s="56">
        <v>0</v>
      </c>
      <c r="G5514" s="48"/>
      <c r="H5514" s="48"/>
      <c r="I5514" s="48"/>
      <c r="J5514" s="48"/>
      <c r="L5514" s="65"/>
    </row>
    <row r="5515" spans="5:12">
      <c r="E5515" s="49">
        <v>45067.836805537081</v>
      </c>
      <c r="F5515" s="56">
        <v>0</v>
      </c>
      <c r="G5515" s="48"/>
      <c r="H5515" s="48"/>
      <c r="I5515" s="48"/>
      <c r="J5515" s="48"/>
      <c r="L5515" s="65"/>
    </row>
    <row r="5516" spans="5:12">
      <c r="E5516" s="49">
        <v>45067.8402777593</v>
      </c>
      <c r="F5516" s="56">
        <v>0</v>
      </c>
      <c r="G5516" s="48"/>
      <c r="H5516" s="48"/>
      <c r="I5516" s="48"/>
      <c r="J5516" s="48"/>
      <c r="L5516" s="65"/>
    </row>
    <row r="5517" spans="5:12">
      <c r="E5517" s="49">
        <v>45067.843749981519</v>
      </c>
      <c r="F5517" s="56">
        <v>0</v>
      </c>
      <c r="G5517" s="48"/>
      <c r="H5517" s="48"/>
      <c r="I5517" s="48"/>
      <c r="J5517" s="48"/>
      <c r="L5517" s="65"/>
    </row>
    <row r="5518" spans="5:12">
      <c r="E5518" s="49">
        <v>45067.847222203738</v>
      </c>
      <c r="F5518" s="56">
        <v>0</v>
      </c>
      <c r="G5518" s="48"/>
      <c r="H5518" s="48"/>
      <c r="I5518" s="48"/>
      <c r="J5518" s="48"/>
      <c r="L5518" s="65"/>
    </row>
    <row r="5519" spans="5:12">
      <c r="E5519" s="49">
        <v>45067.850694425957</v>
      </c>
      <c r="F5519" s="56">
        <v>0</v>
      </c>
      <c r="G5519" s="48"/>
      <c r="H5519" s="48"/>
      <c r="I5519" s="48"/>
      <c r="J5519" s="48"/>
      <c r="L5519" s="65"/>
    </row>
    <row r="5520" spans="5:12">
      <c r="E5520" s="49">
        <v>45067.854166648176</v>
      </c>
      <c r="F5520" s="56">
        <v>0</v>
      </c>
      <c r="G5520" s="48"/>
      <c r="H5520" s="48"/>
      <c r="I5520" s="48"/>
      <c r="J5520" s="48"/>
      <c r="L5520" s="65"/>
    </row>
    <row r="5521" spans="5:12">
      <c r="E5521" s="49">
        <v>45067.857638870395</v>
      </c>
      <c r="F5521" s="56">
        <v>0</v>
      </c>
      <c r="G5521" s="48"/>
      <c r="H5521" s="48"/>
      <c r="I5521" s="48"/>
      <c r="J5521" s="48"/>
      <c r="L5521" s="65"/>
    </row>
    <row r="5522" spans="5:12">
      <c r="E5522" s="49">
        <v>45067.861111092614</v>
      </c>
      <c r="F5522" s="56">
        <v>0</v>
      </c>
      <c r="G5522" s="48"/>
      <c r="H5522" s="48"/>
      <c r="I5522" s="48"/>
      <c r="J5522" s="48"/>
      <c r="L5522" s="65"/>
    </row>
    <row r="5523" spans="5:12">
      <c r="E5523" s="49">
        <v>45067.864583314833</v>
      </c>
      <c r="F5523" s="56">
        <v>0</v>
      </c>
      <c r="G5523" s="48"/>
      <c r="H5523" s="48"/>
      <c r="I5523" s="48"/>
      <c r="J5523" s="48"/>
      <c r="L5523" s="65"/>
    </row>
    <row r="5524" spans="5:12">
      <c r="E5524" s="49">
        <v>45067.868055537052</v>
      </c>
      <c r="F5524" s="56">
        <v>0</v>
      </c>
      <c r="G5524" s="48"/>
      <c r="H5524" s="48"/>
      <c r="I5524" s="48"/>
      <c r="J5524" s="48"/>
      <c r="L5524" s="65"/>
    </row>
    <row r="5525" spans="5:12">
      <c r="E5525" s="49">
        <v>45067.871527759271</v>
      </c>
      <c r="F5525" s="56">
        <v>0</v>
      </c>
      <c r="G5525" s="48"/>
      <c r="H5525" s="48"/>
      <c r="I5525" s="48"/>
      <c r="J5525" s="48"/>
      <c r="L5525" s="65"/>
    </row>
    <row r="5526" spans="5:12">
      <c r="E5526" s="49">
        <v>45067.87499998149</v>
      </c>
      <c r="F5526" s="56">
        <v>0</v>
      </c>
      <c r="G5526" s="48"/>
      <c r="H5526" s="48"/>
      <c r="I5526" s="48"/>
      <c r="J5526" s="48"/>
      <c r="L5526" s="65"/>
    </row>
    <row r="5527" spans="5:12">
      <c r="E5527" s="49">
        <v>45067.878472203709</v>
      </c>
      <c r="F5527" s="56">
        <v>0</v>
      </c>
      <c r="G5527" s="48"/>
      <c r="H5527" s="48"/>
      <c r="I5527" s="48"/>
      <c r="J5527" s="48"/>
      <c r="L5527" s="65"/>
    </row>
    <row r="5528" spans="5:12">
      <c r="E5528" s="49">
        <v>45067.881944425928</v>
      </c>
      <c r="F5528" s="56">
        <v>0</v>
      </c>
      <c r="G5528" s="48"/>
      <c r="H5528" s="48"/>
      <c r="I5528" s="48"/>
      <c r="J5528" s="48"/>
      <c r="L5528" s="65"/>
    </row>
    <row r="5529" spans="5:12">
      <c r="E5529" s="49">
        <v>45067.885416648147</v>
      </c>
      <c r="F5529" s="56">
        <v>0</v>
      </c>
      <c r="G5529" s="48"/>
      <c r="H5529" s="48"/>
      <c r="I5529" s="48"/>
      <c r="J5529" s="48"/>
      <c r="L5529" s="65"/>
    </row>
    <row r="5530" spans="5:12">
      <c r="E5530" s="49">
        <v>45067.888888870366</v>
      </c>
      <c r="F5530" s="56">
        <v>0</v>
      </c>
      <c r="G5530" s="48"/>
      <c r="H5530" s="48"/>
      <c r="I5530" s="48"/>
      <c r="J5530" s="48"/>
      <c r="L5530" s="65"/>
    </row>
    <row r="5531" spans="5:12">
      <c r="E5531" s="49">
        <v>45067.892361092585</v>
      </c>
      <c r="F5531" s="56">
        <v>0</v>
      </c>
      <c r="G5531" s="48"/>
      <c r="H5531" s="48"/>
      <c r="I5531" s="48"/>
      <c r="J5531" s="48"/>
      <c r="L5531" s="65"/>
    </row>
    <row r="5532" spans="5:12">
      <c r="E5532" s="49">
        <v>45067.895833314804</v>
      </c>
      <c r="F5532" s="56">
        <v>0</v>
      </c>
      <c r="G5532" s="48"/>
      <c r="H5532" s="48"/>
      <c r="I5532" s="48"/>
      <c r="J5532" s="48"/>
      <c r="L5532" s="65"/>
    </row>
    <row r="5533" spans="5:12">
      <c r="E5533" s="49">
        <v>45067.899305537023</v>
      </c>
      <c r="F5533" s="56">
        <v>0</v>
      </c>
      <c r="G5533" s="48"/>
      <c r="H5533" s="48"/>
      <c r="I5533" s="48"/>
      <c r="J5533" s="48"/>
      <c r="L5533" s="65"/>
    </row>
    <row r="5534" spans="5:12">
      <c r="E5534" s="49">
        <v>45067.902777759242</v>
      </c>
      <c r="F5534" s="56">
        <v>0</v>
      </c>
      <c r="G5534" s="48"/>
      <c r="H5534" s="48"/>
      <c r="I5534" s="48"/>
      <c r="J5534" s="48"/>
      <c r="L5534" s="65"/>
    </row>
    <row r="5535" spans="5:12">
      <c r="E5535" s="49">
        <v>45067.906249981461</v>
      </c>
      <c r="F5535" s="56">
        <v>0</v>
      </c>
      <c r="G5535" s="48"/>
      <c r="H5535" s="48"/>
      <c r="I5535" s="48"/>
      <c r="J5535" s="48"/>
      <c r="L5535" s="65"/>
    </row>
    <row r="5536" spans="5:12">
      <c r="E5536" s="49">
        <v>45067.90972220368</v>
      </c>
      <c r="F5536" s="56">
        <v>0</v>
      </c>
      <c r="G5536" s="48"/>
      <c r="H5536" s="48"/>
      <c r="I5536" s="48"/>
      <c r="J5536" s="48"/>
      <c r="L5536" s="65"/>
    </row>
    <row r="5537" spans="5:12">
      <c r="E5537" s="49">
        <v>45067.913194425899</v>
      </c>
      <c r="F5537" s="56">
        <v>0</v>
      </c>
      <c r="G5537" s="48"/>
      <c r="H5537" s="48"/>
      <c r="I5537" s="48"/>
      <c r="J5537" s="48"/>
      <c r="L5537" s="65"/>
    </row>
    <row r="5538" spans="5:12">
      <c r="E5538" s="49">
        <v>45067.916666648118</v>
      </c>
      <c r="F5538" s="56">
        <v>0</v>
      </c>
      <c r="G5538" s="48"/>
      <c r="H5538" s="48"/>
      <c r="I5538" s="48"/>
      <c r="J5538" s="48"/>
      <c r="L5538" s="65"/>
    </row>
    <row r="5539" spans="5:12">
      <c r="E5539" s="49">
        <v>45067.920138870337</v>
      </c>
      <c r="F5539" s="56">
        <v>0</v>
      </c>
      <c r="G5539" s="48"/>
      <c r="H5539" s="48"/>
      <c r="I5539" s="48"/>
      <c r="J5539" s="48"/>
      <c r="L5539" s="65"/>
    </row>
    <row r="5540" spans="5:12">
      <c r="E5540" s="49">
        <v>45067.923611092556</v>
      </c>
      <c r="F5540" s="56">
        <v>0</v>
      </c>
      <c r="G5540" s="48"/>
      <c r="H5540" s="48"/>
      <c r="I5540" s="48"/>
      <c r="J5540" s="48"/>
      <c r="L5540" s="65"/>
    </row>
    <row r="5541" spans="5:12">
      <c r="E5541" s="49">
        <v>45067.927083314775</v>
      </c>
      <c r="F5541" s="56">
        <v>0</v>
      </c>
      <c r="G5541" s="48"/>
      <c r="H5541" s="48"/>
      <c r="I5541" s="48"/>
      <c r="J5541" s="48"/>
      <c r="L5541" s="65"/>
    </row>
    <row r="5542" spans="5:12">
      <c r="E5542" s="49">
        <v>45067.930555536994</v>
      </c>
      <c r="F5542" s="56">
        <v>0</v>
      </c>
      <c r="G5542" s="48"/>
      <c r="H5542" s="48"/>
      <c r="I5542" s="48"/>
      <c r="J5542" s="48"/>
      <c r="L5542" s="65"/>
    </row>
    <row r="5543" spans="5:12">
      <c r="E5543" s="49">
        <v>45067.934027759213</v>
      </c>
      <c r="F5543" s="56">
        <v>0</v>
      </c>
      <c r="G5543" s="48"/>
      <c r="H5543" s="48"/>
      <c r="I5543" s="48"/>
      <c r="J5543" s="48"/>
      <c r="L5543" s="65"/>
    </row>
    <row r="5544" spans="5:12">
      <c r="E5544" s="49">
        <v>45067.937499981432</v>
      </c>
      <c r="F5544" s="56">
        <v>0</v>
      </c>
      <c r="G5544" s="48"/>
      <c r="H5544" s="48"/>
      <c r="I5544" s="48"/>
      <c r="J5544" s="48"/>
      <c r="L5544" s="65"/>
    </row>
    <row r="5545" spans="5:12">
      <c r="E5545" s="49">
        <v>45067.940972203651</v>
      </c>
      <c r="F5545" s="56">
        <v>0</v>
      </c>
      <c r="G5545" s="48"/>
      <c r="H5545" s="48"/>
      <c r="I5545" s="48"/>
      <c r="J5545" s="48"/>
      <c r="L5545" s="65"/>
    </row>
    <row r="5546" spans="5:12">
      <c r="E5546" s="49">
        <v>45067.94444442587</v>
      </c>
      <c r="F5546" s="56">
        <v>0</v>
      </c>
      <c r="G5546" s="48"/>
      <c r="H5546" s="48"/>
      <c r="I5546" s="48"/>
      <c r="J5546" s="48"/>
      <c r="L5546" s="65"/>
    </row>
    <row r="5547" spans="5:12">
      <c r="E5547" s="49">
        <v>45067.947916648089</v>
      </c>
      <c r="F5547" s="56">
        <v>0</v>
      </c>
      <c r="G5547" s="48"/>
      <c r="H5547" s="48"/>
      <c r="I5547" s="48"/>
      <c r="J5547" s="48"/>
      <c r="L5547" s="65"/>
    </row>
    <row r="5548" spans="5:12">
      <c r="E5548" s="49">
        <v>45067.951388870308</v>
      </c>
      <c r="F5548" s="56">
        <v>0</v>
      </c>
      <c r="G5548" s="48"/>
      <c r="H5548" s="48"/>
      <c r="I5548" s="48"/>
      <c r="J5548" s="48"/>
      <c r="L5548" s="65"/>
    </row>
    <row r="5549" spans="5:12">
      <c r="E5549" s="49">
        <v>45067.954861092527</v>
      </c>
      <c r="F5549" s="56">
        <v>0</v>
      </c>
      <c r="G5549" s="48"/>
      <c r="H5549" s="48"/>
      <c r="I5549" s="48"/>
      <c r="J5549" s="48"/>
      <c r="L5549" s="65"/>
    </row>
    <row r="5550" spans="5:12">
      <c r="E5550" s="49">
        <v>45067.958333314746</v>
      </c>
      <c r="F5550" s="56">
        <v>0</v>
      </c>
      <c r="G5550" s="48"/>
      <c r="H5550" s="48"/>
      <c r="I5550" s="48"/>
      <c r="J5550" s="48"/>
      <c r="L5550" s="65"/>
    </row>
    <row r="5551" spans="5:12">
      <c r="E5551" s="49">
        <v>45067.961805536965</v>
      </c>
      <c r="F5551" s="56">
        <v>0</v>
      </c>
      <c r="G5551" s="48"/>
      <c r="H5551" s="48"/>
      <c r="I5551" s="48"/>
      <c r="J5551" s="48"/>
      <c r="L5551" s="65"/>
    </row>
    <row r="5552" spans="5:12">
      <c r="E5552" s="49">
        <v>45067.965277759184</v>
      </c>
      <c r="F5552" s="56">
        <v>0</v>
      </c>
      <c r="G5552" s="48"/>
      <c r="H5552" s="48"/>
      <c r="I5552" s="48"/>
      <c r="J5552" s="48"/>
      <c r="L5552" s="65"/>
    </row>
    <row r="5553" spans="5:12">
      <c r="E5553" s="49">
        <v>45067.968749981403</v>
      </c>
      <c r="F5553" s="56">
        <v>0</v>
      </c>
      <c r="G5553" s="48"/>
      <c r="H5553" s="48"/>
      <c r="I5553" s="48"/>
      <c r="J5553" s="48"/>
      <c r="L5553" s="65"/>
    </row>
    <row r="5554" spans="5:12">
      <c r="E5554" s="49">
        <v>45067.972222203622</v>
      </c>
      <c r="F5554" s="56">
        <v>0</v>
      </c>
      <c r="G5554" s="48"/>
      <c r="H5554" s="48"/>
      <c r="I5554" s="48"/>
      <c r="J5554" s="48"/>
      <c r="L5554" s="65"/>
    </row>
    <row r="5555" spans="5:12">
      <c r="E5555" s="49">
        <v>45067.975694425841</v>
      </c>
      <c r="F5555" s="56">
        <v>0</v>
      </c>
      <c r="G5555" s="48"/>
      <c r="H5555" s="48"/>
      <c r="I5555" s="48"/>
      <c r="J5555" s="48"/>
      <c r="L5555" s="65"/>
    </row>
    <row r="5556" spans="5:12">
      <c r="E5556" s="49">
        <v>45067.97916664806</v>
      </c>
      <c r="F5556" s="56">
        <v>0</v>
      </c>
      <c r="G5556" s="48"/>
      <c r="H5556" s="48"/>
      <c r="I5556" s="48"/>
      <c r="J5556" s="48"/>
      <c r="L5556" s="65"/>
    </row>
    <row r="5557" spans="5:12">
      <c r="E5557" s="49">
        <v>45067.982638870279</v>
      </c>
      <c r="F5557" s="56">
        <v>0</v>
      </c>
      <c r="G5557" s="48"/>
      <c r="H5557" s="48"/>
      <c r="I5557" s="48"/>
      <c r="J5557" s="48"/>
      <c r="L5557" s="65"/>
    </row>
    <row r="5558" spans="5:12">
      <c r="E5558" s="49">
        <v>45067.986111092498</v>
      </c>
      <c r="F5558" s="56">
        <v>0</v>
      </c>
      <c r="G5558" s="48"/>
      <c r="H5558" s="48"/>
      <c r="I5558" s="48"/>
      <c r="J5558" s="48"/>
      <c r="L5558" s="65"/>
    </row>
    <row r="5559" spans="5:12">
      <c r="E5559" s="49">
        <v>45067.989583314717</v>
      </c>
      <c r="F5559" s="56">
        <v>0</v>
      </c>
      <c r="G5559" s="48"/>
      <c r="H5559" s="48"/>
      <c r="I5559" s="48"/>
      <c r="J5559" s="48"/>
      <c r="L5559" s="65"/>
    </row>
    <row r="5560" spans="5:12">
      <c r="E5560" s="49">
        <v>45067.993055536936</v>
      </c>
      <c r="F5560" s="56">
        <v>0</v>
      </c>
      <c r="G5560" s="48"/>
      <c r="H5560" s="48"/>
      <c r="I5560" s="48"/>
      <c r="J5560" s="48"/>
      <c r="L5560" s="65"/>
    </row>
    <row r="5561" spans="5:12">
      <c r="E5561" s="49">
        <v>45067.996527759155</v>
      </c>
      <c r="F5561" s="56">
        <v>0</v>
      </c>
      <c r="G5561" s="48"/>
      <c r="H5561" s="48"/>
      <c r="I5561" s="48"/>
      <c r="J5561" s="48"/>
      <c r="L5561" s="65"/>
    </row>
    <row r="5562" spans="5:12">
      <c r="E5562" s="49">
        <v>45067.999999981374</v>
      </c>
      <c r="F5562" s="56">
        <v>0</v>
      </c>
      <c r="G5562" s="48"/>
      <c r="H5562" s="48"/>
      <c r="I5562" s="48"/>
      <c r="J5562" s="48"/>
      <c r="L5562" s="65"/>
    </row>
    <row r="5563" spans="5:12">
      <c r="E5563" s="49">
        <v>45068.003472203593</v>
      </c>
      <c r="F5563" s="56">
        <v>0</v>
      </c>
      <c r="G5563" s="48"/>
      <c r="H5563" s="48"/>
      <c r="I5563" s="48"/>
      <c r="J5563" s="48"/>
      <c r="L5563" s="65"/>
    </row>
    <row r="5564" spans="5:12">
      <c r="E5564" s="49">
        <v>45068.006944425812</v>
      </c>
      <c r="F5564" s="56">
        <v>0</v>
      </c>
      <c r="G5564" s="48"/>
      <c r="H5564" s="48"/>
      <c r="I5564" s="48"/>
      <c r="J5564" s="48"/>
      <c r="L5564" s="65"/>
    </row>
    <row r="5565" spans="5:12">
      <c r="E5565" s="49">
        <v>45068.010416648031</v>
      </c>
      <c r="F5565" s="56">
        <v>0</v>
      </c>
      <c r="G5565" s="48"/>
      <c r="H5565" s="48"/>
      <c r="I5565" s="48"/>
      <c r="J5565" s="48"/>
      <c r="L5565" s="65"/>
    </row>
    <row r="5566" spans="5:12">
      <c r="E5566" s="49">
        <v>45068.01388887025</v>
      </c>
      <c r="F5566" s="56">
        <v>0</v>
      </c>
      <c r="G5566" s="48"/>
      <c r="H5566" s="48"/>
      <c r="I5566" s="48"/>
      <c r="J5566" s="48"/>
      <c r="L5566" s="65"/>
    </row>
    <row r="5567" spans="5:12">
      <c r="E5567" s="49">
        <v>45068.017361092468</v>
      </c>
      <c r="F5567" s="56">
        <v>0</v>
      </c>
      <c r="G5567" s="48"/>
      <c r="H5567" s="48"/>
      <c r="I5567" s="48"/>
      <c r="J5567" s="48"/>
      <c r="L5567" s="65"/>
    </row>
    <row r="5568" spans="5:12">
      <c r="E5568" s="49">
        <v>45068.020833314687</v>
      </c>
      <c r="F5568" s="56">
        <v>0</v>
      </c>
      <c r="G5568" s="48"/>
      <c r="H5568" s="48"/>
      <c r="I5568" s="48"/>
      <c r="J5568" s="48"/>
      <c r="L5568" s="65"/>
    </row>
    <row r="5569" spans="5:12">
      <c r="E5569" s="49">
        <v>45068.024305536906</v>
      </c>
      <c r="F5569" s="56">
        <v>0</v>
      </c>
      <c r="G5569" s="48"/>
      <c r="H5569" s="48"/>
      <c r="I5569" s="48"/>
      <c r="J5569" s="48"/>
      <c r="L5569" s="65"/>
    </row>
    <row r="5570" spans="5:12">
      <c r="E5570" s="49">
        <v>45068.027777759125</v>
      </c>
      <c r="F5570" s="56">
        <v>0</v>
      </c>
      <c r="G5570" s="48"/>
      <c r="H5570" s="48"/>
      <c r="I5570" s="48"/>
      <c r="J5570" s="48"/>
      <c r="L5570" s="65"/>
    </row>
    <row r="5571" spans="5:12">
      <c r="E5571" s="49">
        <v>45068.031249981344</v>
      </c>
      <c r="F5571" s="56">
        <v>0</v>
      </c>
      <c r="G5571" s="48"/>
      <c r="H5571" s="48"/>
      <c r="I5571" s="48"/>
      <c r="J5571" s="48"/>
      <c r="L5571" s="65"/>
    </row>
    <row r="5572" spans="5:12">
      <c r="E5572" s="49">
        <v>45068.034722203563</v>
      </c>
      <c r="F5572" s="56">
        <v>0</v>
      </c>
      <c r="G5572" s="48"/>
      <c r="H5572" s="48"/>
      <c r="I5572" s="48"/>
      <c r="J5572" s="48"/>
      <c r="L5572" s="65"/>
    </row>
    <row r="5573" spans="5:12">
      <c r="E5573" s="49">
        <v>45068.038194425782</v>
      </c>
      <c r="F5573" s="56">
        <v>0</v>
      </c>
      <c r="G5573" s="48"/>
      <c r="H5573" s="48"/>
      <c r="I5573" s="48"/>
      <c r="J5573" s="48"/>
      <c r="L5573" s="65"/>
    </row>
    <row r="5574" spans="5:12">
      <c r="E5574" s="49">
        <v>45068.041666648001</v>
      </c>
      <c r="F5574" s="56">
        <v>0</v>
      </c>
      <c r="G5574" s="48"/>
      <c r="H5574" s="48"/>
      <c r="I5574" s="48"/>
      <c r="J5574" s="48"/>
      <c r="L5574" s="65"/>
    </row>
    <row r="5575" spans="5:12">
      <c r="E5575" s="49">
        <v>45068.04513887022</v>
      </c>
      <c r="F5575" s="56">
        <v>0</v>
      </c>
      <c r="G5575" s="48"/>
      <c r="H5575" s="48"/>
      <c r="I5575" s="48"/>
      <c r="J5575" s="48"/>
      <c r="L5575" s="65"/>
    </row>
    <row r="5576" spans="5:12">
      <c r="E5576" s="49">
        <v>45068.048611092439</v>
      </c>
      <c r="F5576" s="56">
        <v>0</v>
      </c>
      <c r="G5576" s="48"/>
      <c r="H5576" s="48"/>
      <c r="I5576" s="48"/>
      <c r="J5576" s="48"/>
      <c r="L5576" s="65"/>
    </row>
    <row r="5577" spans="5:12">
      <c r="E5577" s="49">
        <v>45068.052083314658</v>
      </c>
      <c r="F5577" s="56">
        <v>0</v>
      </c>
      <c r="G5577" s="48"/>
      <c r="H5577" s="48"/>
      <c r="I5577" s="48"/>
      <c r="J5577" s="48"/>
      <c r="L5577" s="65"/>
    </row>
    <row r="5578" spans="5:12">
      <c r="E5578" s="49">
        <v>45068.055555536877</v>
      </c>
      <c r="F5578" s="56">
        <v>0</v>
      </c>
      <c r="G5578" s="48"/>
      <c r="H5578" s="48"/>
      <c r="I5578" s="48"/>
      <c r="J5578" s="48"/>
      <c r="L5578" s="65"/>
    </row>
    <row r="5579" spans="5:12">
      <c r="E5579" s="49">
        <v>45068.059027759096</v>
      </c>
      <c r="F5579" s="56">
        <v>0</v>
      </c>
      <c r="G5579" s="48"/>
      <c r="H5579" s="48"/>
      <c r="I5579" s="48"/>
      <c r="J5579" s="48"/>
      <c r="L5579" s="65"/>
    </row>
    <row r="5580" spans="5:12">
      <c r="E5580" s="49">
        <v>45068.062499981315</v>
      </c>
      <c r="F5580" s="56">
        <v>0</v>
      </c>
      <c r="G5580" s="48"/>
      <c r="H5580" s="48"/>
      <c r="I5580" s="48"/>
      <c r="J5580" s="48"/>
      <c r="L5580" s="65"/>
    </row>
    <row r="5581" spans="5:12">
      <c r="E5581" s="49">
        <v>45068.065972203534</v>
      </c>
      <c r="F5581" s="56">
        <v>0</v>
      </c>
      <c r="G5581" s="48"/>
      <c r="H5581" s="48"/>
      <c r="I5581" s="48"/>
      <c r="J5581" s="48"/>
      <c r="L5581" s="65"/>
    </row>
    <row r="5582" spans="5:12">
      <c r="E5582" s="49">
        <v>45068.069444425753</v>
      </c>
      <c r="F5582" s="56">
        <v>0</v>
      </c>
      <c r="G5582" s="48"/>
      <c r="H5582" s="48"/>
      <c r="I5582" s="48"/>
      <c r="J5582" s="48"/>
      <c r="L5582" s="65"/>
    </row>
    <row r="5583" spans="5:12">
      <c r="E5583" s="49">
        <v>45068.072916647972</v>
      </c>
      <c r="F5583" s="56">
        <v>0</v>
      </c>
      <c r="G5583" s="48"/>
      <c r="H5583" s="48"/>
      <c r="I5583" s="48"/>
      <c r="J5583" s="48"/>
      <c r="L5583" s="65"/>
    </row>
    <row r="5584" spans="5:12">
      <c r="E5584" s="49">
        <v>45068.076388870191</v>
      </c>
      <c r="F5584" s="56">
        <v>0</v>
      </c>
      <c r="G5584" s="48"/>
      <c r="H5584" s="48"/>
      <c r="I5584" s="48"/>
      <c r="J5584" s="48"/>
      <c r="L5584" s="65"/>
    </row>
    <row r="5585" spans="5:12">
      <c r="E5585" s="49">
        <v>45068.07986109241</v>
      </c>
      <c r="F5585" s="56">
        <v>0</v>
      </c>
      <c r="G5585" s="48"/>
      <c r="H5585" s="48"/>
      <c r="I5585" s="48"/>
      <c r="J5585" s="48"/>
      <c r="L5585" s="65"/>
    </row>
    <row r="5586" spans="5:12">
      <c r="E5586" s="49">
        <v>45068.083333314629</v>
      </c>
      <c r="F5586" s="56">
        <v>0</v>
      </c>
      <c r="G5586" s="48"/>
      <c r="H5586" s="48"/>
      <c r="I5586" s="48"/>
      <c r="J5586" s="48"/>
      <c r="L5586" s="65"/>
    </row>
    <row r="5587" spans="5:12">
      <c r="E5587" s="49">
        <v>45068.086805536848</v>
      </c>
      <c r="F5587" s="56">
        <v>0</v>
      </c>
      <c r="G5587" s="48"/>
      <c r="H5587" s="48"/>
      <c r="I5587" s="48"/>
      <c r="J5587" s="48"/>
      <c r="L5587" s="65"/>
    </row>
    <row r="5588" spans="5:12">
      <c r="E5588" s="49">
        <v>45068.090277759067</v>
      </c>
      <c r="F5588" s="56">
        <v>0</v>
      </c>
      <c r="G5588" s="48"/>
      <c r="H5588" s="48"/>
      <c r="I5588" s="48"/>
      <c r="J5588" s="48"/>
      <c r="L5588" s="65"/>
    </row>
    <row r="5589" spans="5:12">
      <c r="E5589" s="49">
        <v>45068.093749981286</v>
      </c>
      <c r="F5589" s="56">
        <v>0</v>
      </c>
      <c r="G5589" s="48"/>
      <c r="H5589" s="48"/>
      <c r="I5589" s="48"/>
      <c r="J5589" s="48"/>
      <c r="L5589" s="65"/>
    </row>
    <row r="5590" spans="5:12">
      <c r="E5590" s="49">
        <v>45068.097222203505</v>
      </c>
      <c r="F5590" s="56">
        <v>0</v>
      </c>
      <c r="G5590" s="48"/>
      <c r="H5590" s="48"/>
      <c r="I5590" s="48"/>
      <c r="J5590" s="48"/>
      <c r="L5590" s="65"/>
    </row>
    <row r="5591" spans="5:12">
      <c r="E5591" s="49">
        <v>45068.100694425724</v>
      </c>
      <c r="F5591" s="56">
        <v>0</v>
      </c>
      <c r="G5591" s="48"/>
      <c r="H5591" s="48"/>
      <c r="I5591" s="48"/>
      <c r="J5591" s="48"/>
      <c r="L5591" s="65"/>
    </row>
    <row r="5592" spans="5:12">
      <c r="E5592" s="49">
        <v>45068.104166647943</v>
      </c>
      <c r="F5592" s="56">
        <v>0</v>
      </c>
      <c r="G5592" s="48"/>
      <c r="H5592" s="48"/>
      <c r="I5592" s="48"/>
      <c r="J5592" s="48"/>
      <c r="L5592" s="65"/>
    </row>
    <row r="5593" spans="5:12">
      <c r="E5593" s="49">
        <v>45068.107638870162</v>
      </c>
      <c r="F5593" s="56">
        <v>0</v>
      </c>
      <c r="G5593" s="48"/>
      <c r="H5593" s="48"/>
      <c r="I5593" s="48"/>
      <c r="J5593" s="48"/>
      <c r="L5593" s="65"/>
    </row>
    <row r="5594" spans="5:12">
      <c r="E5594" s="49">
        <v>45068.111111092381</v>
      </c>
      <c r="F5594" s="56">
        <v>0</v>
      </c>
      <c r="G5594" s="48"/>
      <c r="H5594" s="48"/>
      <c r="I5594" s="48"/>
      <c r="J5594" s="48"/>
      <c r="L5594" s="65"/>
    </row>
    <row r="5595" spans="5:12">
      <c r="E5595" s="49">
        <v>45068.1145833146</v>
      </c>
      <c r="F5595" s="56">
        <v>0</v>
      </c>
      <c r="G5595" s="48"/>
      <c r="H5595" s="48"/>
      <c r="I5595" s="48"/>
      <c r="J5595" s="48"/>
      <c r="L5595" s="65"/>
    </row>
    <row r="5596" spans="5:12">
      <c r="E5596" s="49">
        <v>45068.118055536819</v>
      </c>
      <c r="F5596" s="56">
        <v>0</v>
      </c>
      <c r="G5596" s="48"/>
      <c r="H5596" s="48"/>
      <c r="I5596" s="48"/>
      <c r="J5596" s="48"/>
      <c r="L5596" s="65"/>
    </row>
    <row r="5597" spans="5:12">
      <c r="E5597" s="49">
        <v>45068.121527759038</v>
      </c>
      <c r="F5597" s="56">
        <v>0</v>
      </c>
      <c r="G5597" s="48"/>
      <c r="H5597" s="48"/>
      <c r="I5597" s="48"/>
      <c r="J5597" s="48"/>
      <c r="L5597" s="65"/>
    </row>
    <row r="5598" spans="5:12">
      <c r="E5598" s="49">
        <v>45068.124999981257</v>
      </c>
      <c r="F5598" s="56">
        <v>0</v>
      </c>
      <c r="G5598" s="48"/>
      <c r="H5598" s="48"/>
      <c r="I5598" s="48"/>
      <c r="J5598" s="48"/>
      <c r="L5598" s="65"/>
    </row>
    <row r="5599" spans="5:12">
      <c r="E5599" s="49">
        <v>45068.128472203476</v>
      </c>
      <c r="F5599" s="56">
        <v>0</v>
      </c>
      <c r="G5599" s="48"/>
      <c r="H5599" s="48"/>
      <c r="I5599" s="48"/>
      <c r="J5599" s="48"/>
      <c r="L5599" s="65"/>
    </row>
    <row r="5600" spans="5:12">
      <c r="E5600" s="49">
        <v>45068.131944425695</v>
      </c>
      <c r="F5600" s="56">
        <v>0</v>
      </c>
      <c r="G5600" s="48"/>
      <c r="H5600" s="48"/>
      <c r="I5600" s="48"/>
      <c r="J5600" s="48"/>
      <c r="L5600" s="65"/>
    </row>
    <row r="5601" spans="5:12">
      <c r="E5601" s="49">
        <v>45068.135416647914</v>
      </c>
      <c r="F5601" s="56">
        <v>0</v>
      </c>
      <c r="G5601" s="48"/>
      <c r="H5601" s="48"/>
      <c r="I5601" s="48"/>
      <c r="J5601" s="48"/>
      <c r="L5601" s="65"/>
    </row>
    <row r="5602" spans="5:12">
      <c r="E5602" s="49">
        <v>45068.138888870133</v>
      </c>
      <c r="F5602" s="56">
        <v>0</v>
      </c>
      <c r="G5602" s="48"/>
      <c r="H5602" s="48"/>
      <c r="I5602" s="48"/>
      <c r="J5602" s="48"/>
      <c r="L5602" s="65"/>
    </row>
    <row r="5603" spans="5:12">
      <c r="E5603" s="49">
        <v>45068.142361092352</v>
      </c>
      <c r="F5603" s="56">
        <v>0</v>
      </c>
      <c r="G5603" s="48"/>
      <c r="H5603" s="48"/>
      <c r="I5603" s="48"/>
      <c r="J5603" s="48"/>
      <c r="L5603" s="65"/>
    </row>
    <row r="5604" spans="5:12">
      <c r="E5604" s="49">
        <v>45068.145833314571</v>
      </c>
      <c r="F5604" s="56">
        <v>0</v>
      </c>
      <c r="G5604" s="48"/>
      <c r="H5604" s="48"/>
      <c r="I5604" s="48"/>
      <c r="J5604" s="48"/>
      <c r="L5604" s="65"/>
    </row>
    <row r="5605" spans="5:12">
      <c r="E5605" s="49">
        <v>45068.14930553679</v>
      </c>
      <c r="F5605" s="56">
        <v>0</v>
      </c>
      <c r="G5605" s="48"/>
      <c r="H5605" s="48"/>
      <c r="I5605" s="48"/>
      <c r="J5605" s="48"/>
      <c r="L5605" s="65"/>
    </row>
    <row r="5606" spans="5:12">
      <c r="E5606" s="49">
        <v>45068.152777759009</v>
      </c>
      <c r="F5606" s="56">
        <v>0</v>
      </c>
      <c r="G5606" s="48"/>
      <c r="H5606" s="48"/>
      <c r="I5606" s="48"/>
      <c r="J5606" s="48"/>
      <c r="L5606" s="65"/>
    </row>
    <row r="5607" spans="5:12">
      <c r="E5607" s="49">
        <v>45068.156249981228</v>
      </c>
      <c r="F5607" s="56">
        <v>0</v>
      </c>
      <c r="G5607" s="48"/>
      <c r="H5607" s="48"/>
      <c r="I5607" s="48"/>
      <c r="J5607" s="48"/>
      <c r="L5607" s="65"/>
    </row>
    <row r="5608" spans="5:12">
      <c r="E5608" s="49">
        <v>45068.159722203447</v>
      </c>
      <c r="F5608" s="56">
        <v>0</v>
      </c>
      <c r="G5608" s="48"/>
      <c r="H5608" s="48"/>
      <c r="I5608" s="48"/>
      <c r="J5608" s="48"/>
      <c r="L5608" s="65"/>
    </row>
    <row r="5609" spans="5:12">
      <c r="E5609" s="49">
        <v>45068.163194425666</v>
      </c>
      <c r="F5609" s="56">
        <v>0</v>
      </c>
      <c r="G5609" s="48"/>
      <c r="H5609" s="48"/>
      <c r="I5609" s="48"/>
      <c r="J5609" s="48"/>
      <c r="L5609" s="65"/>
    </row>
    <row r="5610" spans="5:12">
      <c r="E5610" s="49">
        <v>45068.166666647885</v>
      </c>
      <c r="F5610" s="56">
        <v>0</v>
      </c>
      <c r="G5610" s="48"/>
      <c r="H5610" s="48"/>
      <c r="I5610" s="48"/>
      <c r="J5610" s="48"/>
      <c r="L5610" s="65"/>
    </row>
    <row r="5611" spans="5:12">
      <c r="E5611" s="49">
        <v>45068.170138870104</v>
      </c>
      <c r="F5611" s="56">
        <v>0</v>
      </c>
      <c r="G5611" s="48"/>
      <c r="H5611" s="48"/>
      <c r="I5611" s="48"/>
      <c r="J5611" s="48"/>
      <c r="L5611" s="65"/>
    </row>
    <row r="5612" spans="5:12">
      <c r="E5612" s="49">
        <v>45068.173611092323</v>
      </c>
      <c r="F5612" s="56">
        <v>0</v>
      </c>
      <c r="G5612" s="48"/>
      <c r="H5612" s="48"/>
      <c r="I5612" s="48"/>
      <c r="J5612" s="48"/>
      <c r="L5612" s="65"/>
    </row>
    <row r="5613" spans="5:12">
      <c r="E5613" s="49">
        <v>45068.177083314542</v>
      </c>
      <c r="F5613" s="56">
        <v>0</v>
      </c>
      <c r="G5613" s="48"/>
      <c r="H5613" s="48"/>
      <c r="I5613" s="48"/>
      <c r="J5613" s="48"/>
      <c r="L5613" s="65"/>
    </row>
    <row r="5614" spans="5:12">
      <c r="E5614" s="49">
        <v>45068.180555536761</v>
      </c>
      <c r="F5614" s="56">
        <v>0</v>
      </c>
      <c r="G5614" s="48"/>
      <c r="H5614" s="48"/>
      <c r="I5614" s="48"/>
      <c r="J5614" s="48"/>
      <c r="L5614" s="65"/>
    </row>
    <row r="5615" spans="5:12">
      <c r="E5615" s="49">
        <v>45068.18402775898</v>
      </c>
      <c r="F5615" s="56">
        <v>0</v>
      </c>
      <c r="G5615" s="48"/>
      <c r="H5615" s="48"/>
      <c r="I5615" s="48"/>
      <c r="J5615" s="48"/>
      <c r="L5615" s="65"/>
    </row>
    <row r="5616" spans="5:12">
      <c r="E5616" s="49">
        <v>45068.187499981199</v>
      </c>
      <c r="F5616" s="56">
        <v>0</v>
      </c>
      <c r="G5616" s="48"/>
      <c r="H5616" s="48"/>
      <c r="I5616" s="48"/>
      <c r="J5616" s="48"/>
      <c r="L5616" s="65"/>
    </row>
    <row r="5617" spans="5:12">
      <c r="E5617" s="49">
        <v>45068.190972203418</v>
      </c>
      <c r="F5617" s="56">
        <v>0</v>
      </c>
      <c r="G5617" s="48"/>
      <c r="H5617" s="48"/>
      <c r="I5617" s="48"/>
      <c r="J5617" s="48"/>
      <c r="L5617" s="65"/>
    </row>
    <row r="5618" spans="5:12">
      <c r="E5618" s="49">
        <v>45068.194444425637</v>
      </c>
      <c r="F5618" s="56">
        <v>0</v>
      </c>
      <c r="G5618" s="48"/>
      <c r="H5618" s="48"/>
      <c r="I5618" s="48"/>
      <c r="J5618" s="48"/>
      <c r="L5618" s="65"/>
    </row>
    <row r="5619" spans="5:12">
      <c r="E5619" s="49">
        <v>45068.197916647856</v>
      </c>
      <c r="F5619" s="56">
        <v>0</v>
      </c>
      <c r="G5619" s="48"/>
      <c r="H5619" s="48"/>
      <c r="I5619" s="48"/>
      <c r="J5619" s="48"/>
      <c r="L5619" s="65"/>
    </row>
    <row r="5620" spans="5:12">
      <c r="E5620" s="49">
        <v>45068.201388870075</v>
      </c>
      <c r="F5620" s="56">
        <v>0</v>
      </c>
      <c r="G5620" s="48"/>
      <c r="H5620" s="48"/>
      <c r="I5620" s="48"/>
      <c r="J5620" s="48"/>
      <c r="L5620" s="65"/>
    </row>
    <row r="5621" spans="5:12">
      <c r="E5621" s="49">
        <v>45068.204861092294</v>
      </c>
      <c r="F5621" s="56">
        <v>0</v>
      </c>
      <c r="G5621" s="48"/>
      <c r="H5621" s="48"/>
      <c r="I5621" s="48"/>
      <c r="J5621" s="48"/>
      <c r="L5621" s="65"/>
    </row>
    <row r="5622" spans="5:12">
      <c r="E5622" s="49">
        <v>45068.208333314513</v>
      </c>
      <c r="F5622" s="56">
        <v>0</v>
      </c>
      <c r="G5622" s="48"/>
      <c r="H5622" s="48"/>
      <c r="I5622" s="48"/>
      <c r="J5622" s="48"/>
      <c r="L5622" s="65"/>
    </row>
    <row r="5623" spans="5:12">
      <c r="E5623" s="49">
        <v>45068.211805536732</v>
      </c>
      <c r="F5623" s="56">
        <v>0</v>
      </c>
      <c r="G5623" s="48"/>
      <c r="H5623" s="48"/>
      <c r="I5623" s="48"/>
      <c r="J5623" s="48"/>
      <c r="L5623" s="65"/>
    </row>
    <row r="5624" spans="5:12">
      <c r="E5624" s="49">
        <v>45068.215277758951</v>
      </c>
      <c r="F5624" s="56">
        <v>0</v>
      </c>
      <c r="G5624" s="48"/>
      <c r="H5624" s="48"/>
      <c r="I5624" s="48"/>
      <c r="J5624" s="48"/>
      <c r="L5624" s="65"/>
    </row>
    <row r="5625" spans="5:12">
      <c r="E5625" s="49">
        <v>45068.21874998117</v>
      </c>
      <c r="F5625" s="56">
        <v>0</v>
      </c>
      <c r="G5625" s="48"/>
      <c r="H5625" s="48"/>
      <c r="I5625" s="48"/>
      <c r="J5625" s="48"/>
      <c r="L5625" s="65"/>
    </row>
    <row r="5626" spans="5:12">
      <c r="E5626" s="49">
        <v>45068.222222203389</v>
      </c>
      <c r="F5626" s="56">
        <v>0</v>
      </c>
      <c r="G5626" s="48"/>
      <c r="H5626" s="48"/>
      <c r="I5626" s="48"/>
      <c r="J5626" s="48"/>
      <c r="L5626" s="65"/>
    </row>
    <row r="5627" spans="5:12">
      <c r="E5627" s="49">
        <v>45068.225694425608</v>
      </c>
      <c r="F5627" s="56">
        <v>0</v>
      </c>
      <c r="G5627" s="48"/>
      <c r="H5627" s="48"/>
      <c r="I5627" s="48"/>
      <c r="J5627" s="48"/>
      <c r="L5627" s="65"/>
    </row>
    <row r="5628" spans="5:12">
      <c r="E5628" s="49">
        <v>45068.229166647827</v>
      </c>
      <c r="F5628" s="56">
        <v>0</v>
      </c>
      <c r="G5628" s="48"/>
      <c r="H5628" s="48"/>
      <c r="I5628" s="48"/>
      <c r="J5628" s="48"/>
      <c r="L5628" s="65"/>
    </row>
    <row r="5629" spans="5:12">
      <c r="E5629" s="49">
        <v>45068.232638870046</v>
      </c>
      <c r="F5629" s="56">
        <v>0</v>
      </c>
      <c r="G5629" s="48"/>
      <c r="H5629" s="48"/>
      <c r="I5629" s="48"/>
      <c r="J5629" s="48"/>
      <c r="L5629" s="65"/>
    </row>
    <row r="5630" spans="5:12">
      <c r="E5630" s="49">
        <v>45068.236111092265</v>
      </c>
      <c r="F5630" s="56">
        <v>0</v>
      </c>
      <c r="G5630" s="48"/>
      <c r="H5630" s="48"/>
      <c r="I5630" s="48"/>
      <c r="J5630" s="48"/>
      <c r="L5630" s="65"/>
    </row>
    <row r="5631" spans="5:12">
      <c r="E5631" s="49">
        <v>45068.239583314484</v>
      </c>
      <c r="F5631" s="56">
        <v>0</v>
      </c>
      <c r="G5631" s="48"/>
      <c r="H5631" s="48"/>
      <c r="I5631" s="48"/>
      <c r="J5631" s="48"/>
      <c r="L5631" s="65"/>
    </row>
    <row r="5632" spans="5:12">
      <c r="E5632" s="49">
        <v>45068.243055536703</v>
      </c>
      <c r="F5632" s="56">
        <v>0</v>
      </c>
      <c r="G5632" s="48"/>
      <c r="H5632" s="48"/>
      <c r="I5632" s="48"/>
      <c r="J5632" s="48"/>
      <c r="L5632" s="65"/>
    </row>
    <row r="5633" spans="5:12">
      <c r="E5633" s="49">
        <v>45068.246527758922</v>
      </c>
      <c r="F5633" s="56">
        <v>0</v>
      </c>
      <c r="G5633" s="48"/>
      <c r="H5633" s="48"/>
      <c r="I5633" s="48"/>
      <c r="J5633" s="48"/>
      <c r="L5633" s="65"/>
    </row>
    <row r="5634" spans="5:12">
      <c r="E5634" s="49">
        <v>45068.249999981141</v>
      </c>
      <c r="F5634" s="56">
        <v>0</v>
      </c>
      <c r="G5634" s="48"/>
      <c r="H5634" s="48"/>
      <c r="I5634" s="48"/>
      <c r="J5634" s="48"/>
      <c r="L5634" s="65"/>
    </row>
    <row r="5635" spans="5:12">
      <c r="E5635" s="49">
        <v>45068.25347220336</v>
      </c>
      <c r="F5635" s="56">
        <v>0</v>
      </c>
      <c r="G5635" s="48"/>
      <c r="H5635" s="48"/>
      <c r="I5635" s="48"/>
      <c r="J5635" s="48"/>
      <c r="L5635" s="65"/>
    </row>
    <row r="5636" spans="5:12">
      <c r="E5636" s="49">
        <v>45068.256944425579</v>
      </c>
      <c r="F5636" s="56">
        <v>0</v>
      </c>
      <c r="G5636" s="48"/>
      <c r="H5636" s="48"/>
      <c r="I5636" s="48"/>
      <c r="J5636" s="48"/>
      <c r="L5636" s="65"/>
    </row>
    <row r="5637" spans="5:12">
      <c r="E5637" s="49">
        <v>45068.260416647798</v>
      </c>
      <c r="F5637" s="56">
        <v>0</v>
      </c>
      <c r="G5637" s="48"/>
      <c r="H5637" s="48"/>
      <c r="I5637" s="48"/>
      <c r="J5637" s="48"/>
      <c r="L5637" s="65"/>
    </row>
    <row r="5638" spans="5:12">
      <c r="E5638" s="49">
        <v>45068.263888870017</v>
      </c>
      <c r="F5638" s="56">
        <v>0</v>
      </c>
      <c r="G5638" s="48"/>
      <c r="H5638" s="48"/>
      <c r="I5638" s="48"/>
      <c r="J5638" s="48"/>
      <c r="L5638" s="65"/>
    </row>
    <row r="5639" spans="5:12">
      <c r="E5639" s="49">
        <v>45068.267361092236</v>
      </c>
      <c r="F5639" s="56">
        <v>0</v>
      </c>
      <c r="G5639" s="48"/>
      <c r="H5639" s="48"/>
      <c r="I5639" s="48"/>
      <c r="J5639" s="48"/>
      <c r="L5639" s="65"/>
    </row>
    <row r="5640" spans="5:12">
      <c r="E5640" s="49">
        <v>45068.270833314455</v>
      </c>
      <c r="F5640" s="56">
        <v>0</v>
      </c>
      <c r="G5640" s="48"/>
      <c r="H5640" s="48"/>
      <c r="I5640" s="48"/>
      <c r="J5640" s="48"/>
      <c r="L5640" s="65"/>
    </row>
    <row r="5641" spans="5:12">
      <c r="E5641" s="49">
        <v>45068.274305536674</v>
      </c>
      <c r="F5641" s="56">
        <v>0</v>
      </c>
      <c r="G5641" s="48"/>
      <c r="H5641" s="48"/>
      <c r="I5641" s="48"/>
      <c r="J5641" s="48"/>
      <c r="L5641" s="65"/>
    </row>
    <row r="5642" spans="5:12">
      <c r="E5642" s="49">
        <v>45068.277777758893</v>
      </c>
      <c r="F5642" s="56">
        <v>0</v>
      </c>
      <c r="G5642" s="48"/>
      <c r="H5642" s="48"/>
      <c r="I5642" s="48"/>
      <c r="J5642" s="48"/>
      <c r="L5642" s="65"/>
    </row>
    <row r="5643" spans="5:12">
      <c r="E5643" s="49">
        <v>45068.281249981112</v>
      </c>
      <c r="F5643" s="56">
        <v>0</v>
      </c>
      <c r="G5643" s="48"/>
      <c r="H5643" s="48"/>
      <c r="I5643" s="48"/>
      <c r="J5643" s="48"/>
      <c r="L5643" s="65"/>
    </row>
    <row r="5644" spans="5:12">
      <c r="E5644" s="49">
        <v>45068.284722203331</v>
      </c>
      <c r="F5644" s="56">
        <v>0</v>
      </c>
      <c r="G5644" s="48"/>
      <c r="H5644" s="48"/>
      <c r="I5644" s="48"/>
      <c r="J5644" s="48"/>
      <c r="L5644" s="65"/>
    </row>
    <row r="5645" spans="5:12">
      <c r="E5645" s="49">
        <v>45068.28819442555</v>
      </c>
      <c r="F5645" s="56">
        <v>0</v>
      </c>
      <c r="G5645" s="48"/>
      <c r="H5645" s="48"/>
      <c r="I5645" s="48"/>
      <c r="J5645" s="48"/>
      <c r="L5645" s="65"/>
    </row>
    <row r="5646" spans="5:12">
      <c r="E5646" s="49">
        <v>45068.291666647769</v>
      </c>
      <c r="F5646" s="56">
        <v>0</v>
      </c>
      <c r="G5646" s="48"/>
      <c r="H5646" s="48"/>
      <c r="I5646" s="48"/>
      <c r="J5646" s="48"/>
      <c r="L5646" s="65"/>
    </row>
    <row r="5647" spans="5:12">
      <c r="E5647" s="49">
        <v>45068.295138869988</v>
      </c>
      <c r="F5647" s="56">
        <v>0</v>
      </c>
      <c r="G5647" s="48"/>
      <c r="H5647" s="48"/>
      <c r="I5647" s="48"/>
      <c r="J5647" s="48"/>
      <c r="L5647" s="65"/>
    </row>
    <row r="5648" spans="5:12">
      <c r="E5648" s="49">
        <v>45068.298611092207</v>
      </c>
      <c r="F5648" s="56">
        <v>0</v>
      </c>
      <c r="G5648" s="48"/>
      <c r="H5648" s="48"/>
      <c r="I5648" s="48"/>
      <c r="J5648" s="48"/>
      <c r="L5648" s="65"/>
    </row>
    <row r="5649" spans="5:12">
      <c r="E5649" s="49">
        <v>45068.302083314426</v>
      </c>
      <c r="F5649" s="56">
        <v>0</v>
      </c>
      <c r="G5649" s="48"/>
      <c r="H5649" s="48"/>
      <c r="I5649" s="48"/>
      <c r="J5649" s="48"/>
      <c r="L5649" s="65"/>
    </row>
    <row r="5650" spans="5:12">
      <c r="E5650" s="49">
        <v>45068.305555536645</v>
      </c>
      <c r="F5650" s="56">
        <v>0</v>
      </c>
      <c r="G5650" s="48"/>
      <c r="H5650" s="48"/>
      <c r="I5650" s="48"/>
      <c r="J5650" s="48"/>
      <c r="L5650" s="65"/>
    </row>
    <row r="5651" spans="5:12">
      <c r="E5651" s="49">
        <v>45068.309027758864</v>
      </c>
      <c r="F5651" s="56">
        <v>0</v>
      </c>
      <c r="G5651" s="48"/>
      <c r="H5651" s="48"/>
      <c r="I5651" s="48"/>
      <c r="J5651" s="48"/>
      <c r="L5651" s="65"/>
    </row>
    <row r="5652" spans="5:12">
      <c r="E5652" s="49">
        <v>45068.312499981083</v>
      </c>
      <c r="F5652" s="56">
        <v>0</v>
      </c>
      <c r="G5652" s="48"/>
      <c r="H5652" s="48"/>
      <c r="I5652" s="48"/>
      <c r="J5652" s="48"/>
      <c r="L5652" s="65"/>
    </row>
    <row r="5653" spans="5:12">
      <c r="E5653" s="49">
        <v>45068.315972203301</v>
      </c>
      <c r="F5653" s="56">
        <v>0</v>
      </c>
      <c r="G5653" s="48"/>
      <c r="H5653" s="48"/>
      <c r="I5653" s="48"/>
      <c r="J5653" s="48"/>
      <c r="L5653" s="65"/>
    </row>
    <row r="5654" spans="5:12">
      <c r="E5654" s="49">
        <v>45068.31944442552</v>
      </c>
      <c r="F5654" s="56">
        <v>0</v>
      </c>
      <c r="G5654" s="48"/>
      <c r="H5654" s="48"/>
      <c r="I5654" s="48"/>
      <c r="J5654" s="48"/>
      <c r="L5654" s="65"/>
    </row>
    <row r="5655" spans="5:12">
      <c r="E5655" s="49">
        <v>45068.322916647739</v>
      </c>
      <c r="F5655" s="56">
        <v>0</v>
      </c>
      <c r="G5655" s="48"/>
      <c r="H5655" s="48"/>
      <c r="I5655" s="48"/>
      <c r="J5655" s="48"/>
      <c r="L5655" s="65"/>
    </row>
    <row r="5656" spans="5:12">
      <c r="E5656" s="49">
        <v>45068.326388869958</v>
      </c>
      <c r="F5656" s="56">
        <v>0</v>
      </c>
      <c r="G5656" s="48"/>
      <c r="H5656" s="48"/>
      <c r="I5656" s="48"/>
      <c r="J5656" s="48"/>
      <c r="L5656" s="65"/>
    </row>
    <row r="5657" spans="5:12">
      <c r="E5657" s="49">
        <v>45068.329861092177</v>
      </c>
      <c r="F5657" s="56">
        <v>0</v>
      </c>
      <c r="G5657" s="48"/>
      <c r="H5657" s="48"/>
      <c r="I5657" s="48"/>
      <c r="J5657" s="48"/>
      <c r="L5657" s="65"/>
    </row>
    <row r="5658" spans="5:12">
      <c r="E5658" s="49">
        <v>45068.333333314396</v>
      </c>
      <c r="F5658" s="56">
        <v>0</v>
      </c>
      <c r="G5658" s="48"/>
      <c r="H5658" s="48"/>
      <c r="I5658" s="48"/>
      <c r="J5658" s="48"/>
      <c r="L5658" s="65"/>
    </row>
    <row r="5659" spans="5:12">
      <c r="E5659" s="49">
        <v>45068.336805536615</v>
      </c>
      <c r="F5659" s="56">
        <v>0</v>
      </c>
      <c r="G5659" s="48"/>
      <c r="H5659" s="48"/>
      <c r="I5659" s="48"/>
      <c r="J5659" s="48"/>
      <c r="L5659" s="65"/>
    </row>
    <row r="5660" spans="5:12">
      <c r="E5660" s="49">
        <v>45068.340277758834</v>
      </c>
      <c r="F5660" s="56">
        <v>0</v>
      </c>
      <c r="G5660" s="48"/>
      <c r="H5660" s="48"/>
      <c r="I5660" s="48"/>
      <c r="J5660" s="48"/>
      <c r="L5660" s="65"/>
    </row>
    <row r="5661" spans="5:12">
      <c r="E5661" s="49">
        <v>45068.343749981053</v>
      </c>
      <c r="F5661" s="56">
        <v>0</v>
      </c>
      <c r="G5661" s="48"/>
      <c r="H5661" s="48"/>
      <c r="I5661" s="48"/>
      <c r="J5661" s="48"/>
      <c r="L5661" s="65"/>
    </row>
    <row r="5662" spans="5:12">
      <c r="E5662" s="49">
        <v>45068.347222203272</v>
      </c>
      <c r="F5662" s="56">
        <v>0</v>
      </c>
      <c r="G5662" s="48"/>
      <c r="H5662" s="48"/>
      <c r="I5662" s="48"/>
      <c r="J5662" s="48"/>
      <c r="L5662" s="65"/>
    </row>
    <row r="5663" spans="5:12">
      <c r="E5663" s="49">
        <v>45068.350694425491</v>
      </c>
      <c r="F5663" s="56">
        <v>0</v>
      </c>
      <c r="G5663" s="48"/>
      <c r="H5663" s="48"/>
      <c r="I5663" s="48"/>
      <c r="J5663" s="48"/>
      <c r="L5663" s="65"/>
    </row>
    <row r="5664" spans="5:12">
      <c r="E5664" s="49">
        <v>45068.35416664771</v>
      </c>
      <c r="F5664" s="56">
        <v>0</v>
      </c>
      <c r="G5664" s="48"/>
      <c r="H5664" s="48"/>
      <c r="I5664" s="48"/>
      <c r="J5664" s="48"/>
      <c r="L5664" s="65"/>
    </row>
    <row r="5665" spans="5:12">
      <c r="E5665" s="49">
        <v>45068.357638869929</v>
      </c>
      <c r="F5665" s="56">
        <v>0</v>
      </c>
      <c r="G5665" s="48"/>
      <c r="H5665" s="48"/>
      <c r="I5665" s="48"/>
      <c r="J5665" s="48"/>
      <c r="L5665" s="65"/>
    </row>
    <row r="5666" spans="5:12">
      <c r="E5666" s="49">
        <v>45068.361111092148</v>
      </c>
      <c r="F5666" s="56">
        <v>0</v>
      </c>
      <c r="G5666" s="48"/>
      <c r="H5666" s="48"/>
      <c r="I5666" s="48"/>
      <c r="J5666" s="48"/>
      <c r="L5666" s="65"/>
    </row>
    <row r="5667" spans="5:12">
      <c r="E5667" s="49">
        <v>45068.364583314367</v>
      </c>
      <c r="F5667" s="56">
        <v>0</v>
      </c>
      <c r="G5667" s="48"/>
      <c r="H5667" s="48"/>
      <c r="I5667" s="48"/>
      <c r="J5667" s="48"/>
      <c r="L5667" s="65"/>
    </row>
    <row r="5668" spans="5:12">
      <c r="E5668" s="49">
        <v>45068.368055536586</v>
      </c>
      <c r="F5668" s="56">
        <v>0</v>
      </c>
      <c r="G5668" s="48"/>
      <c r="H5668" s="48"/>
      <c r="I5668" s="48"/>
      <c r="J5668" s="48"/>
      <c r="L5668" s="65"/>
    </row>
    <row r="5669" spans="5:12">
      <c r="E5669" s="49">
        <v>45068.371527758805</v>
      </c>
      <c r="F5669" s="56">
        <v>0</v>
      </c>
      <c r="G5669" s="48"/>
      <c r="H5669" s="48"/>
      <c r="I5669" s="48"/>
      <c r="J5669" s="48"/>
      <c r="L5669" s="65"/>
    </row>
    <row r="5670" spans="5:12">
      <c r="E5670" s="49">
        <v>45068.374999981024</v>
      </c>
      <c r="F5670" s="56">
        <v>0</v>
      </c>
      <c r="G5670" s="48"/>
      <c r="H5670" s="48"/>
      <c r="I5670" s="48"/>
      <c r="J5670" s="48"/>
      <c r="L5670" s="65"/>
    </row>
    <row r="5671" spans="5:12">
      <c r="E5671" s="49">
        <v>45068.378472203243</v>
      </c>
      <c r="F5671" s="56">
        <v>0</v>
      </c>
      <c r="G5671" s="48"/>
      <c r="H5671" s="48"/>
      <c r="I5671" s="48"/>
      <c r="J5671" s="48"/>
      <c r="L5671" s="65"/>
    </row>
    <row r="5672" spans="5:12">
      <c r="E5672" s="49">
        <v>45068.381944425462</v>
      </c>
      <c r="F5672" s="56">
        <v>0</v>
      </c>
      <c r="G5672" s="48"/>
      <c r="H5672" s="48"/>
      <c r="I5672" s="48"/>
      <c r="J5672" s="48"/>
      <c r="L5672" s="65"/>
    </row>
    <row r="5673" spans="5:12">
      <c r="E5673" s="49">
        <v>45068.385416647681</v>
      </c>
      <c r="F5673" s="56">
        <v>0</v>
      </c>
      <c r="G5673" s="48"/>
      <c r="H5673" s="48"/>
      <c r="I5673" s="48"/>
      <c r="J5673" s="48"/>
      <c r="L5673" s="65"/>
    </row>
    <row r="5674" spans="5:12">
      <c r="E5674" s="49">
        <v>45068.3888888699</v>
      </c>
      <c r="F5674" s="56">
        <v>0</v>
      </c>
      <c r="G5674" s="48"/>
      <c r="H5674" s="48"/>
      <c r="I5674" s="48"/>
      <c r="J5674" s="48"/>
      <c r="L5674" s="65"/>
    </row>
    <row r="5675" spans="5:12">
      <c r="E5675" s="49">
        <v>45068.392361092119</v>
      </c>
      <c r="F5675" s="56">
        <v>0</v>
      </c>
      <c r="G5675" s="48"/>
      <c r="H5675" s="48"/>
      <c r="I5675" s="48"/>
      <c r="J5675" s="48"/>
      <c r="L5675" s="65"/>
    </row>
    <row r="5676" spans="5:12">
      <c r="E5676" s="49">
        <v>45068.395833314338</v>
      </c>
      <c r="F5676" s="56">
        <v>0</v>
      </c>
      <c r="G5676" s="48"/>
      <c r="H5676" s="48"/>
      <c r="I5676" s="48"/>
      <c r="J5676" s="48"/>
      <c r="L5676" s="65"/>
    </row>
    <row r="5677" spans="5:12">
      <c r="E5677" s="49">
        <v>45068.399305536557</v>
      </c>
      <c r="F5677" s="56">
        <v>0</v>
      </c>
      <c r="G5677" s="48"/>
      <c r="H5677" s="48"/>
      <c r="I5677" s="48"/>
      <c r="J5677" s="48"/>
      <c r="L5677" s="65"/>
    </row>
    <row r="5678" spans="5:12">
      <c r="E5678" s="49">
        <v>45068.402777758776</v>
      </c>
      <c r="F5678" s="56">
        <v>0</v>
      </c>
      <c r="G5678" s="48"/>
      <c r="H5678" s="48"/>
      <c r="I5678" s="48"/>
      <c r="J5678" s="48"/>
      <c r="L5678" s="65"/>
    </row>
    <row r="5679" spans="5:12">
      <c r="E5679" s="49">
        <v>45068.406249980995</v>
      </c>
      <c r="F5679" s="56">
        <v>0</v>
      </c>
      <c r="G5679" s="48"/>
      <c r="H5679" s="48"/>
      <c r="I5679" s="48"/>
      <c r="J5679" s="48"/>
      <c r="L5679" s="65"/>
    </row>
    <row r="5680" spans="5:12">
      <c r="E5680" s="49">
        <v>45068.409722203214</v>
      </c>
      <c r="F5680" s="56">
        <v>0</v>
      </c>
      <c r="G5680" s="48"/>
      <c r="H5680" s="48"/>
      <c r="I5680" s="48"/>
      <c r="J5680" s="48"/>
      <c r="L5680" s="65"/>
    </row>
    <row r="5681" spans="5:12">
      <c r="E5681" s="49">
        <v>45068.413194425433</v>
      </c>
      <c r="F5681" s="56">
        <v>0</v>
      </c>
      <c r="G5681" s="48"/>
      <c r="H5681" s="48"/>
      <c r="I5681" s="48"/>
      <c r="J5681" s="48"/>
      <c r="L5681" s="65"/>
    </row>
    <row r="5682" spans="5:12">
      <c r="E5682" s="49">
        <v>45068.416666647652</v>
      </c>
      <c r="F5682" s="56">
        <v>0</v>
      </c>
      <c r="G5682" s="48"/>
      <c r="H5682" s="48"/>
      <c r="I5682" s="48"/>
      <c r="J5682" s="48"/>
      <c r="L5682" s="65"/>
    </row>
    <row r="5683" spans="5:12">
      <c r="E5683" s="49">
        <v>45068.420138869871</v>
      </c>
      <c r="F5683" s="56">
        <v>0</v>
      </c>
      <c r="G5683" s="48"/>
      <c r="H5683" s="48"/>
      <c r="I5683" s="48"/>
      <c r="J5683" s="48"/>
      <c r="L5683" s="65"/>
    </row>
    <row r="5684" spans="5:12">
      <c r="E5684" s="49">
        <v>45068.42361109209</v>
      </c>
      <c r="F5684" s="56">
        <v>0</v>
      </c>
      <c r="G5684" s="48"/>
      <c r="H5684" s="48"/>
      <c r="I5684" s="48"/>
      <c r="J5684" s="48"/>
      <c r="L5684" s="65"/>
    </row>
    <row r="5685" spans="5:12">
      <c r="E5685" s="49">
        <v>45068.427083314309</v>
      </c>
      <c r="F5685" s="56">
        <v>0</v>
      </c>
      <c r="G5685" s="48"/>
      <c r="H5685" s="48"/>
      <c r="I5685" s="48"/>
      <c r="J5685" s="48"/>
      <c r="L5685" s="65"/>
    </row>
    <row r="5686" spans="5:12">
      <c r="E5686" s="49">
        <v>45068.430555536528</v>
      </c>
      <c r="F5686" s="56">
        <v>0</v>
      </c>
      <c r="G5686" s="48"/>
      <c r="H5686" s="48"/>
      <c r="I5686" s="48"/>
      <c r="J5686" s="48"/>
      <c r="L5686" s="65"/>
    </row>
    <row r="5687" spans="5:12">
      <c r="E5687" s="49">
        <v>45068.434027758747</v>
      </c>
      <c r="F5687" s="56">
        <v>0</v>
      </c>
      <c r="G5687" s="48"/>
      <c r="H5687" s="48"/>
      <c r="I5687" s="48"/>
      <c r="J5687" s="48"/>
      <c r="L5687" s="65"/>
    </row>
    <row r="5688" spans="5:12">
      <c r="E5688" s="49">
        <v>45068.437499980966</v>
      </c>
      <c r="F5688" s="56">
        <v>0</v>
      </c>
      <c r="G5688" s="48"/>
      <c r="H5688" s="48"/>
      <c r="I5688" s="48"/>
      <c r="J5688" s="48"/>
      <c r="L5688" s="65"/>
    </row>
    <row r="5689" spans="5:12">
      <c r="E5689" s="49">
        <v>45068.440972203185</v>
      </c>
      <c r="F5689" s="56">
        <v>0</v>
      </c>
      <c r="G5689" s="48"/>
      <c r="H5689" s="48"/>
      <c r="I5689" s="48"/>
      <c r="J5689" s="48"/>
      <c r="L5689" s="65"/>
    </row>
    <row r="5690" spans="5:12">
      <c r="E5690" s="49">
        <v>45068.444444425404</v>
      </c>
      <c r="F5690" s="56">
        <v>0</v>
      </c>
      <c r="G5690" s="48"/>
      <c r="H5690" s="48"/>
      <c r="I5690" s="48"/>
      <c r="J5690" s="48"/>
      <c r="L5690" s="65"/>
    </row>
    <row r="5691" spans="5:12">
      <c r="E5691" s="49">
        <v>45068.447916647623</v>
      </c>
      <c r="F5691" s="56">
        <v>0</v>
      </c>
      <c r="G5691" s="48"/>
      <c r="H5691" s="48"/>
      <c r="I5691" s="48"/>
      <c r="J5691" s="48"/>
      <c r="L5691" s="65"/>
    </row>
    <row r="5692" spans="5:12">
      <c r="E5692" s="49">
        <v>45068.451388869842</v>
      </c>
      <c r="F5692" s="56">
        <v>0</v>
      </c>
      <c r="G5692" s="48"/>
      <c r="H5692" s="48"/>
      <c r="I5692" s="48"/>
      <c r="J5692" s="48"/>
      <c r="L5692" s="65"/>
    </row>
    <row r="5693" spans="5:12">
      <c r="E5693" s="49">
        <v>45068.454861092061</v>
      </c>
      <c r="F5693" s="56">
        <v>0</v>
      </c>
      <c r="G5693" s="48"/>
      <c r="H5693" s="48"/>
      <c r="I5693" s="48"/>
      <c r="J5693" s="48"/>
      <c r="L5693" s="65"/>
    </row>
    <row r="5694" spans="5:12">
      <c r="E5694" s="49">
        <v>45068.45833331428</v>
      </c>
      <c r="F5694" s="56">
        <v>0</v>
      </c>
      <c r="G5694" s="48"/>
      <c r="H5694" s="48"/>
      <c r="I5694" s="48"/>
      <c r="J5694" s="48"/>
      <c r="L5694" s="65"/>
    </row>
    <row r="5695" spans="5:12">
      <c r="E5695" s="49">
        <v>45068.461805536499</v>
      </c>
      <c r="F5695" s="56">
        <v>0</v>
      </c>
      <c r="G5695" s="48"/>
      <c r="H5695" s="48"/>
      <c r="I5695" s="48"/>
      <c r="J5695" s="48"/>
      <c r="L5695" s="65"/>
    </row>
    <row r="5696" spans="5:12">
      <c r="E5696" s="49">
        <v>45068.465277758718</v>
      </c>
      <c r="F5696" s="56">
        <v>0</v>
      </c>
      <c r="G5696" s="48"/>
      <c r="H5696" s="48"/>
      <c r="I5696" s="48"/>
      <c r="J5696" s="48"/>
      <c r="L5696" s="65"/>
    </row>
    <row r="5697" spans="5:12">
      <c r="E5697" s="49">
        <v>45068.468749980937</v>
      </c>
      <c r="F5697" s="56">
        <v>0</v>
      </c>
      <c r="G5697" s="48"/>
      <c r="H5697" s="48"/>
      <c r="I5697" s="48"/>
      <c r="J5697" s="48"/>
      <c r="L5697" s="65"/>
    </row>
    <row r="5698" spans="5:12">
      <c r="E5698" s="49">
        <v>45068.472222203156</v>
      </c>
      <c r="F5698" s="56">
        <v>0</v>
      </c>
      <c r="G5698" s="48"/>
      <c r="H5698" s="48"/>
      <c r="I5698" s="48"/>
      <c r="J5698" s="48"/>
      <c r="L5698" s="65"/>
    </row>
    <row r="5699" spans="5:12">
      <c r="E5699" s="49">
        <v>45068.475694425375</v>
      </c>
      <c r="F5699" s="56">
        <v>0</v>
      </c>
      <c r="G5699" s="48"/>
      <c r="H5699" s="48"/>
      <c r="I5699" s="48"/>
      <c r="J5699" s="48"/>
      <c r="L5699" s="65"/>
    </row>
    <row r="5700" spans="5:12">
      <c r="E5700" s="49">
        <v>45068.479166647594</v>
      </c>
      <c r="F5700" s="56">
        <v>0</v>
      </c>
      <c r="G5700" s="48"/>
      <c r="H5700" s="48"/>
      <c r="I5700" s="48"/>
      <c r="J5700" s="48"/>
      <c r="L5700" s="65"/>
    </row>
    <row r="5701" spans="5:12">
      <c r="E5701" s="49">
        <v>45068.482638869813</v>
      </c>
      <c r="F5701" s="56">
        <v>0</v>
      </c>
      <c r="G5701" s="48"/>
      <c r="H5701" s="48"/>
      <c r="I5701" s="48"/>
      <c r="J5701" s="48"/>
      <c r="L5701" s="65"/>
    </row>
    <row r="5702" spans="5:12">
      <c r="E5702" s="49">
        <v>45068.486111092032</v>
      </c>
      <c r="F5702" s="56">
        <v>0</v>
      </c>
      <c r="G5702" s="48"/>
      <c r="H5702" s="48"/>
      <c r="I5702" s="48"/>
      <c r="J5702" s="48"/>
      <c r="L5702" s="65"/>
    </row>
    <row r="5703" spans="5:12">
      <c r="E5703" s="49">
        <v>45068.489583314251</v>
      </c>
      <c r="F5703" s="56">
        <v>0</v>
      </c>
      <c r="G5703" s="48"/>
      <c r="H5703" s="48"/>
      <c r="I5703" s="48"/>
      <c r="J5703" s="48"/>
      <c r="L5703" s="65"/>
    </row>
    <row r="5704" spans="5:12">
      <c r="E5704" s="49">
        <v>45068.49305553647</v>
      </c>
      <c r="F5704" s="56">
        <v>0</v>
      </c>
      <c r="G5704" s="48"/>
      <c r="H5704" s="48"/>
      <c r="I5704" s="48"/>
      <c r="J5704" s="48"/>
      <c r="L5704" s="65"/>
    </row>
    <row r="5705" spans="5:12">
      <c r="E5705" s="49">
        <v>45068.496527758689</v>
      </c>
      <c r="F5705" s="56">
        <v>0</v>
      </c>
      <c r="G5705" s="48"/>
      <c r="H5705" s="48"/>
      <c r="I5705" s="48"/>
      <c r="J5705" s="48"/>
      <c r="L5705" s="65"/>
    </row>
    <row r="5706" spans="5:12">
      <c r="E5706" s="49">
        <v>45068.499999980908</v>
      </c>
      <c r="F5706" s="56">
        <v>0</v>
      </c>
      <c r="G5706" s="48"/>
      <c r="H5706" s="48"/>
      <c r="I5706" s="48"/>
      <c r="J5706" s="48"/>
      <c r="L5706" s="65"/>
    </row>
    <row r="5707" spans="5:12">
      <c r="E5707" s="49">
        <v>45068.503472203127</v>
      </c>
      <c r="F5707" s="56">
        <v>0</v>
      </c>
      <c r="G5707" s="48"/>
      <c r="H5707" s="48"/>
      <c r="I5707" s="48"/>
      <c r="J5707" s="48"/>
      <c r="L5707" s="65"/>
    </row>
    <row r="5708" spans="5:12">
      <c r="E5708" s="49">
        <v>45068.506944425346</v>
      </c>
      <c r="F5708" s="56">
        <v>0</v>
      </c>
      <c r="G5708" s="48"/>
      <c r="H5708" s="48"/>
      <c r="I5708" s="48"/>
      <c r="J5708" s="48"/>
      <c r="L5708" s="65"/>
    </row>
    <row r="5709" spans="5:12">
      <c r="E5709" s="49">
        <v>45068.510416647565</v>
      </c>
      <c r="F5709" s="56">
        <v>0</v>
      </c>
      <c r="G5709" s="48"/>
      <c r="H5709" s="48"/>
      <c r="I5709" s="48"/>
      <c r="J5709" s="48"/>
      <c r="L5709" s="65"/>
    </row>
    <row r="5710" spans="5:12">
      <c r="E5710" s="49">
        <v>45068.513888869784</v>
      </c>
      <c r="F5710" s="56">
        <v>0</v>
      </c>
      <c r="G5710" s="48"/>
      <c r="H5710" s="48"/>
      <c r="I5710" s="48"/>
      <c r="J5710" s="48"/>
      <c r="L5710" s="65"/>
    </row>
    <row r="5711" spans="5:12">
      <c r="E5711" s="49">
        <v>45068.517361092003</v>
      </c>
      <c r="F5711" s="56">
        <v>0</v>
      </c>
      <c r="G5711" s="48"/>
      <c r="H5711" s="48"/>
      <c r="I5711" s="48"/>
      <c r="J5711" s="48"/>
      <c r="L5711" s="65"/>
    </row>
    <row r="5712" spans="5:12">
      <c r="E5712" s="49">
        <v>45068.520833314222</v>
      </c>
      <c r="F5712" s="56">
        <v>0</v>
      </c>
      <c r="G5712" s="48"/>
      <c r="H5712" s="48"/>
      <c r="I5712" s="48"/>
      <c r="J5712" s="48"/>
      <c r="L5712" s="65"/>
    </row>
    <row r="5713" spans="5:12">
      <c r="E5713" s="49">
        <v>45068.524305536441</v>
      </c>
      <c r="F5713" s="56">
        <v>0</v>
      </c>
      <c r="G5713" s="48"/>
      <c r="H5713" s="48"/>
      <c r="I5713" s="48"/>
      <c r="J5713" s="48"/>
      <c r="L5713" s="65"/>
    </row>
    <row r="5714" spans="5:12">
      <c r="E5714" s="49">
        <v>45068.52777775866</v>
      </c>
      <c r="F5714" s="56">
        <v>0</v>
      </c>
      <c r="G5714" s="48"/>
      <c r="H5714" s="48"/>
      <c r="I5714" s="48"/>
      <c r="J5714" s="48"/>
      <c r="L5714" s="65"/>
    </row>
    <row r="5715" spans="5:12">
      <c r="E5715" s="49">
        <v>45068.531249980879</v>
      </c>
      <c r="F5715" s="56">
        <v>0</v>
      </c>
      <c r="G5715" s="48"/>
      <c r="H5715" s="48"/>
      <c r="I5715" s="48"/>
      <c r="J5715" s="48"/>
      <c r="L5715" s="65"/>
    </row>
    <row r="5716" spans="5:12">
      <c r="E5716" s="49">
        <v>45068.534722203098</v>
      </c>
      <c r="F5716" s="56">
        <v>0</v>
      </c>
      <c r="G5716" s="48"/>
      <c r="H5716" s="48"/>
      <c r="I5716" s="48"/>
      <c r="J5716" s="48"/>
      <c r="L5716" s="65"/>
    </row>
    <row r="5717" spans="5:12">
      <c r="E5717" s="49">
        <v>45068.538194425317</v>
      </c>
      <c r="F5717" s="56">
        <v>0</v>
      </c>
      <c r="G5717" s="48"/>
      <c r="H5717" s="48"/>
      <c r="I5717" s="48"/>
      <c r="J5717" s="48"/>
      <c r="L5717" s="65"/>
    </row>
    <row r="5718" spans="5:12">
      <c r="E5718" s="49">
        <v>45068.541666647536</v>
      </c>
      <c r="F5718" s="56">
        <v>0</v>
      </c>
      <c r="G5718" s="48"/>
      <c r="H5718" s="48"/>
      <c r="I5718" s="48"/>
      <c r="J5718" s="48"/>
      <c r="L5718" s="65"/>
    </row>
    <row r="5719" spans="5:12">
      <c r="E5719" s="49">
        <v>45068.545138869755</v>
      </c>
      <c r="F5719" s="56">
        <v>0</v>
      </c>
      <c r="G5719" s="48"/>
      <c r="H5719" s="48"/>
      <c r="I5719" s="48"/>
      <c r="J5719" s="48"/>
      <c r="L5719" s="65"/>
    </row>
    <row r="5720" spans="5:12">
      <c r="E5720" s="49">
        <v>45068.548611091974</v>
      </c>
      <c r="F5720" s="56">
        <v>0</v>
      </c>
      <c r="G5720" s="48"/>
      <c r="H5720" s="48"/>
      <c r="I5720" s="48"/>
      <c r="J5720" s="48"/>
      <c r="L5720" s="65"/>
    </row>
    <row r="5721" spans="5:12">
      <c r="E5721" s="49">
        <v>45068.552083314193</v>
      </c>
      <c r="F5721" s="56">
        <v>0</v>
      </c>
      <c r="G5721" s="48"/>
      <c r="H5721" s="48"/>
      <c r="I5721" s="48"/>
      <c r="J5721" s="48"/>
      <c r="L5721" s="65"/>
    </row>
    <row r="5722" spans="5:12">
      <c r="E5722" s="49">
        <v>45068.555555536412</v>
      </c>
      <c r="F5722" s="56">
        <v>0</v>
      </c>
      <c r="G5722" s="48"/>
      <c r="H5722" s="48"/>
      <c r="I5722" s="48"/>
      <c r="J5722" s="48"/>
      <c r="L5722" s="65"/>
    </row>
    <row r="5723" spans="5:12">
      <c r="E5723" s="49">
        <v>45068.559027758631</v>
      </c>
      <c r="F5723" s="56">
        <v>0</v>
      </c>
      <c r="G5723" s="48"/>
      <c r="H5723" s="48"/>
      <c r="I5723" s="48"/>
      <c r="J5723" s="48"/>
      <c r="L5723" s="65"/>
    </row>
    <row r="5724" spans="5:12">
      <c r="E5724" s="49">
        <v>45068.56249998085</v>
      </c>
      <c r="F5724" s="56">
        <v>0</v>
      </c>
      <c r="G5724" s="48"/>
      <c r="H5724" s="48"/>
      <c r="I5724" s="48"/>
      <c r="J5724" s="48"/>
      <c r="L5724" s="65"/>
    </row>
    <row r="5725" spans="5:12">
      <c r="E5725" s="49">
        <v>45068.565972203069</v>
      </c>
      <c r="F5725" s="56">
        <v>0</v>
      </c>
      <c r="G5725" s="48"/>
      <c r="H5725" s="48"/>
      <c r="I5725" s="48"/>
      <c r="J5725" s="48"/>
      <c r="L5725" s="65"/>
    </row>
    <row r="5726" spans="5:12">
      <c r="E5726" s="49">
        <v>45068.569444425288</v>
      </c>
      <c r="F5726" s="56">
        <v>0</v>
      </c>
      <c r="G5726" s="48"/>
      <c r="H5726" s="48"/>
      <c r="I5726" s="48"/>
      <c r="J5726" s="48"/>
      <c r="L5726" s="65"/>
    </row>
    <row r="5727" spans="5:12">
      <c r="E5727" s="49">
        <v>45068.572916647507</v>
      </c>
      <c r="F5727" s="56">
        <v>0</v>
      </c>
      <c r="G5727" s="48"/>
      <c r="H5727" s="48"/>
      <c r="I5727" s="48"/>
      <c r="J5727" s="48"/>
      <c r="L5727" s="65"/>
    </row>
    <row r="5728" spans="5:12">
      <c r="E5728" s="49">
        <v>45068.576388869726</v>
      </c>
      <c r="F5728" s="56">
        <v>0</v>
      </c>
      <c r="G5728" s="48"/>
      <c r="H5728" s="48"/>
      <c r="I5728" s="48"/>
      <c r="J5728" s="48"/>
      <c r="L5728" s="65"/>
    </row>
    <row r="5729" spans="5:12">
      <c r="E5729" s="49">
        <v>45068.579861091945</v>
      </c>
      <c r="F5729" s="56">
        <v>0</v>
      </c>
      <c r="G5729" s="48"/>
      <c r="H5729" s="48"/>
      <c r="I5729" s="48"/>
      <c r="J5729" s="48"/>
      <c r="L5729" s="65"/>
    </row>
    <row r="5730" spans="5:12">
      <c r="E5730" s="49">
        <v>45068.583333314164</v>
      </c>
      <c r="F5730" s="56">
        <v>0</v>
      </c>
      <c r="G5730" s="48"/>
      <c r="H5730" s="48"/>
      <c r="I5730" s="48"/>
      <c r="J5730" s="48"/>
      <c r="L5730" s="65"/>
    </row>
    <row r="5731" spans="5:12">
      <c r="E5731" s="49">
        <v>45068.586805536383</v>
      </c>
      <c r="F5731" s="56">
        <v>0</v>
      </c>
      <c r="G5731" s="48"/>
      <c r="H5731" s="48"/>
      <c r="I5731" s="48"/>
      <c r="J5731" s="48"/>
      <c r="L5731" s="65"/>
    </row>
    <row r="5732" spans="5:12">
      <c r="E5732" s="49">
        <v>45068.590277758602</v>
      </c>
      <c r="F5732" s="56">
        <v>0</v>
      </c>
      <c r="G5732" s="48"/>
      <c r="H5732" s="48"/>
      <c r="I5732" s="48"/>
      <c r="J5732" s="48"/>
      <c r="L5732" s="65"/>
    </row>
    <row r="5733" spans="5:12">
      <c r="E5733" s="49">
        <v>45068.593749980821</v>
      </c>
      <c r="F5733" s="56">
        <v>0</v>
      </c>
      <c r="G5733" s="48"/>
      <c r="H5733" s="48"/>
      <c r="I5733" s="48"/>
      <c r="J5733" s="48"/>
      <c r="L5733" s="65"/>
    </row>
    <row r="5734" spans="5:12">
      <c r="E5734" s="49">
        <v>45068.59722220304</v>
      </c>
      <c r="F5734" s="56">
        <v>0</v>
      </c>
      <c r="G5734" s="48"/>
      <c r="H5734" s="48"/>
      <c r="I5734" s="48"/>
      <c r="J5734" s="48"/>
      <c r="L5734" s="65"/>
    </row>
    <row r="5735" spans="5:12">
      <c r="E5735" s="49">
        <v>45068.600694425259</v>
      </c>
      <c r="F5735" s="56">
        <v>0</v>
      </c>
      <c r="G5735" s="48"/>
      <c r="H5735" s="48"/>
      <c r="I5735" s="48"/>
      <c r="J5735" s="48"/>
      <c r="L5735" s="65"/>
    </row>
    <row r="5736" spans="5:12">
      <c r="E5736" s="49">
        <v>45068.604166647478</v>
      </c>
      <c r="F5736" s="56">
        <v>0</v>
      </c>
      <c r="G5736" s="48"/>
      <c r="H5736" s="48"/>
      <c r="I5736" s="48"/>
      <c r="J5736" s="48"/>
      <c r="L5736" s="65"/>
    </row>
    <row r="5737" spans="5:12">
      <c r="E5737" s="49">
        <v>45068.607638869697</v>
      </c>
      <c r="F5737" s="56">
        <v>0</v>
      </c>
      <c r="G5737" s="48"/>
      <c r="H5737" s="48"/>
      <c r="I5737" s="48"/>
      <c r="J5737" s="48"/>
      <c r="L5737" s="65"/>
    </row>
    <row r="5738" spans="5:12">
      <c r="E5738" s="49">
        <v>45068.611111091916</v>
      </c>
      <c r="F5738" s="56">
        <v>0</v>
      </c>
      <c r="G5738" s="48"/>
      <c r="H5738" s="48"/>
      <c r="I5738" s="48"/>
      <c r="J5738" s="48"/>
      <c r="L5738" s="65"/>
    </row>
    <row r="5739" spans="5:12">
      <c r="E5739" s="49">
        <v>45068.614583314135</v>
      </c>
      <c r="F5739" s="56">
        <v>0</v>
      </c>
      <c r="G5739" s="48"/>
      <c r="H5739" s="48"/>
      <c r="I5739" s="48"/>
      <c r="J5739" s="48"/>
      <c r="L5739" s="65"/>
    </row>
    <row r="5740" spans="5:12">
      <c r="E5740" s="49">
        <v>45068.618055536353</v>
      </c>
      <c r="F5740" s="56">
        <v>0</v>
      </c>
      <c r="G5740" s="48"/>
      <c r="H5740" s="48"/>
      <c r="I5740" s="48"/>
      <c r="J5740" s="48"/>
      <c r="L5740" s="65"/>
    </row>
    <row r="5741" spans="5:12">
      <c r="E5741" s="49">
        <v>45068.621527758572</v>
      </c>
      <c r="F5741" s="56">
        <v>0</v>
      </c>
      <c r="G5741" s="48"/>
      <c r="H5741" s="48"/>
      <c r="I5741" s="48"/>
      <c r="J5741" s="48"/>
      <c r="L5741" s="65"/>
    </row>
    <row r="5742" spans="5:12">
      <c r="E5742" s="49">
        <v>45068.624999980791</v>
      </c>
      <c r="F5742" s="56">
        <v>0</v>
      </c>
      <c r="G5742" s="48"/>
      <c r="H5742" s="48"/>
      <c r="I5742" s="48"/>
      <c r="J5742" s="48"/>
      <c r="L5742" s="65"/>
    </row>
    <row r="5743" spans="5:12">
      <c r="E5743" s="49">
        <v>45068.62847220301</v>
      </c>
      <c r="F5743" s="56">
        <v>0</v>
      </c>
      <c r="G5743" s="48"/>
      <c r="H5743" s="48"/>
      <c r="I5743" s="48"/>
      <c r="J5743" s="48"/>
      <c r="L5743" s="65"/>
    </row>
    <row r="5744" spans="5:12">
      <c r="E5744" s="49">
        <v>45068.631944425229</v>
      </c>
      <c r="F5744" s="56">
        <v>0</v>
      </c>
      <c r="G5744" s="48"/>
      <c r="H5744" s="48"/>
      <c r="I5744" s="48"/>
      <c r="J5744" s="48"/>
      <c r="L5744" s="65"/>
    </row>
    <row r="5745" spans="5:12">
      <c r="E5745" s="49">
        <v>45068.635416647448</v>
      </c>
      <c r="F5745" s="56">
        <v>0</v>
      </c>
      <c r="G5745" s="48"/>
      <c r="H5745" s="48"/>
      <c r="I5745" s="48"/>
      <c r="J5745" s="48"/>
      <c r="L5745" s="65"/>
    </row>
    <row r="5746" spans="5:12">
      <c r="E5746" s="49">
        <v>45068.638888869667</v>
      </c>
      <c r="F5746" s="56">
        <v>0</v>
      </c>
      <c r="G5746" s="48"/>
      <c r="H5746" s="48"/>
      <c r="I5746" s="48"/>
      <c r="J5746" s="48"/>
      <c r="L5746" s="65"/>
    </row>
    <row r="5747" spans="5:12">
      <c r="E5747" s="49">
        <v>45068.642361091886</v>
      </c>
      <c r="F5747" s="56">
        <v>0</v>
      </c>
      <c r="G5747" s="48"/>
      <c r="H5747" s="48"/>
      <c r="I5747" s="48"/>
      <c r="J5747" s="48"/>
      <c r="L5747" s="65"/>
    </row>
    <row r="5748" spans="5:12">
      <c r="E5748" s="49">
        <v>45068.645833314105</v>
      </c>
      <c r="F5748" s="56">
        <v>0</v>
      </c>
      <c r="G5748" s="48"/>
      <c r="H5748" s="48"/>
      <c r="I5748" s="48"/>
      <c r="J5748" s="48"/>
      <c r="L5748" s="65"/>
    </row>
    <row r="5749" spans="5:12">
      <c r="E5749" s="49">
        <v>45068.649305536324</v>
      </c>
      <c r="F5749" s="56">
        <v>0</v>
      </c>
      <c r="G5749" s="48"/>
      <c r="H5749" s="48"/>
      <c r="I5749" s="48"/>
      <c r="J5749" s="48"/>
      <c r="L5749" s="65"/>
    </row>
    <row r="5750" spans="5:12">
      <c r="E5750" s="49">
        <v>45068.652777758543</v>
      </c>
      <c r="F5750" s="56">
        <v>0</v>
      </c>
      <c r="G5750" s="48"/>
      <c r="H5750" s="48"/>
      <c r="I5750" s="48"/>
      <c r="J5750" s="48"/>
      <c r="L5750" s="65"/>
    </row>
    <row r="5751" spans="5:12">
      <c r="E5751" s="49">
        <v>45068.656249980762</v>
      </c>
      <c r="F5751" s="56">
        <v>0</v>
      </c>
      <c r="G5751" s="48"/>
      <c r="H5751" s="48"/>
      <c r="I5751" s="48"/>
      <c r="J5751" s="48"/>
      <c r="L5751" s="65"/>
    </row>
    <row r="5752" spans="5:12">
      <c r="E5752" s="49">
        <v>45068.659722202981</v>
      </c>
      <c r="F5752" s="56">
        <v>0</v>
      </c>
      <c r="G5752" s="48"/>
      <c r="H5752" s="48"/>
      <c r="I5752" s="48"/>
      <c r="J5752" s="48"/>
      <c r="L5752" s="65"/>
    </row>
    <row r="5753" spans="5:12">
      <c r="E5753" s="49">
        <v>45068.6631944252</v>
      </c>
      <c r="F5753" s="56">
        <v>0</v>
      </c>
      <c r="G5753" s="48"/>
      <c r="H5753" s="48"/>
      <c r="I5753" s="48"/>
      <c r="J5753" s="48"/>
      <c r="L5753" s="65"/>
    </row>
    <row r="5754" spans="5:12">
      <c r="E5754" s="49">
        <v>45068.666666647419</v>
      </c>
      <c r="F5754" s="56">
        <v>0</v>
      </c>
      <c r="G5754" s="48"/>
      <c r="H5754" s="48"/>
      <c r="I5754" s="48"/>
      <c r="J5754" s="48"/>
      <c r="L5754" s="65"/>
    </row>
    <row r="5755" spans="5:12">
      <c r="E5755" s="49">
        <v>45068.670138869638</v>
      </c>
      <c r="F5755" s="56">
        <v>0</v>
      </c>
      <c r="G5755" s="48"/>
      <c r="H5755" s="48"/>
      <c r="I5755" s="48"/>
      <c r="J5755" s="48"/>
      <c r="L5755" s="65"/>
    </row>
    <row r="5756" spans="5:12">
      <c r="E5756" s="49">
        <v>45068.673611091857</v>
      </c>
      <c r="F5756" s="56">
        <v>0</v>
      </c>
      <c r="G5756" s="48"/>
      <c r="H5756" s="48"/>
      <c r="I5756" s="48"/>
      <c r="J5756" s="48"/>
      <c r="L5756" s="65"/>
    </row>
    <row r="5757" spans="5:12">
      <c r="E5757" s="49">
        <v>45068.677083314076</v>
      </c>
      <c r="F5757" s="56">
        <v>0</v>
      </c>
      <c r="G5757" s="48"/>
      <c r="H5757" s="48"/>
      <c r="I5757" s="48"/>
      <c r="J5757" s="48"/>
      <c r="L5757" s="65"/>
    </row>
    <row r="5758" spans="5:12">
      <c r="E5758" s="49">
        <v>45068.680555536295</v>
      </c>
      <c r="F5758" s="56">
        <v>0</v>
      </c>
      <c r="G5758" s="48"/>
      <c r="H5758" s="48"/>
      <c r="I5758" s="48"/>
      <c r="J5758" s="48"/>
      <c r="L5758" s="65"/>
    </row>
    <row r="5759" spans="5:12">
      <c r="E5759" s="49">
        <v>45068.684027758514</v>
      </c>
      <c r="F5759" s="56">
        <v>0</v>
      </c>
      <c r="G5759" s="48"/>
      <c r="H5759" s="48"/>
      <c r="I5759" s="48"/>
      <c r="J5759" s="48"/>
      <c r="L5759" s="65"/>
    </row>
    <row r="5760" spans="5:12">
      <c r="E5760" s="49">
        <v>45068.687499980733</v>
      </c>
      <c r="F5760" s="56">
        <v>0</v>
      </c>
      <c r="G5760" s="48"/>
      <c r="H5760" s="48"/>
      <c r="I5760" s="48"/>
      <c r="J5760" s="48"/>
      <c r="L5760" s="65"/>
    </row>
    <row r="5761" spans="5:12">
      <c r="E5761" s="49">
        <v>45068.690972202952</v>
      </c>
      <c r="F5761" s="56">
        <v>0</v>
      </c>
      <c r="G5761" s="48"/>
      <c r="H5761" s="48"/>
      <c r="I5761" s="48"/>
      <c r="J5761" s="48"/>
      <c r="L5761" s="65"/>
    </row>
    <row r="5762" spans="5:12">
      <c r="E5762" s="49">
        <v>45068.694444425171</v>
      </c>
      <c r="F5762" s="56">
        <v>0</v>
      </c>
      <c r="G5762" s="48"/>
      <c r="H5762" s="48"/>
      <c r="I5762" s="48"/>
      <c r="J5762" s="48"/>
      <c r="L5762" s="65"/>
    </row>
    <row r="5763" spans="5:12">
      <c r="E5763" s="49">
        <v>45068.69791664739</v>
      </c>
      <c r="F5763" s="56">
        <v>0</v>
      </c>
      <c r="G5763" s="48"/>
      <c r="H5763" s="48"/>
      <c r="I5763" s="48"/>
      <c r="J5763" s="48"/>
      <c r="L5763" s="65"/>
    </row>
    <row r="5764" spans="5:12">
      <c r="E5764" s="49">
        <v>45068.701388869609</v>
      </c>
      <c r="F5764" s="56">
        <v>0</v>
      </c>
      <c r="G5764" s="48"/>
      <c r="H5764" s="48"/>
      <c r="I5764" s="48"/>
      <c r="J5764" s="48"/>
      <c r="L5764" s="65"/>
    </row>
    <row r="5765" spans="5:12">
      <c r="E5765" s="49">
        <v>45068.704861091828</v>
      </c>
      <c r="F5765" s="56">
        <v>0</v>
      </c>
      <c r="G5765" s="48"/>
      <c r="H5765" s="48"/>
      <c r="I5765" s="48"/>
      <c r="J5765" s="48"/>
      <c r="L5765" s="65"/>
    </row>
    <row r="5766" spans="5:12">
      <c r="E5766" s="49">
        <v>45068.708333314047</v>
      </c>
      <c r="F5766" s="56">
        <v>0</v>
      </c>
      <c r="G5766" s="48"/>
      <c r="H5766" s="48"/>
      <c r="I5766" s="48"/>
      <c r="J5766" s="48"/>
      <c r="L5766" s="65"/>
    </row>
    <row r="5767" spans="5:12">
      <c r="E5767" s="49">
        <v>45068.711805536266</v>
      </c>
      <c r="F5767" s="56">
        <v>0</v>
      </c>
      <c r="G5767" s="48"/>
      <c r="H5767" s="48"/>
      <c r="I5767" s="48"/>
      <c r="J5767" s="48"/>
      <c r="L5767" s="65"/>
    </row>
    <row r="5768" spans="5:12">
      <c r="E5768" s="49">
        <v>45068.715277758485</v>
      </c>
      <c r="F5768" s="56">
        <v>0</v>
      </c>
      <c r="G5768" s="48"/>
      <c r="H5768" s="48"/>
      <c r="I5768" s="48"/>
      <c r="J5768" s="48"/>
      <c r="L5768" s="65"/>
    </row>
    <row r="5769" spans="5:12">
      <c r="E5769" s="49">
        <v>45068.718749980704</v>
      </c>
      <c r="F5769" s="56">
        <v>0</v>
      </c>
      <c r="G5769" s="48"/>
      <c r="H5769" s="48"/>
      <c r="I5769" s="48"/>
      <c r="J5769" s="48"/>
      <c r="L5769" s="65"/>
    </row>
    <row r="5770" spans="5:12">
      <c r="E5770" s="49">
        <v>45068.722222202923</v>
      </c>
      <c r="F5770" s="56">
        <v>0</v>
      </c>
      <c r="G5770" s="48"/>
      <c r="H5770" s="48"/>
      <c r="I5770" s="48"/>
      <c r="J5770" s="48"/>
      <c r="L5770" s="65"/>
    </row>
    <row r="5771" spans="5:12">
      <c r="E5771" s="49">
        <v>45068.725694425142</v>
      </c>
      <c r="F5771" s="56">
        <v>0</v>
      </c>
      <c r="G5771" s="48"/>
      <c r="H5771" s="48"/>
      <c r="I5771" s="48"/>
      <c r="J5771" s="48"/>
      <c r="L5771" s="65"/>
    </row>
    <row r="5772" spans="5:12">
      <c r="E5772" s="49">
        <v>45068.729166647361</v>
      </c>
      <c r="F5772" s="56">
        <v>0</v>
      </c>
      <c r="G5772" s="48"/>
      <c r="H5772" s="48"/>
      <c r="I5772" s="48"/>
      <c r="J5772" s="48"/>
      <c r="L5772" s="65"/>
    </row>
    <row r="5773" spans="5:12">
      <c r="E5773" s="49">
        <v>45068.73263886958</v>
      </c>
      <c r="F5773" s="56">
        <v>0</v>
      </c>
      <c r="G5773" s="48"/>
      <c r="H5773" s="48"/>
      <c r="I5773" s="48"/>
      <c r="J5773" s="48"/>
      <c r="L5773" s="65"/>
    </row>
    <row r="5774" spans="5:12">
      <c r="E5774" s="49">
        <v>45068.736111091799</v>
      </c>
      <c r="F5774" s="56">
        <v>0</v>
      </c>
      <c r="G5774" s="48"/>
      <c r="H5774" s="48"/>
      <c r="I5774" s="48"/>
      <c r="J5774" s="48"/>
      <c r="L5774" s="65"/>
    </row>
    <row r="5775" spans="5:12">
      <c r="E5775" s="49">
        <v>45068.739583314018</v>
      </c>
      <c r="F5775" s="56">
        <v>0</v>
      </c>
      <c r="G5775" s="48"/>
      <c r="H5775" s="48"/>
      <c r="I5775" s="48"/>
      <c r="J5775" s="48"/>
      <c r="L5775" s="65"/>
    </row>
    <row r="5776" spans="5:12">
      <c r="E5776" s="49">
        <v>45068.743055536237</v>
      </c>
      <c r="F5776" s="56">
        <v>0</v>
      </c>
      <c r="G5776" s="48"/>
      <c r="H5776" s="48"/>
      <c r="I5776" s="48"/>
      <c r="J5776" s="48"/>
      <c r="L5776" s="65"/>
    </row>
    <row r="5777" spans="5:12">
      <c r="E5777" s="49">
        <v>45068.746527758456</v>
      </c>
      <c r="F5777" s="56">
        <v>0</v>
      </c>
      <c r="G5777" s="48"/>
      <c r="H5777" s="48"/>
      <c r="I5777" s="48"/>
      <c r="J5777" s="48"/>
      <c r="L5777" s="65"/>
    </row>
    <row r="5778" spans="5:12">
      <c r="E5778" s="49">
        <v>45068.749999980675</v>
      </c>
      <c r="F5778" s="56">
        <v>0</v>
      </c>
      <c r="G5778" s="48"/>
      <c r="H5778" s="48"/>
      <c r="I5778" s="48"/>
      <c r="J5778" s="48"/>
      <c r="L5778" s="65"/>
    </row>
    <row r="5779" spans="5:12">
      <c r="E5779" s="49">
        <v>45068.753472202894</v>
      </c>
      <c r="F5779" s="56">
        <v>0</v>
      </c>
      <c r="G5779" s="48"/>
      <c r="H5779" s="48"/>
      <c r="I5779" s="48"/>
      <c r="J5779" s="48"/>
      <c r="L5779" s="65"/>
    </row>
    <row r="5780" spans="5:12">
      <c r="E5780" s="49">
        <v>45068.756944425113</v>
      </c>
      <c r="F5780" s="56">
        <v>0</v>
      </c>
      <c r="G5780" s="48"/>
      <c r="H5780" s="48"/>
      <c r="I5780" s="48"/>
      <c r="J5780" s="48"/>
      <c r="L5780" s="65"/>
    </row>
    <row r="5781" spans="5:12">
      <c r="E5781" s="49">
        <v>45068.760416647332</v>
      </c>
      <c r="F5781" s="56">
        <v>0</v>
      </c>
      <c r="G5781" s="48"/>
      <c r="H5781" s="48"/>
      <c r="I5781" s="48"/>
      <c r="J5781" s="48"/>
      <c r="L5781" s="65"/>
    </row>
    <row r="5782" spans="5:12">
      <c r="E5782" s="49">
        <v>45068.763888869551</v>
      </c>
      <c r="F5782" s="56">
        <v>0</v>
      </c>
      <c r="G5782" s="48"/>
      <c r="H5782" s="48"/>
      <c r="I5782" s="48"/>
      <c r="J5782" s="48"/>
      <c r="L5782" s="65"/>
    </row>
    <row r="5783" spans="5:12">
      <c r="E5783" s="49">
        <v>45068.76736109177</v>
      </c>
      <c r="F5783" s="56">
        <v>0</v>
      </c>
      <c r="G5783" s="48"/>
      <c r="H5783" s="48"/>
      <c r="I5783" s="48"/>
      <c r="J5783" s="48"/>
      <c r="L5783" s="65"/>
    </row>
    <row r="5784" spans="5:12">
      <c r="E5784" s="49">
        <v>45068.770833313989</v>
      </c>
      <c r="F5784" s="56">
        <v>0</v>
      </c>
      <c r="G5784" s="48"/>
      <c r="H5784" s="48"/>
      <c r="I5784" s="48"/>
      <c r="J5784" s="48"/>
      <c r="L5784" s="65"/>
    </row>
    <row r="5785" spans="5:12">
      <c r="E5785" s="49">
        <v>45068.774305536208</v>
      </c>
      <c r="F5785" s="56">
        <v>0</v>
      </c>
      <c r="G5785" s="48"/>
      <c r="H5785" s="48"/>
      <c r="I5785" s="48"/>
      <c r="J5785" s="48"/>
      <c r="L5785" s="65"/>
    </row>
    <row r="5786" spans="5:12">
      <c r="E5786" s="49">
        <v>45068.777777758427</v>
      </c>
      <c r="F5786" s="56">
        <v>0</v>
      </c>
      <c r="G5786" s="48"/>
      <c r="H5786" s="48"/>
      <c r="I5786" s="48"/>
      <c r="J5786" s="48"/>
      <c r="L5786" s="65"/>
    </row>
    <row r="5787" spans="5:12">
      <c r="E5787" s="49">
        <v>45068.781249980646</v>
      </c>
      <c r="F5787" s="56">
        <v>0</v>
      </c>
      <c r="G5787" s="48"/>
      <c r="H5787" s="48"/>
      <c r="I5787" s="48"/>
      <c r="J5787" s="48"/>
      <c r="L5787" s="65"/>
    </row>
    <row r="5788" spans="5:12">
      <c r="E5788" s="49">
        <v>45068.784722202865</v>
      </c>
      <c r="F5788" s="56">
        <v>0</v>
      </c>
      <c r="G5788" s="48"/>
      <c r="H5788" s="48"/>
      <c r="I5788" s="48"/>
      <c r="J5788" s="48"/>
      <c r="L5788" s="65"/>
    </row>
    <row r="5789" spans="5:12">
      <c r="E5789" s="49">
        <v>45068.788194425084</v>
      </c>
      <c r="F5789" s="56">
        <v>0</v>
      </c>
      <c r="G5789" s="48"/>
      <c r="H5789" s="48"/>
      <c r="I5789" s="48"/>
      <c r="J5789" s="48"/>
      <c r="L5789" s="65"/>
    </row>
    <row r="5790" spans="5:12">
      <c r="E5790" s="49">
        <v>45068.791666647303</v>
      </c>
      <c r="F5790" s="56">
        <v>0</v>
      </c>
      <c r="G5790" s="48"/>
      <c r="H5790" s="48"/>
      <c r="I5790" s="48"/>
      <c r="J5790" s="48"/>
      <c r="L5790" s="65"/>
    </row>
    <row r="5791" spans="5:12">
      <c r="E5791" s="49">
        <v>45068.795138869522</v>
      </c>
      <c r="F5791" s="56">
        <v>0</v>
      </c>
      <c r="G5791" s="48"/>
      <c r="H5791" s="48"/>
      <c r="I5791" s="48"/>
      <c r="J5791" s="48"/>
      <c r="L5791" s="65"/>
    </row>
    <row r="5792" spans="5:12">
      <c r="E5792" s="49">
        <v>45068.798611091741</v>
      </c>
      <c r="F5792" s="56">
        <v>0</v>
      </c>
      <c r="G5792" s="48"/>
      <c r="H5792" s="48"/>
      <c r="I5792" s="48"/>
      <c r="J5792" s="48"/>
      <c r="L5792" s="65"/>
    </row>
    <row r="5793" spans="5:12">
      <c r="E5793" s="49">
        <v>45068.80208331396</v>
      </c>
      <c r="F5793" s="56">
        <v>0</v>
      </c>
      <c r="G5793" s="48"/>
      <c r="H5793" s="48"/>
      <c r="I5793" s="48"/>
      <c r="J5793" s="48"/>
      <c r="L5793" s="65"/>
    </row>
    <row r="5794" spans="5:12">
      <c r="E5794" s="49">
        <v>45068.805555536179</v>
      </c>
      <c r="F5794" s="56">
        <v>0</v>
      </c>
      <c r="G5794" s="48"/>
      <c r="H5794" s="48"/>
      <c r="I5794" s="48"/>
      <c r="J5794" s="48"/>
      <c r="L5794" s="65"/>
    </row>
    <row r="5795" spans="5:12">
      <c r="E5795" s="49">
        <v>45068.809027758398</v>
      </c>
      <c r="F5795" s="56">
        <v>0</v>
      </c>
      <c r="G5795" s="48"/>
      <c r="H5795" s="48"/>
      <c r="I5795" s="48"/>
      <c r="J5795" s="48"/>
      <c r="L5795" s="65"/>
    </row>
    <row r="5796" spans="5:12">
      <c r="E5796" s="49">
        <v>45068.812499980617</v>
      </c>
      <c r="F5796" s="56">
        <v>0</v>
      </c>
      <c r="G5796" s="48"/>
      <c r="H5796" s="48"/>
      <c r="I5796" s="48"/>
      <c r="J5796" s="48"/>
      <c r="L5796" s="65"/>
    </row>
    <row r="5797" spans="5:12">
      <c r="E5797" s="49">
        <v>45068.815972202836</v>
      </c>
      <c r="F5797" s="56">
        <v>0</v>
      </c>
      <c r="G5797" s="48"/>
      <c r="H5797" s="48"/>
      <c r="I5797" s="48"/>
      <c r="J5797" s="48"/>
      <c r="L5797" s="65"/>
    </row>
    <row r="5798" spans="5:12">
      <c r="E5798" s="49">
        <v>45068.819444425055</v>
      </c>
      <c r="F5798" s="56">
        <v>0</v>
      </c>
      <c r="G5798" s="48"/>
      <c r="H5798" s="48"/>
      <c r="I5798" s="48"/>
      <c r="J5798" s="48"/>
      <c r="L5798" s="65"/>
    </row>
    <row r="5799" spans="5:12">
      <c r="E5799" s="49">
        <v>45068.822916647274</v>
      </c>
      <c r="F5799" s="56">
        <v>0</v>
      </c>
      <c r="G5799" s="48"/>
      <c r="H5799" s="48"/>
      <c r="I5799" s="48"/>
      <c r="J5799" s="48"/>
      <c r="L5799" s="65"/>
    </row>
    <row r="5800" spans="5:12">
      <c r="E5800" s="49">
        <v>45068.826388869493</v>
      </c>
      <c r="F5800" s="56">
        <v>0</v>
      </c>
      <c r="G5800" s="48"/>
      <c r="H5800" s="48"/>
      <c r="I5800" s="48"/>
      <c r="J5800" s="48"/>
      <c r="L5800" s="65"/>
    </row>
    <row r="5801" spans="5:12">
      <c r="E5801" s="49">
        <v>45068.829861091712</v>
      </c>
      <c r="F5801" s="56">
        <v>0</v>
      </c>
      <c r="G5801" s="48"/>
      <c r="H5801" s="48"/>
      <c r="I5801" s="48"/>
      <c r="J5801" s="48"/>
      <c r="L5801" s="65"/>
    </row>
    <row r="5802" spans="5:12">
      <c r="E5802" s="49">
        <v>45068.833333313931</v>
      </c>
      <c r="F5802" s="56">
        <v>0</v>
      </c>
      <c r="G5802" s="48"/>
      <c r="H5802" s="48"/>
      <c r="I5802" s="48"/>
      <c r="J5802" s="48"/>
      <c r="L5802" s="65"/>
    </row>
    <row r="5803" spans="5:12">
      <c r="E5803" s="49">
        <v>45068.83680553615</v>
      </c>
      <c r="F5803" s="56">
        <v>0</v>
      </c>
      <c r="G5803" s="48"/>
      <c r="H5803" s="48"/>
      <c r="I5803" s="48"/>
      <c r="J5803" s="48"/>
      <c r="L5803" s="65"/>
    </row>
    <row r="5804" spans="5:12">
      <c r="E5804" s="49">
        <v>45068.840277758369</v>
      </c>
      <c r="F5804" s="56">
        <v>0</v>
      </c>
      <c r="G5804" s="48"/>
      <c r="H5804" s="48"/>
      <c r="I5804" s="48"/>
      <c r="J5804" s="48"/>
      <c r="L5804" s="65"/>
    </row>
    <row r="5805" spans="5:12">
      <c r="E5805" s="49">
        <v>45068.843749980588</v>
      </c>
      <c r="F5805" s="56">
        <v>0</v>
      </c>
      <c r="G5805" s="48"/>
      <c r="H5805" s="48"/>
      <c r="I5805" s="48"/>
      <c r="J5805" s="48"/>
      <c r="L5805" s="65"/>
    </row>
    <row r="5806" spans="5:12">
      <c r="E5806" s="49">
        <v>45068.847222202807</v>
      </c>
      <c r="F5806" s="56">
        <v>0</v>
      </c>
      <c r="G5806" s="48"/>
      <c r="H5806" s="48"/>
      <c r="I5806" s="48"/>
      <c r="J5806" s="48"/>
      <c r="L5806" s="65"/>
    </row>
    <row r="5807" spans="5:12">
      <c r="E5807" s="49">
        <v>45068.850694425026</v>
      </c>
      <c r="F5807" s="56">
        <v>0</v>
      </c>
      <c r="G5807" s="48"/>
      <c r="H5807" s="48"/>
      <c r="I5807" s="48"/>
      <c r="J5807" s="48"/>
      <c r="L5807" s="65"/>
    </row>
    <row r="5808" spans="5:12">
      <c r="E5808" s="49">
        <v>45068.854166647245</v>
      </c>
      <c r="F5808" s="56">
        <v>0</v>
      </c>
      <c r="G5808" s="48"/>
      <c r="H5808" s="48"/>
      <c r="I5808" s="48"/>
      <c r="J5808" s="48"/>
      <c r="L5808" s="65"/>
    </row>
    <row r="5809" spans="5:12">
      <c r="E5809" s="49">
        <v>45068.857638869464</v>
      </c>
      <c r="F5809" s="56">
        <v>0</v>
      </c>
      <c r="G5809" s="48"/>
      <c r="H5809" s="48"/>
      <c r="I5809" s="48"/>
      <c r="J5809" s="48"/>
      <c r="L5809" s="65"/>
    </row>
    <row r="5810" spans="5:12">
      <c r="E5810" s="49">
        <v>45068.861111091683</v>
      </c>
      <c r="F5810" s="56">
        <v>0</v>
      </c>
      <c r="G5810" s="48"/>
      <c r="H5810" s="48"/>
      <c r="I5810" s="48"/>
      <c r="J5810" s="48"/>
      <c r="L5810" s="65"/>
    </row>
    <row r="5811" spans="5:12">
      <c r="E5811" s="49">
        <v>45068.864583313902</v>
      </c>
      <c r="F5811" s="56">
        <v>0</v>
      </c>
      <c r="G5811" s="48"/>
      <c r="H5811" s="48"/>
      <c r="I5811" s="48"/>
      <c r="J5811" s="48"/>
      <c r="L5811" s="65"/>
    </row>
    <row r="5812" spans="5:12">
      <c r="E5812" s="49">
        <v>45068.868055536121</v>
      </c>
      <c r="F5812" s="56">
        <v>0</v>
      </c>
      <c r="G5812" s="48"/>
      <c r="H5812" s="48"/>
      <c r="I5812" s="48"/>
      <c r="J5812" s="48"/>
      <c r="L5812" s="65"/>
    </row>
    <row r="5813" spans="5:12">
      <c r="E5813" s="49">
        <v>45068.87152775834</v>
      </c>
      <c r="F5813" s="56">
        <v>0</v>
      </c>
      <c r="G5813" s="48"/>
      <c r="H5813" s="48"/>
      <c r="I5813" s="48"/>
      <c r="J5813" s="48"/>
      <c r="L5813" s="65"/>
    </row>
    <row r="5814" spans="5:12">
      <c r="E5814" s="49">
        <v>45068.874999980559</v>
      </c>
      <c r="F5814" s="56">
        <v>0</v>
      </c>
      <c r="G5814" s="48"/>
      <c r="H5814" s="48"/>
      <c r="I5814" s="48"/>
      <c r="J5814" s="48"/>
      <c r="L5814" s="65"/>
    </row>
    <row r="5815" spans="5:12">
      <c r="E5815" s="49">
        <v>45068.878472202778</v>
      </c>
      <c r="F5815" s="56">
        <v>0</v>
      </c>
      <c r="G5815" s="48"/>
      <c r="H5815" s="48"/>
      <c r="I5815" s="48"/>
      <c r="J5815" s="48"/>
      <c r="L5815" s="65"/>
    </row>
    <row r="5816" spans="5:12">
      <c r="E5816" s="49">
        <v>45068.881944424997</v>
      </c>
      <c r="F5816" s="56">
        <v>0</v>
      </c>
      <c r="G5816" s="48"/>
      <c r="H5816" s="48"/>
      <c r="I5816" s="48"/>
      <c r="J5816" s="48"/>
      <c r="L5816" s="65"/>
    </row>
    <row r="5817" spans="5:12">
      <c r="E5817" s="49">
        <v>45068.885416647216</v>
      </c>
      <c r="F5817" s="56">
        <v>0</v>
      </c>
      <c r="G5817" s="48"/>
      <c r="H5817" s="48"/>
      <c r="I5817" s="48"/>
      <c r="J5817" s="48"/>
      <c r="L5817" s="65"/>
    </row>
    <row r="5818" spans="5:12">
      <c r="E5818" s="49">
        <v>45068.888888869435</v>
      </c>
      <c r="F5818" s="56">
        <v>0</v>
      </c>
      <c r="G5818" s="48"/>
      <c r="H5818" s="48"/>
      <c r="I5818" s="48"/>
      <c r="J5818" s="48"/>
      <c r="L5818" s="65"/>
    </row>
    <row r="5819" spans="5:12">
      <c r="E5819" s="49">
        <v>45068.892361091654</v>
      </c>
      <c r="F5819" s="56">
        <v>0</v>
      </c>
      <c r="G5819" s="48"/>
      <c r="H5819" s="48"/>
      <c r="I5819" s="48"/>
      <c r="J5819" s="48"/>
      <c r="L5819" s="65"/>
    </row>
    <row r="5820" spans="5:12">
      <c r="E5820" s="49">
        <v>45068.895833313873</v>
      </c>
      <c r="F5820" s="56">
        <v>0</v>
      </c>
      <c r="G5820" s="48"/>
      <c r="H5820" s="48"/>
      <c r="I5820" s="48"/>
      <c r="J5820" s="48"/>
      <c r="L5820" s="65"/>
    </row>
    <row r="5821" spans="5:12">
      <c r="E5821" s="49">
        <v>45068.899305536092</v>
      </c>
      <c r="F5821" s="56">
        <v>0</v>
      </c>
      <c r="G5821" s="48"/>
      <c r="H5821" s="48"/>
      <c r="I5821" s="48"/>
      <c r="J5821" s="48"/>
      <c r="L5821" s="65"/>
    </row>
    <row r="5822" spans="5:12">
      <c r="E5822" s="49">
        <v>45068.902777758311</v>
      </c>
      <c r="F5822" s="56">
        <v>0</v>
      </c>
      <c r="G5822" s="48"/>
      <c r="H5822" s="48"/>
      <c r="I5822" s="48"/>
      <c r="J5822" s="48"/>
      <c r="L5822" s="65"/>
    </row>
    <row r="5823" spans="5:12">
      <c r="E5823" s="49">
        <v>45068.90624998053</v>
      </c>
      <c r="F5823" s="56">
        <v>0</v>
      </c>
      <c r="G5823" s="48"/>
      <c r="H5823" s="48"/>
      <c r="I5823" s="48"/>
      <c r="J5823" s="48"/>
      <c r="L5823" s="65"/>
    </row>
    <row r="5824" spans="5:12">
      <c r="E5824" s="49">
        <v>45068.909722202749</v>
      </c>
      <c r="F5824" s="56">
        <v>0</v>
      </c>
      <c r="G5824" s="48"/>
      <c r="H5824" s="48"/>
      <c r="I5824" s="48"/>
      <c r="J5824" s="48"/>
      <c r="L5824" s="65"/>
    </row>
    <row r="5825" spans="5:12">
      <c r="E5825" s="49">
        <v>45068.913194424968</v>
      </c>
      <c r="F5825" s="56">
        <v>0</v>
      </c>
      <c r="G5825" s="48"/>
      <c r="H5825" s="48"/>
      <c r="I5825" s="48"/>
      <c r="J5825" s="48"/>
      <c r="L5825" s="65"/>
    </row>
    <row r="5826" spans="5:12">
      <c r="E5826" s="49">
        <v>45068.916666647187</v>
      </c>
      <c r="F5826" s="56">
        <v>0</v>
      </c>
      <c r="G5826" s="48"/>
      <c r="H5826" s="48"/>
      <c r="I5826" s="48"/>
      <c r="J5826" s="48"/>
      <c r="L5826" s="65"/>
    </row>
    <row r="5827" spans="5:12">
      <c r="E5827" s="49">
        <v>45068.920138869405</v>
      </c>
      <c r="F5827" s="56">
        <v>0</v>
      </c>
      <c r="G5827" s="48"/>
      <c r="H5827" s="48"/>
      <c r="I5827" s="48"/>
      <c r="J5827" s="48"/>
      <c r="L5827" s="65"/>
    </row>
    <row r="5828" spans="5:12">
      <c r="E5828" s="49">
        <v>45068.923611091624</v>
      </c>
      <c r="F5828" s="56">
        <v>0</v>
      </c>
      <c r="G5828" s="48"/>
      <c r="H5828" s="48"/>
      <c r="I5828" s="48"/>
      <c r="J5828" s="48"/>
      <c r="L5828" s="65"/>
    </row>
    <row r="5829" spans="5:12">
      <c r="E5829" s="49">
        <v>45068.927083313843</v>
      </c>
      <c r="F5829" s="56">
        <v>0</v>
      </c>
      <c r="G5829" s="48"/>
      <c r="H5829" s="48"/>
      <c r="I5829" s="48"/>
      <c r="J5829" s="48"/>
      <c r="L5829" s="65"/>
    </row>
    <row r="5830" spans="5:12">
      <c r="E5830" s="49">
        <v>45068.930555536062</v>
      </c>
      <c r="F5830" s="56">
        <v>0</v>
      </c>
      <c r="G5830" s="48"/>
      <c r="H5830" s="48"/>
      <c r="I5830" s="48"/>
      <c r="J5830" s="48"/>
      <c r="L5830" s="65"/>
    </row>
    <row r="5831" spans="5:12">
      <c r="E5831" s="49">
        <v>45068.934027758281</v>
      </c>
      <c r="F5831" s="56">
        <v>0</v>
      </c>
      <c r="G5831" s="48"/>
      <c r="H5831" s="48"/>
      <c r="I5831" s="48"/>
      <c r="J5831" s="48"/>
      <c r="L5831" s="65"/>
    </row>
    <row r="5832" spans="5:12">
      <c r="E5832" s="49">
        <v>45068.9374999805</v>
      </c>
      <c r="F5832" s="56">
        <v>0</v>
      </c>
      <c r="G5832" s="48"/>
      <c r="H5832" s="48"/>
      <c r="I5832" s="48"/>
      <c r="J5832" s="48"/>
      <c r="L5832" s="65"/>
    </row>
    <row r="5833" spans="5:12">
      <c r="E5833" s="49">
        <v>45068.940972202719</v>
      </c>
      <c r="F5833" s="56">
        <v>0</v>
      </c>
      <c r="G5833" s="48"/>
      <c r="H5833" s="48"/>
      <c r="I5833" s="48"/>
      <c r="J5833" s="48"/>
      <c r="L5833" s="65"/>
    </row>
    <row r="5834" spans="5:12">
      <c r="E5834" s="49">
        <v>45068.944444424938</v>
      </c>
      <c r="F5834" s="56">
        <v>0</v>
      </c>
      <c r="G5834" s="48"/>
      <c r="H5834" s="48"/>
      <c r="I5834" s="48"/>
      <c r="J5834" s="48"/>
      <c r="L5834" s="65"/>
    </row>
    <row r="5835" spans="5:12">
      <c r="E5835" s="49">
        <v>45068.947916647157</v>
      </c>
      <c r="F5835" s="56">
        <v>0</v>
      </c>
      <c r="G5835" s="48"/>
      <c r="H5835" s="48"/>
      <c r="I5835" s="48"/>
      <c r="J5835" s="48"/>
      <c r="L5835" s="65"/>
    </row>
    <row r="5836" spans="5:12">
      <c r="E5836" s="49">
        <v>45068.951388869376</v>
      </c>
      <c r="F5836" s="56">
        <v>0</v>
      </c>
      <c r="G5836" s="48"/>
      <c r="H5836" s="48"/>
      <c r="I5836" s="48"/>
      <c r="J5836" s="48"/>
      <c r="L5836" s="65"/>
    </row>
    <row r="5837" spans="5:12">
      <c r="E5837" s="49">
        <v>45068.954861091595</v>
      </c>
      <c r="F5837" s="56">
        <v>0</v>
      </c>
      <c r="G5837" s="48"/>
      <c r="H5837" s="48"/>
      <c r="I5837" s="48"/>
      <c r="J5837" s="48"/>
      <c r="L5837" s="65"/>
    </row>
    <row r="5838" spans="5:12">
      <c r="E5838" s="49">
        <v>45068.958333313814</v>
      </c>
      <c r="F5838" s="56">
        <v>0</v>
      </c>
      <c r="G5838" s="48"/>
      <c r="H5838" s="48"/>
      <c r="I5838" s="48"/>
      <c r="J5838" s="48"/>
      <c r="L5838" s="65"/>
    </row>
    <row r="5839" spans="5:12">
      <c r="E5839" s="49">
        <v>45068.961805536033</v>
      </c>
      <c r="F5839" s="56">
        <v>0</v>
      </c>
      <c r="G5839" s="48"/>
      <c r="H5839" s="48"/>
      <c r="I5839" s="48"/>
      <c r="J5839" s="48"/>
      <c r="L5839" s="65"/>
    </row>
    <row r="5840" spans="5:12">
      <c r="E5840" s="49">
        <v>45068.965277758252</v>
      </c>
      <c r="F5840" s="56">
        <v>0</v>
      </c>
      <c r="G5840" s="48"/>
      <c r="H5840" s="48"/>
      <c r="I5840" s="48"/>
      <c r="J5840" s="48"/>
      <c r="L5840" s="65"/>
    </row>
    <row r="5841" spans="5:12">
      <c r="E5841" s="49">
        <v>45068.968749980471</v>
      </c>
      <c r="F5841" s="56">
        <v>0</v>
      </c>
      <c r="G5841" s="48"/>
      <c r="H5841" s="48"/>
      <c r="I5841" s="48"/>
      <c r="J5841" s="48"/>
      <c r="L5841" s="65"/>
    </row>
    <row r="5842" spans="5:12">
      <c r="E5842" s="49">
        <v>45068.97222220269</v>
      </c>
      <c r="F5842" s="56">
        <v>0</v>
      </c>
      <c r="G5842" s="48"/>
      <c r="H5842" s="48"/>
      <c r="I5842" s="48"/>
      <c r="J5842" s="48"/>
      <c r="L5842" s="65"/>
    </row>
    <row r="5843" spans="5:12">
      <c r="E5843" s="49">
        <v>45068.975694424909</v>
      </c>
      <c r="F5843" s="56">
        <v>0</v>
      </c>
      <c r="G5843" s="48"/>
      <c r="H5843" s="48"/>
      <c r="I5843" s="48"/>
      <c r="J5843" s="48"/>
      <c r="L5843" s="65"/>
    </row>
    <row r="5844" spans="5:12">
      <c r="E5844" s="49">
        <v>45068.979166647128</v>
      </c>
      <c r="F5844" s="56">
        <v>0</v>
      </c>
      <c r="G5844" s="48"/>
      <c r="H5844" s="48"/>
      <c r="I5844" s="48"/>
      <c r="J5844" s="48"/>
      <c r="L5844" s="65"/>
    </row>
    <row r="5845" spans="5:12">
      <c r="E5845" s="49">
        <v>45068.982638869347</v>
      </c>
      <c r="F5845" s="56">
        <v>0</v>
      </c>
      <c r="G5845" s="48"/>
      <c r="H5845" s="48"/>
      <c r="I5845" s="48"/>
      <c r="J5845" s="48"/>
      <c r="L5845" s="65"/>
    </row>
    <row r="5846" spans="5:12">
      <c r="E5846" s="49">
        <v>45068.986111091566</v>
      </c>
      <c r="F5846" s="56">
        <v>0</v>
      </c>
      <c r="G5846" s="48"/>
      <c r="H5846" s="48"/>
      <c r="I5846" s="48"/>
      <c r="J5846" s="48"/>
      <c r="L5846" s="65"/>
    </row>
    <row r="5847" spans="5:12">
      <c r="E5847" s="49">
        <v>45068.989583313785</v>
      </c>
      <c r="F5847" s="56">
        <v>0</v>
      </c>
      <c r="G5847" s="48"/>
      <c r="H5847" s="48"/>
      <c r="I5847" s="48"/>
      <c r="J5847" s="48"/>
      <c r="L5847" s="65"/>
    </row>
    <row r="5848" spans="5:12">
      <c r="E5848" s="49">
        <v>45068.993055536004</v>
      </c>
      <c r="F5848" s="56">
        <v>0</v>
      </c>
      <c r="G5848" s="48"/>
      <c r="H5848" s="48"/>
      <c r="I5848" s="48"/>
      <c r="J5848" s="48"/>
      <c r="L5848" s="65"/>
    </row>
    <row r="5849" spans="5:12">
      <c r="E5849" s="49">
        <v>45068.996527758223</v>
      </c>
      <c r="F5849" s="56">
        <v>0</v>
      </c>
      <c r="G5849" s="48"/>
      <c r="H5849" s="48"/>
      <c r="I5849" s="48"/>
      <c r="J5849" s="48"/>
      <c r="L5849" s="65"/>
    </row>
    <row r="5850" spans="5:12">
      <c r="E5850" s="49">
        <v>45068.999999980442</v>
      </c>
      <c r="F5850" s="56">
        <v>0</v>
      </c>
      <c r="G5850" s="48"/>
      <c r="H5850" s="48"/>
      <c r="I5850" s="48"/>
      <c r="J5850" s="48"/>
      <c r="L5850" s="65"/>
    </row>
    <row r="5851" spans="5:12">
      <c r="E5851" s="49">
        <v>45069.003472202661</v>
      </c>
      <c r="F5851" s="56">
        <v>0</v>
      </c>
      <c r="G5851" s="48"/>
      <c r="H5851" s="48"/>
      <c r="I5851" s="48"/>
      <c r="J5851" s="48"/>
      <c r="L5851" s="65"/>
    </row>
    <row r="5852" spans="5:12">
      <c r="E5852" s="49">
        <v>45069.00694442488</v>
      </c>
      <c r="F5852" s="56">
        <v>0</v>
      </c>
      <c r="G5852" s="48"/>
      <c r="H5852" s="48"/>
      <c r="I5852" s="48"/>
      <c r="J5852" s="48"/>
      <c r="L5852" s="65"/>
    </row>
    <row r="5853" spans="5:12">
      <c r="E5853" s="49">
        <v>45069.010416647099</v>
      </c>
      <c r="F5853" s="56">
        <v>0</v>
      </c>
      <c r="G5853" s="48"/>
      <c r="H5853" s="48"/>
      <c r="I5853" s="48"/>
      <c r="J5853" s="48"/>
      <c r="L5853" s="65"/>
    </row>
    <row r="5854" spans="5:12">
      <c r="E5854" s="49">
        <v>45069.013888869318</v>
      </c>
      <c r="F5854" s="56">
        <v>0</v>
      </c>
      <c r="G5854" s="48"/>
      <c r="H5854" s="48"/>
      <c r="I5854" s="48"/>
      <c r="J5854" s="48"/>
      <c r="L5854" s="65"/>
    </row>
    <row r="5855" spans="5:12">
      <c r="E5855" s="49">
        <v>45069.017361091537</v>
      </c>
      <c r="F5855" s="56">
        <v>0</v>
      </c>
      <c r="G5855" s="48"/>
      <c r="H5855" s="48"/>
      <c r="I5855" s="48"/>
      <c r="J5855" s="48"/>
      <c r="L5855" s="65"/>
    </row>
    <row r="5856" spans="5:12">
      <c r="E5856" s="49">
        <v>45069.020833313756</v>
      </c>
      <c r="F5856" s="56">
        <v>0</v>
      </c>
      <c r="G5856" s="48"/>
      <c r="H5856" s="48"/>
      <c r="I5856" s="48"/>
      <c r="J5856" s="48"/>
      <c r="L5856" s="65"/>
    </row>
    <row r="5857" spans="5:12">
      <c r="E5857" s="49">
        <v>45069.024305535975</v>
      </c>
      <c r="F5857" s="56">
        <v>0</v>
      </c>
      <c r="G5857" s="48"/>
      <c r="H5857" s="48"/>
      <c r="I5857" s="48"/>
      <c r="J5857" s="48"/>
      <c r="L5857" s="65"/>
    </row>
    <row r="5858" spans="5:12">
      <c r="E5858" s="49">
        <v>45069.027777758194</v>
      </c>
      <c r="F5858" s="56">
        <v>0</v>
      </c>
      <c r="G5858" s="48"/>
      <c r="H5858" s="48"/>
      <c r="I5858" s="48"/>
      <c r="J5858" s="48"/>
      <c r="L5858" s="65"/>
    </row>
    <row r="5859" spans="5:12">
      <c r="E5859" s="49">
        <v>45069.031249980413</v>
      </c>
      <c r="F5859" s="56">
        <v>0</v>
      </c>
      <c r="G5859" s="48"/>
      <c r="H5859" s="48"/>
      <c r="I5859" s="48"/>
      <c r="J5859" s="48"/>
      <c r="L5859" s="65"/>
    </row>
    <row r="5860" spans="5:12">
      <c r="E5860" s="49">
        <v>45069.034722202632</v>
      </c>
      <c r="F5860" s="56">
        <v>0</v>
      </c>
      <c r="G5860" s="48"/>
      <c r="H5860" s="48"/>
      <c r="I5860" s="48"/>
      <c r="J5860" s="48"/>
      <c r="L5860" s="65"/>
    </row>
    <row r="5861" spans="5:12">
      <c r="E5861" s="49">
        <v>45069.038194424851</v>
      </c>
      <c r="F5861" s="56">
        <v>0</v>
      </c>
      <c r="G5861" s="48"/>
      <c r="H5861" s="48"/>
      <c r="I5861" s="48"/>
      <c r="J5861" s="48"/>
      <c r="L5861" s="65"/>
    </row>
    <row r="5862" spans="5:12">
      <c r="E5862" s="49">
        <v>45069.04166664707</v>
      </c>
      <c r="F5862" s="56">
        <v>0</v>
      </c>
      <c r="G5862" s="48"/>
      <c r="H5862" s="48"/>
      <c r="I5862" s="48"/>
      <c r="J5862" s="48"/>
      <c r="L5862" s="65"/>
    </row>
    <row r="5863" spans="5:12">
      <c r="E5863" s="49">
        <v>45069.045138869289</v>
      </c>
      <c r="F5863" s="56">
        <v>0</v>
      </c>
      <c r="G5863" s="48"/>
      <c r="H5863" s="48"/>
      <c r="I5863" s="48"/>
      <c r="J5863" s="48"/>
      <c r="L5863" s="65"/>
    </row>
    <row r="5864" spans="5:12">
      <c r="E5864" s="49">
        <v>45069.048611091508</v>
      </c>
      <c r="F5864" s="56">
        <v>0</v>
      </c>
      <c r="G5864" s="48"/>
      <c r="H5864" s="48"/>
      <c r="I5864" s="48"/>
      <c r="J5864" s="48"/>
      <c r="L5864" s="65"/>
    </row>
    <row r="5865" spans="5:12">
      <c r="E5865" s="49">
        <v>45069.052083313727</v>
      </c>
      <c r="F5865" s="56">
        <v>0</v>
      </c>
      <c r="G5865" s="48"/>
      <c r="H5865" s="48"/>
      <c r="I5865" s="48"/>
      <c r="J5865" s="48"/>
      <c r="L5865" s="65"/>
    </row>
    <row r="5866" spans="5:12">
      <c r="E5866" s="49">
        <v>45069.055555535946</v>
      </c>
      <c r="F5866" s="56">
        <v>0</v>
      </c>
      <c r="G5866" s="48"/>
      <c r="H5866" s="48"/>
      <c r="I5866" s="48"/>
      <c r="J5866" s="48"/>
      <c r="L5866" s="65"/>
    </row>
    <row r="5867" spans="5:12">
      <c r="E5867" s="49">
        <v>45069.059027758165</v>
      </c>
      <c r="F5867" s="56">
        <v>0</v>
      </c>
      <c r="G5867" s="48"/>
      <c r="H5867" s="48"/>
      <c r="I5867" s="48"/>
      <c r="J5867" s="48"/>
      <c r="L5867" s="65"/>
    </row>
    <row r="5868" spans="5:12">
      <c r="E5868" s="49">
        <v>45069.062499980384</v>
      </c>
      <c r="F5868" s="56">
        <v>0</v>
      </c>
      <c r="G5868" s="48"/>
      <c r="H5868" s="48"/>
      <c r="I5868" s="48"/>
      <c r="J5868" s="48"/>
      <c r="L5868" s="65"/>
    </row>
    <row r="5869" spans="5:12">
      <c r="E5869" s="49">
        <v>45069.065972202603</v>
      </c>
      <c r="F5869" s="56">
        <v>0</v>
      </c>
      <c r="G5869" s="48"/>
      <c r="H5869" s="48"/>
      <c r="I5869" s="48"/>
      <c r="J5869" s="48"/>
      <c r="L5869" s="65"/>
    </row>
    <row r="5870" spans="5:12">
      <c r="E5870" s="49">
        <v>45069.069444424822</v>
      </c>
      <c r="F5870" s="56">
        <v>0</v>
      </c>
      <c r="G5870" s="48"/>
      <c r="H5870" s="48"/>
      <c r="I5870" s="48"/>
      <c r="J5870" s="48"/>
      <c r="L5870" s="65"/>
    </row>
    <row r="5871" spans="5:12">
      <c r="E5871" s="49">
        <v>45069.072916647041</v>
      </c>
      <c r="F5871" s="56">
        <v>0</v>
      </c>
      <c r="G5871" s="48"/>
      <c r="H5871" s="48"/>
      <c r="I5871" s="48"/>
      <c r="J5871" s="48"/>
      <c r="L5871" s="65"/>
    </row>
    <row r="5872" spans="5:12">
      <c r="E5872" s="49">
        <v>45069.07638886926</v>
      </c>
      <c r="F5872" s="56">
        <v>0</v>
      </c>
      <c r="G5872" s="48"/>
      <c r="H5872" s="48"/>
      <c r="I5872" s="48"/>
      <c r="J5872" s="48"/>
      <c r="L5872" s="65"/>
    </row>
    <row r="5873" spans="5:12">
      <c r="E5873" s="49">
        <v>45069.079861091479</v>
      </c>
      <c r="F5873" s="56">
        <v>0</v>
      </c>
      <c r="G5873" s="48"/>
      <c r="H5873" s="48"/>
      <c r="I5873" s="48"/>
      <c r="J5873" s="48"/>
      <c r="L5873" s="65"/>
    </row>
    <row r="5874" spans="5:12">
      <c r="E5874" s="49">
        <v>45069.083333313698</v>
      </c>
      <c r="F5874" s="56">
        <v>0</v>
      </c>
      <c r="G5874" s="48"/>
      <c r="H5874" s="48"/>
      <c r="I5874" s="48"/>
      <c r="J5874" s="48"/>
      <c r="L5874" s="65"/>
    </row>
    <row r="5875" spans="5:12">
      <c r="E5875" s="49">
        <v>45069.086805535917</v>
      </c>
      <c r="F5875" s="56">
        <v>0</v>
      </c>
      <c r="G5875" s="48"/>
      <c r="H5875" s="48"/>
      <c r="I5875" s="48"/>
      <c r="J5875" s="48"/>
      <c r="L5875" s="65"/>
    </row>
    <row r="5876" spans="5:12">
      <c r="E5876" s="49">
        <v>45069.090277758136</v>
      </c>
      <c r="F5876" s="56">
        <v>0</v>
      </c>
      <c r="G5876" s="48"/>
      <c r="H5876" s="48"/>
      <c r="I5876" s="48"/>
      <c r="J5876" s="48"/>
      <c r="L5876" s="65"/>
    </row>
    <row r="5877" spans="5:12">
      <c r="E5877" s="49">
        <v>45069.093749980355</v>
      </c>
      <c r="F5877" s="56">
        <v>0</v>
      </c>
      <c r="G5877" s="48"/>
      <c r="H5877" s="48"/>
      <c r="I5877" s="48"/>
      <c r="J5877" s="48"/>
      <c r="L5877" s="65"/>
    </row>
    <row r="5878" spans="5:12">
      <c r="E5878" s="49">
        <v>45069.097222202574</v>
      </c>
      <c r="F5878" s="56">
        <v>0</v>
      </c>
      <c r="G5878" s="48"/>
      <c r="H5878" s="48"/>
      <c r="I5878" s="48"/>
      <c r="J5878" s="48"/>
      <c r="L5878" s="65"/>
    </row>
    <row r="5879" spans="5:12">
      <c r="E5879" s="49">
        <v>45069.100694424793</v>
      </c>
      <c r="F5879" s="56">
        <v>0</v>
      </c>
      <c r="G5879" s="48"/>
      <c r="H5879" s="48"/>
      <c r="I5879" s="48"/>
      <c r="J5879" s="48"/>
      <c r="L5879" s="65"/>
    </row>
    <row r="5880" spans="5:12">
      <c r="E5880" s="49">
        <v>45069.104166647012</v>
      </c>
      <c r="F5880" s="56">
        <v>0</v>
      </c>
      <c r="G5880" s="48"/>
      <c r="H5880" s="48"/>
      <c r="I5880" s="48"/>
      <c r="J5880" s="48"/>
      <c r="L5880" s="65"/>
    </row>
    <row r="5881" spans="5:12">
      <c r="E5881" s="49">
        <v>45069.107638869231</v>
      </c>
      <c r="F5881" s="56">
        <v>0</v>
      </c>
      <c r="G5881" s="48"/>
      <c r="H5881" s="48"/>
      <c r="I5881" s="48"/>
      <c r="J5881" s="48"/>
      <c r="L5881" s="65"/>
    </row>
    <row r="5882" spans="5:12">
      <c r="E5882" s="49">
        <v>45069.11111109145</v>
      </c>
      <c r="F5882" s="56">
        <v>0</v>
      </c>
      <c r="G5882" s="48"/>
      <c r="H5882" s="48"/>
      <c r="I5882" s="48"/>
      <c r="J5882" s="48"/>
      <c r="L5882" s="65"/>
    </row>
    <row r="5883" spans="5:12">
      <c r="E5883" s="49">
        <v>45069.114583313669</v>
      </c>
      <c r="F5883" s="56">
        <v>0</v>
      </c>
      <c r="G5883" s="48"/>
      <c r="H5883" s="48"/>
      <c r="I5883" s="48"/>
      <c r="J5883" s="48"/>
      <c r="L5883" s="65"/>
    </row>
    <row r="5884" spans="5:12">
      <c r="E5884" s="49">
        <v>45069.118055535888</v>
      </c>
      <c r="F5884" s="56">
        <v>0</v>
      </c>
      <c r="G5884" s="48"/>
      <c r="H5884" s="48"/>
      <c r="I5884" s="48"/>
      <c r="J5884" s="48"/>
      <c r="L5884" s="65"/>
    </row>
    <row r="5885" spans="5:12">
      <c r="E5885" s="49">
        <v>45069.121527758107</v>
      </c>
      <c r="F5885" s="56">
        <v>0</v>
      </c>
      <c r="G5885" s="48"/>
      <c r="H5885" s="48"/>
      <c r="I5885" s="48"/>
      <c r="J5885" s="48"/>
      <c r="L5885" s="65"/>
    </row>
    <row r="5886" spans="5:12">
      <c r="E5886" s="49">
        <v>45069.124999980326</v>
      </c>
      <c r="F5886" s="56">
        <v>0</v>
      </c>
      <c r="G5886" s="48"/>
      <c r="H5886" s="48"/>
      <c r="I5886" s="48"/>
      <c r="J5886" s="48"/>
      <c r="L5886" s="65"/>
    </row>
    <row r="5887" spans="5:12">
      <c r="E5887" s="49">
        <v>45069.128472202545</v>
      </c>
      <c r="F5887" s="56">
        <v>0</v>
      </c>
      <c r="G5887" s="48"/>
      <c r="H5887" s="48"/>
      <c r="I5887" s="48"/>
      <c r="J5887" s="48"/>
      <c r="L5887" s="65"/>
    </row>
    <row r="5888" spans="5:12">
      <c r="E5888" s="49">
        <v>45069.131944424764</v>
      </c>
      <c r="F5888" s="56">
        <v>0</v>
      </c>
      <c r="G5888" s="48"/>
      <c r="H5888" s="48"/>
      <c r="I5888" s="48"/>
      <c r="J5888" s="48"/>
      <c r="L5888" s="65"/>
    </row>
    <row r="5889" spans="5:12">
      <c r="E5889" s="49">
        <v>45069.135416646983</v>
      </c>
      <c r="F5889" s="56">
        <v>0</v>
      </c>
      <c r="G5889" s="48"/>
      <c r="H5889" s="48"/>
      <c r="I5889" s="48"/>
      <c r="J5889" s="48"/>
      <c r="L5889" s="65"/>
    </row>
    <row r="5890" spans="5:12">
      <c r="E5890" s="49">
        <v>45069.138888869202</v>
      </c>
      <c r="F5890" s="56">
        <v>0</v>
      </c>
      <c r="G5890" s="48"/>
      <c r="H5890" s="48"/>
      <c r="I5890" s="48"/>
      <c r="J5890" s="48"/>
      <c r="L5890" s="65"/>
    </row>
    <row r="5891" spans="5:12">
      <c r="E5891" s="49">
        <v>45069.142361091421</v>
      </c>
      <c r="F5891" s="56">
        <v>0</v>
      </c>
      <c r="G5891" s="48"/>
      <c r="H5891" s="48"/>
      <c r="I5891" s="48"/>
      <c r="J5891" s="48"/>
      <c r="L5891" s="65"/>
    </row>
    <row r="5892" spans="5:12">
      <c r="E5892" s="49">
        <v>45069.14583331364</v>
      </c>
      <c r="F5892" s="56">
        <v>0</v>
      </c>
      <c r="G5892" s="48"/>
      <c r="H5892" s="48"/>
      <c r="I5892" s="48"/>
      <c r="J5892" s="48"/>
      <c r="L5892" s="65"/>
    </row>
    <row r="5893" spans="5:12">
      <c r="E5893" s="49">
        <v>45069.149305535859</v>
      </c>
      <c r="F5893" s="56">
        <v>0</v>
      </c>
      <c r="G5893" s="48"/>
      <c r="H5893" s="48"/>
      <c r="I5893" s="48"/>
      <c r="J5893" s="48"/>
      <c r="L5893" s="65"/>
    </row>
    <row r="5894" spans="5:12">
      <c r="E5894" s="49">
        <v>45069.152777758078</v>
      </c>
      <c r="F5894" s="56">
        <v>0</v>
      </c>
      <c r="G5894" s="48"/>
      <c r="H5894" s="48"/>
      <c r="I5894" s="48"/>
      <c r="J5894" s="48"/>
      <c r="L5894" s="65"/>
    </row>
    <row r="5895" spans="5:12">
      <c r="E5895" s="49">
        <v>45069.156249980297</v>
      </c>
      <c r="F5895" s="56">
        <v>0</v>
      </c>
      <c r="G5895" s="48"/>
      <c r="H5895" s="48"/>
      <c r="I5895" s="48"/>
      <c r="J5895" s="48"/>
      <c r="L5895" s="65"/>
    </row>
    <row r="5896" spans="5:12">
      <c r="E5896" s="49">
        <v>45069.159722202516</v>
      </c>
      <c r="F5896" s="56">
        <v>0</v>
      </c>
      <c r="G5896" s="48"/>
      <c r="H5896" s="48"/>
      <c r="I5896" s="48"/>
      <c r="J5896" s="48"/>
      <c r="L5896" s="65"/>
    </row>
    <row r="5897" spans="5:12">
      <c r="E5897" s="49">
        <v>45069.163194424735</v>
      </c>
      <c r="F5897" s="56">
        <v>0</v>
      </c>
      <c r="G5897" s="48"/>
      <c r="H5897" s="48"/>
      <c r="I5897" s="48"/>
      <c r="J5897" s="48"/>
      <c r="L5897" s="65"/>
    </row>
    <row r="5898" spans="5:12">
      <c r="E5898" s="49">
        <v>45069.166666646954</v>
      </c>
      <c r="F5898" s="56">
        <v>0</v>
      </c>
      <c r="G5898" s="48"/>
      <c r="H5898" s="48"/>
      <c r="I5898" s="48"/>
      <c r="J5898" s="48"/>
      <c r="L5898" s="65"/>
    </row>
    <row r="5899" spans="5:12">
      <c r="E5899" s="49">
        <v>45069.170138869173</v>
      </c>
      <c r="F5899" s="56">
        <v>0</v>
      </c>
      <c r="G5899" s="48"/>
      <c r="H5899" s="48"/>
      <c r="I5899" s="48"/>
      <c r="J5899" s="48"/>
      <c r="L5899" s="65"/>
    </row>
    <row r="5900" spans="5:12">
      <c r="E5900" s="49">
        <v>45069.173611091392</v>
      </c>
      <c r="F5900" s="56">
        <v>0</v>
      </c>
      <c r="G5900" s="48"/>
      <c r="H5900" s="48"/>
      <c r="I5900" s="48"/>
      <c r="J5900" s="48"/>
      <c r="L5900" s="65"/>
    </row>
    <row r="5901" spans="5:12">
      <c r="E5901" s="49">
        <v>45069.177083313611</v>
      </c>
      <c r="F5901" s="56">
        <v>0</v>
      </c>
      <c r="G5901" s="48"/>
      <c r="H5901" s="48"/>
      <c r="I5901" s="48"/>
      <c r="J5901" s="48"/>
      <c r="L5901" s="65"/>
    </row>
    <row r="5902" spans="5:12">
      <c r="E5902" s="49">
        <v>45069.18055553583</v>
      </c>
      <c r="F5902" s="56">
        <v>0</v>
      </c>
      <c r="G5902" s="48"/>
      <c r="H5902" s="48"/>
      <c r="I5902" s="48"/>
      <c r="J5902" s="48"/>
      <c r="L5902" s="65"/>
    </row>
    <row r="5903" spans="5:12">
      <c r="E5903" s="49">
        <v>45069.184027758049</v>
      </c>
      <c r="F5903" s="56">
        <v>0</v>
      </c>
      <c r="G5903" s="48"/>
      <c r="H5903" s="48"/>
      <c r="I5903" s="48"/>
      <c r="J5903" s="48"/>
      <c r="L5903" s="65"/>
    </row>
    <row r="5904" spans="5:12">
      <c r="E5904" s="49">
        <v>45069.187499980268</v>
      </c>
      <c r="F5904" s="56">
        <v>0</v>
      </c>
      <c r="G5904" s="48"/>
      <c r="H5904" s="48"/>
      <c r="I5904" s="48"/>
      <c r="J5904" s="48"/>
      <c r="L5904" s="65"/>
    </row>
    <row r="5905" spans="5:12">
      <c r="E5905" s="49">
        <v>45069.190972202487</v>
      </c>
      <c r="F5905" s="56">
        <v>0</v>
      </c>
      <c r="G5905" s="48"/>
      <c r="H5905" s="48"/>
      <c r="I5905" s="48"/>
      <c r="J5905" s="48"/>
      <c r="L5905" s="65"/>
    </row>
    <row r="5906" spans="5:12">
      <c r="E5906" s="49">
        <v>45069.194444424706</v>
      </c>
      <c r="F5906" s="56">
        <v>0</v>
      </c>
      <c r="G5906" s="48"/>
      <c r="H5906" s="48"/>
      <c r="I5906" s="48"/>
      <c r="J5906" s="48"/>
      <c r="L5906" s="65"/>
    </row>
    <row r="5907" spans="5:12">
      <c r="E5907" s="49">
        <v>45069.197916646925</v>
      </c>
      <c r="F5907" s="56">
        <v>0</v>
      </c>
      <c r="G5907" s="48"/>
      <c r="H5907" s="48"/>
      <c r="I5907" s="48"/>
      <c r="J5907" s="48"/>
      <c r="L5907" s="65"/>
    </row>
    <row r="5908" spans="5:12">
      <c r="E5908" s="49">
        <v>45069.201388869144</v>
      </c>
      <c r="F5908" s="56">
        <v>0</v>
      </c>
      <c r="G5908" s="48"/>
      <c r="H5908" s="48"/>
      <c r="I5908" s="48"/>
      <c r="J5908" s="48"/>
      <c r="L5908" s="65"/>
    </row>
    <row r="5909" spans="5:12">
      <c r="E5909" s="49">
        <v>45069.204861091363</v>
      </c>
      <c r="F5909" s="56">
        <v>0</v>
      </c>
      <c r="G5909" s="48"/>
      <c r="H5909" s="48"/>
      <c r="I5909" s="48"/>
      <c r="J5909" s="48"/>
      <c r="L5909" s="65"/>
    </row>
    <row r="5910" spans="5:12">
      <c r="E5910" s="49">
        <v>45069.208333313582</v>
      </c>
      <c r="F5910" s="56">
        <v>0</v>
      </c>
      <c r="G5910" s="48"/>
      <c r="H5910" s="48"/>
      <c r="I5910" s="48"/>
      <c r="J5910" s="48"/>
      <c r="L5910" s="65"/>
    </row>
    <row r="5911" spans="5:12">
      <c r="E5911" s="49">
        <v>45069.211805535801</v>
      </c>
      <c r="F5911" s="56">
        <v>0</v>
      </c>
      <c r="G5911" s="48"/>
      <c r="H5911" s="48"/>
      <c r="I5911" s="48"/>
      <c r="J5911" s="48"/>
      <c r="L5911" s="65"/>
    </row>
    <row r="5912" spans="5:12">
      <c r="E5912" s="49">
        <v>45069.21527775802</v>
      </c>
      <c r="F5912" s="56">
        <v>0</v>
      </c>
      <c r="G5912" s="48"/>
      <c r="H5912" s="48"/>
      <c r="I5912" s="48"/>
      <c r="J5912" s="48"/>
      <c r="L5912" s="65"/>
    </row>
    <row r="5913" spans="5:12">
      <c r="E5913" s="49">
        <v>45069.218749980238</v>
      </c>
      <c r="F5913" s="56">
        <v>0</v>
      </c>
      <c r="G5913" s="48"/>
      <c r="H5913" s="48"/>
      <c r="I5913" s="48"/>
      <c r="J5913" s="48"/>
      <c r="L5913" s="65"/>
    </row>
    <row r="5914" spans="5:12">
      <c r="E5914" s="49">
        <v>45069.222222202457</v>
      </c>
      <c r="F5914" s="56">
        <v>0</v>
      </c>
      <c r="G5914" s="48"/>
      <c r="H5914" s="48"/>
      <c r="I5914" s="48"/>
      <c r="J5914" s="48"/>
      <c r="L5914" s="65"/>
    </row>
    <row r="5915" spans="5:12">
      <c r="E5915" s="49">
        <v>45069.225694424676</v>
      </c>
      <c r="F5915" s="56">
        <v>0</v>
      </c>
      <c r="G5915" s="48"/>
      <c r="H5915" s="48"/>
      <c r="I5915" s="48"/>
      <c r="J5915" s="48"/>
      <c r="L5915" s="65"/>
    </row>
    <row r="5916" spans="5:12">
      <c r="E5916" s="49">
        <v>45069.229166646895</v>
      </c>
      <c r="F5916" s="56">
        <v>0</v>
      </c>
      <c r="G5916" s="48"/>
      <c r="H5916" s="48"/>
      <c r="I5916" s="48"/>
      <c r="J5916" s="48"/>
      <c r="L5916" s="65"/>
    </row>
    <row r="5917" spans="5:12">
      <c r="E5917" s="49">
        <v>45069.232638869114</v>
      </c>
      <c r="F5917" s="56">
        <v>0</v>
      </c>
      <c r="G5917" s="48"/>
      <c r="H5917" s="48"/>
      <c r="I5917" s="48"/>
      <c r="J5917" s="48"/>
      <c r="L5917" s="65"/>
    </row>
    <row r="5918" spans="5:12">
      <c r="E5918" s="49">
        <v>45069.236111091333</v>
      </c>
      <c r="F5918" s="56">
        <v>0</v>
      </c>
      <c r="G5918" s="48"/>
      <c r="H5918" s="48"/>
      <c r="I5918" s="48"/>
      <c r="J5918" s="48"/>
      <c r="L5918" s="65"/>
    </row>
    <row r="5919" spans="5:12">
      <c r="E5919" s="49">
        <v>45069.239583313552</v>
      </c>
      <c r="F5919" s="56">
        <v>0</v>
      </c>
      <c r="G5919" s="48"/>
      <c r="H5919" s="48"/>
      <c r="I5919" s="48"/>
      <c r="J5919" s="48"/>
      <c r="L5919" s="65"/>
    </row>
    <row r="5920" spans="5:12">
      <c r="E5920" s="49">
        <v>45069.243055535771</v>
      </c>
      <c r="F5920" s="56">
        <v>0</v>
      </c>
      <c r="G5920" s="48"/>
      <c r="H5920" s="48"/>
      <c r="I5920" s="48"/>
      <c r="J5920" s="48"/>
      <c r="L5920" s="65"/>
    </row>
    <row r="5921" spans="5:12">
      <c r="E5921" s="49">
        <v>45069.24652775799</v>
      </c>
      <c r="F5921" s="56">
        <v>0</v>
      </c>
      <c r="G5921" s="48"/>
      <c r="H5921" s="48"/>
      <c r="I5921" s="48"/>
      <c r="J5921" s="48"/>
      <c r="L5921" s="65"/>
    </row>
    <row r="5922" spans="5:12">
      <c r="E5922" s="49">
        <v>45069.249999980209</v>
      </c>
      <c r="F5922" s="56">
        <v>0</v>
      </c>
      <c r="G5922" s="48"/>
      <c r="H5922" s="48"/>
      <c r="I5922" s="48"/>
      <c r="J5922" s="48"/>
      <c r="L5922" s="65"/>
    </row>
    <row r="5923" spans="5:12">
      <c r="E5923" s="49">
        <v>45069.253472202428</v>
      </c>
      <c r="F5923" s="56">
        <v>0</v>
      </c>
      <c r="G5923" s="48"/>
      <c r="H5923" s="48"/>
      <c r="I5923" s="48"/>
      <c r="J5923" s="48"/>
      <c r="L5923" s="65"/>
    </row>
    <row r="5924" spans="5:12">
      <c r="E5924" s="49">
        <v>45069.256944424647</v>
      </c>
      <c r="F5924" s="56">
        <v>0</v>
      </c>
      <c r="G5924" s="48"/>
      <c r="H5924" s="48"/>
      <c r="I5924" s="48"/>
      <c r="J5924" s="48"/>
      <c r="L5924" s="65"/>
    </row>
    <row r="5925" spans="5:12">
      <c r="E5925" s="49">
        <v>45069.260416646866</v>
      </c>
      <c r="F5925" s="56">
        <v>0</v>
      </c>
      <c r="G5925" s="48"/>
      <c r="H5925" s="48"/>
      <c r="I5925" s="48"/>
      <c r="J5925" s="48"/>
      <c r="L5925" s="65"/>
    </row>
    <row r="5926" spans="5:12">
      <c r="E5926" s="49">
        <v>45069.263888869085</v>
      </c>
      <c r="F5926" s="56">
        <v>0</v>
      </c>
      <c r="G5926" s="48"/>
      <c r="H5926" s="48"/>
      <c r="I5926" s="48"/>
      <c r="J5926" s="48"/>
      <c r="L5926" s="65"/>
    </row>
    <row r="5927" spans="5:12">
      <c r="E5927" s="49">
        <v>45069.267361091304</v>
      </c>
      <c r="F5927" s="56">
        <v>0</v>
      </c>
      <c r="G5927" s="48"/>
      <c r="H5927" s="48"/>
      <c r="I5927" s="48"/>
      <c r="J5927" s="48"/>
      <c r="L5927" s="65"/>
    </row>
    <row r="5928" spans="5:12">
      <c r="E5928" s="49">
        <v>45069.270833313523</v>
      </c>
      <c r="F5928" s="56">
        <v>0</v>
      </c>
      <c r="G5928" s="48"/>
      <c r="H5928" s="48"/>
      <c r="I5928" s="48"/>
      <c r="J5928" s="48"/>
      <c r="L5928" s="65"/>
    </row>
    <row r="5929" spans="5:12">
      <c r="E5929" s="49">
        <v>45069.274305535742</v>
      </c>
      <c r="F5929" s="56">
        <v>0</v>
      </c>
      <c r="G5929" s="48"/>
      <c r="H5929" s="48"/>
      <c r="I5929" s="48"/>
      <c r="J5929" s="48"/>
      <c r="L5929" s="65"/>
    </row>
    <row r="5930" spans="5:12">
      <c r="E5930" s="49">
        <v>45069.277777757961</v>
      </c>
      <c r="F5930" s="56">
        <v>0</v>
      </c>
      <c r="G5930" s="48"/>
      <c r="H5930" s="48"/>
      <c r="I5930" s="48"/>
      <c r="J5930" s="48"/>
      <c r="L5930" s="65"/>
    </row>
    <row r="5931" spans="5:12">
      <c r="E5931" s="49">
        <v>45069.28124998018</v>
      </c>
      <c r="F5931" s="56">
        <v>0</v>
      </c>
      <c r="G5931" s="48"/>
      <c r="H5931" s="48"/>
      <c r="I5931" s="48"/>
      <c r="J5931" s="48"/>
      <c r="L5931" s="65"/>
    </row>
    <row r="5932" spans="5:12">
      <c r="E5932" s="49">
        <v>45069.284722202399</v>
      </c>
      <c r="F5932" s="56">
        <v>0</v>
      </c>
      <c r="G5932" s="48"/>
      <c r="H5932" s="48"/>
      <c r="I5932" s="48"/>
      <c r="J5932" s="48"/>
      <c r="L5932" s="65"/>
    </row>
    <row r="5933" spans="5:12">
      <c r="E5933" s="49">
        <v>45069.288194424618</v>
      </c>
      <c r="F5933" s="56">
        <v>0</v>
      </c>
      <c r="G5933" s="48"/>
      <c r="H5933" s="48"/>
      <c r="I5933" s="48"/>
      <c r="J5933" s="48"/>
      <c r="L5933" s="65"/>
    </row>
    <row r="5934" spans="5:12">
      <c r="E5934" s="49">
        <v>45069.291666646837</v>
      </c>
      <c r="F5934" s="56">
        <v>0</v>
      </c>
      <c r="G5934" s="48"/>
      <c r="H5934" s="48"/>
      <c r="I5934" s="48"/>
      <c r="J5934" s="48"/>
      <c r="L5934" s="65"/>
    </row>
    <row r="5935" spans="5:12">
      <c r="E5935" s="49">
        <v>45069.295138869056</v>
      </c>
      <c r="F5935" s="56">
        <v>0</v>
      </c>
      <c r="G5935" s="48"/>
      <c r="H5935" s="48"/>
      <c r="I5935" s="48"/>
      <c r="J5935" s="48"/>
      <c r="L5935" s="65"/>
    </row>
    <row r="5936" spans="5:12">
      <c r="E5936" s="49">
        <v>45069.298611091275</v>
      </c>
      <c r="F5936" s="56">
        <v>0</v>
      </c>
      <c r="G5936" s="48"/>
      <c r="H5936" s="48"/>
      <c r="I5936" s="48"/>
      <c r="J5936" s="48"/>
      <c r="L5936" s="65"/>
    </row>
    <row r="5937" spans="5:12">
      <c r="E5937" s="49">
        <v>45069.302083313494</v>
      </c>
      <c r="F5937" s="56">
        <v>0</v>
      </c>
      <c r="G5937" s="48"/>
      <c r="H5937" s="48"/>
      <c r="I5937" s="48"/>
      <c r="J5937" s="48"/>
      <c r="L5937" s="65"/>
    </row>
    <row r="5938" spans="5:12">
      <c r="E5938" s="49">
        <v>45069.305555535713</v>
      </c>
      <c r="F5938" s="56">
        <v>0</v>
      </c>
      <c r="G5938" s="48"/>
      <c r="H5938" s="48"/>
      <c r="I5938" s="48"/>
      <c r="J5938" s="48"/>
      <c r="L5938" s="65"/>
    </row>
    <row r="5939" spans="5:12">
      <c r="E5939" s="49">
        <v>45069.309027757932</v>
      </c>
      <c r="F5939" s="56">
        <v>0</v>
      </c>
      <c r="G5939" s="48"/>
      <c r="H5939" s="48"/>
      <c r="I5939" s="48"/>
      <c r="J5939" s="48"/>
      <c r="L5939" s="65"/>
    </row>
    <row r="5940" spans="5:12">
      <c r="E5940" s="49">
        <v>45069.312499980151</v>
      </c>
      <c r="F5940" s="56">
        <v>0</v>
      </c>
      <c r="G5940" s="48"/>
      <c r="H5940" s="48"/>
      <c r="I5940" s="48"/>
      <c r="J5940" s="48"/>
      <c r="L5940" s="65"/>
    </row>
    <row r="5941" spans="5:12">
      <c r="E5941" s="49">
        <v>45069.31597220237</v>
      </c>
      <c r="F5941" s="56">
        <v>0</v>
      </c>
      <c r="G5941" s="48"/>
      <c r="H5941" s="48"/>
      <c r="I5941" s="48"/>
      <c r="J5941" s="48"/>
      <c r="L5941" s="65"/>
    </row>
    <row r="5942" spans="5:12">
      <c r="E5942" s="49">
        <v>45069.319444424589</v>
      </c>
      <c r="F5942" s="56">
        <v>0</v>
      </c>
      <c r="G5942" s="48"/>
      <c r="H5942" s="48"/>
      <c r="I5942" s="48"/>
      <c r="J5942" s="48"/>
      <c r="L5942" s="65"/>
    </row>
    <row r="5943" spans="5:12">
      <c r="E5943" s="49">
        <v>45069.322916646808</v>
      </c>
      <c r="F5943" s="56">
        <v>0</v>
      </c>
      <c r="G5943" s="48"/>
      <c r="H5943" s="48"/>
      <c r="I5943" s="48"/>
      <c r="J5943" s="48"/>
      <c r="L5943" s="65"/>
    </row>
    <row r="5944" spans="5:12">
      <c r="E5944" s="49">
        <v>45069.326388869027</v>
      </c>
      <c r="F5944" s="56">
        <v>0</v>
      </c>
      <c r="G5944" s="48"/>
      <c r="H5944" s="48"/>
      <c r="I5944" s="48"/>
      <c r="J5944" s="48"/>
      <c r="L5944" s="65"/>
    </row>
    <row r="5945" spans="5:12">
      <c r="E5945" s="49">
        <v>45069.329861091246</v>
      </c>
      <c r="F5945" s="56">
        <v>0</v>
      </c>
      <c r="G5945" s="48"/>
      <c r="H5945" s="48"/>
      <c r="I5945" s="48"/>
      <c r="J5945" s="48"/>
      <c r="L5945" s="65"/>
    </row>
    <row r="5946" spans="5:12">
      <c r="E5946" s="49">
        <v>45069.333333313465</v>
      </c>
      <c r="F5946" s="56">
        <v>0</v>
      </c>
      <c r="G5946" s="48"/>
      <c r="H5946" s="48"/>
      <c r="I5946" s="48"/>
      <c r="J5946" s="48"/>
      <c r="L5946" s="65"/>
    </row>
    <row r="5947" spans="5:12">
      <c r="E5947" s="49">
        <v>45069.336805535684</v>
      </c>
      <c r="F5947" s="56">
        <v>0</v>
      </c>
      <c r="G5947" s="48"/>
      <c r="H5947" s="48"/>
      <c r="I5947" s="48"/>
      <c r="J5947" s="48"/>
      <c r="L5947" s="65"/>
    </row>
    <row r="5948" spans="5:12">
      <c r="E5948" s="49">
        <v>45069.340277757903</v>
      </c>
      <c r="F5948" s="56">
        <v>0</v>
      </c>
      <c r="G5948" s="48"/>
      <c r="H5948" s="48"/>
      <c r="I5948" s="48"/>
      <c r="J5948" s="48"/>
      <c r="L5948" s="65"/>
    </row>
    <row r="5949" spans="5:12">
      <c r="E5949" s="49">
        <v>45069.343749980122</v>
      </c>
      <c r="F5949" s="56">
        <v>0</v>
      </c>
      <c r="G5949" s="48"/>
      <c r="H5949" s="48"/>
      <c r="I5949" s="48"/>
      <c r="J5949" s="48"/>
      <c r="L5949" s="65"/>
    </row>
    <row r="5950" spans="5:12">
      <c r="E5950" s="49">
        <v>45069.347222202341</v>
      </c>
      <c r="F5950" s="56">
        <v>0</v>
      </c>
      <c r="G5950" s="48"/>
      <c r="H5950" s="48"/>
      <c r="I5950" s="48"/>
      <c r="J5950" s="48"/>
      <c r="L5950" s="65"/>
    </row>
    <row r="5951" spans="5:12">
      <c r="E5951" s="49">
        <v>45069.35069442456</v>
      </c>
      <c r="F5951" s="56">
        <v>0</v>
      </c>
      <c r="G5951" s="48"/>
      <c r="H5951" s="48"/>
      <c r="I5951" s="48"/>
      <c r="J5951" s="48"/>
      <c r="L5951" s="65"/>
    </row>
    <row r="5952" spans="5:12">
      <c r="E5952" s="49">
        <v>45069.354166646779</v>
      </c>
      <c r="F5952" s="56">
        <v>0</v>
      </c>
      <c r="G5952" s="48"/>
      <c r="H5952" s="48"/>
      <c r="I5952" s="48"/>
      <c r="J5952" s="48"/>
      <c r="L5952" s="65"/>
    </row>
    <row r="5953" spans="5:12">
      <c r="E5953" s="49">
        <v>45069.357638868998</v>
      </c>
      <c r="F5953" s="56">
        <v>0</v>
      </c>
      <c r="G5953" s="48"/>
      <c r="H5953" s="48"/>
      <c r="I5953" s="48"/>
      <c r="J5953" s="48"/>
      <c r="L5953" s="65"/>
    </row>
    <row r="5954" spans="5:12">
      <c r="E5954" s="49">
        <v>45069.361111091217</v>
      </c>
      <c r="F5954" s="56">
        <v>0</v>
      </c>
      <c r="G5954" s="48"/>
      <c r="H5954" s="48"/>
      <c r="I5954" s="48"/>
      <c r="J5954" s="48"/>
      <c r="L5954" s="65"/>
    </row>
    <row r="5955" spans="5:12">
      <c r="E5955" s="49">
        <v>45069.364583313436</v>
      </c>
      <c r="F5955" s="56">
        <v>0</v>
      </c>
      <c r="G5955" s="48"/>
      <c r="H5955" s="48"/>
      <c r="I5955" s="48"/>
      <c r="J5955" s="48"/>
      <c r="L5955" s="65"/>
    </row>
    <row r="5956" spans="5:12">
      <c r="E5956" s="49">
        <v>45069.368055535655</v>
      </c>
      <c r="F5956" s="56">
        <v>0</v>
      </c>
      <c r="G5956" s="48"/>
      <c r="H5956" s="48"/>
      <c r="I5956" s="48"/>
      <c r="J5956" s="48"/>
      <c r="L5956" s="65"/>
    </row>
    <row r="5957" spans="5:12">
      <c r="E5957" s="49">
        <v>45069.371527757874</v>
      </c>
      <c r="F5957" s="56">
        <v>0</v>
      </c>
      <c r="G5957" s="48"/>
      <c r="H5957" s="48"/>
      <c r="I5957" s="48"/>
      <c r="J5957" s="48"/>
      <c r="L5957" s="65"/>
    </row>
    <row r="5958" spans="5:12">
      <c r="E5958" s="49">
        <v>45069.374999980093</v>
      </c>
      <c r="F5958" s="56">
        <v>0</v>
      </c>
      <c r="G5958" s="48"/>
      <c r="H5958" s="48"/>
      <c r="I5958" s="48"/>
      <c r="J5958" s="48"/>
      <c r="L5958" s="65"/>
    </row>
    <row r="5959" spans="5:12">
      <c r="E5959" s="49">
        <v>45069.378472202312</v>
      </c>
      <c r="F5959" s="56">
        <v>0</v>
      </c>
      <c r="G5959" s="48"/>
      <c r="H5959" s="48"/>
      <c r="I5959" s="48"/>
      <c r="J5959" s="48"/>
      <c r="L5959" s="65"/>
    </row>
    <row r="5960" spans="5:12">
      <c r="E5960" s="49">
        <v>45069.381944424531</v>
      </c>
      <c r="F5960" s="56">
        <v>0</v>
      </c>
      <c r="G5960" s="48"/>
      <c r="H5960" s="48"/>
      <c r="I5960" s="48"/>
      <c r="J5960" s="48"/>
      <c r="L5960" s="65"/>
    </row>
    <row r="5961" spans="5:12">
      <c r="E5961" s="49">
        <v>45069.38541664675</v>
      </c>
      <c r="F5961" s="56">
        <v>0</v>
      </c>
      <c r="G5961" s="48"/>
      <c r="H5961" s="48"/>
      <c r="I5961" s="48"/>
      <c r="J5961" s="48"/>
      <c r="L5961" s="65"/>
    </row>
    <row r="5962" spans="5:12">
      <c r="E5962" s="49">
        <v>45069.388888868969</v>
      </c>
      <c r="F5962" s="56">
        <v>0</v>
      </c>
      <c r="G5962" s="48"/>
      <c r="H5962" s="48"/>
      <c r="I5962" s="48"/>
      <c r="J5962" s="48"/>
      <c r="L5962" s="65"/>
    </row>
    <row r="5963" spans="5:12">
      <c r="E5963" s="49">
        <v>45069.392361091188</v>
      </c>
      <c r="F5963" s="56">
        <v>0</v>
      </c>
      <c r="G5963" s="48"/>
      <c r="H5963" s="48"/>
      <c r="I5963" s="48"/>
      <c r="J5963" s="48"/>
      <c r="L5963" s="65"/>
    </row>
    <row r="5964" spans="5:12">
      <c r="E5964" s="49">
        <v>45069.395833313407</v>
      </c>
      <c r="F5964" s="56">
        <v>0</v>
      </c>
      <c r="G5964" s="48"/>
      <c r="H5964" s="48"/>
      <c r="I5964" s="48"/>
      <c r="J5964" s="48"/>
      <c r="L5964" s="65"/>
    </row>
    <row r="5965" spans="5:12">
      <c r="E5965" s="49">
        <v>45069.399305535626</v>
      </c>
      <c r="F5965" s="56">
        <v>0</v>
      </c>
      <c r="G5965" s="48"/>
      <c r="H5965" s="48"/>
      <c r="I5965" s="48"/>
      <c r="J5965" s="48"/>
      <c r="L5965" s="65"/>
    </row>
    <row r="5966" spans="5:12">
      <c r="E5966" s="49">
        <v>45069.402777757845</v>
      </c>
      <c r="F5966" s="56">
        <v>0</v>
      </c>
      <c r="G5966" s="48"/>
      <c r="H5966" s="48"/>
      <c r="I5966" s="48"/>
      <c r="J5966" s="48"/>
      <c r="L5966" s="65"/>
    </row>
    <row r="5967" spans="5:12">
      <c r="E5967" s="49">
        <v>45069.406249980064</v>
      </c>
      <c r="F5967" s="56">
        <v>0</v>
      </c>
      <c r="G5967" s="48"/>
      <c r="H5967" s="48"/>
      <c r="I5967" s="48"/>
      <c r="J5967" s="48"/>
      <c r="L5967" s="65"/>
    </row>
    <row r="5968" spans="5:12">
      <c r="E5968" s="49">
        <v>45069.409722202283</v>
      </c>
      <c r="F5968" s="56">
        <v>0</v>
      </c>
      <c r="G5968" s="48"/>
      <c r="H5968" s="48"/>
      <c r="I5968" s="48"/>
      <c r="J5968" s="48"/>
      <c r="L5968" s="65"/>
    </row>
    <row r="5969" spans="5:12">
      <c r="E5969" s="49">
        <v>45069.413194424502</v>
      </c>
      <c r="F5969" s="56">
        <v>0</v>
      </c>
      <c r="G5969" s="48"/>
      <c r="H5969" s="48"/>
      <c r="I5969" s="48"/>
      <c r="J5969" s="48"/>
      <c r="L5969" s="65"/>
    </row>
    <row r="5970" spans="5:12">
      <c r="E5970" s="49">
        <v>45069.416666646721</v>
      </c>
      <c r="F5970" s="56">
        <v>0</v>
      </c>
      <c r="G5970" s="48"/>
      <c r="H5970" s="48"/>
      <c r="I5970" s="48"/>
      <c r="J5970" s="48"/>
      <c r="L5970" s="65"/>
    </row>
    <row r="5971" spans="5:12">
      <c r="E5971" s="49">
        <v>45069.42013886894</v>
      </c>
      <c r="F5971" s="56">
        <v>0</v>
      </c>
      <c r="G5971" s="48"/>
      <c r="H5971" s="48"/>
      <c r="I5971" s="48"/>
      <c r="J5971" s="48"/>
      <c r="L5971" s="65"/>
    </row>
    <row r="5972" spans="5:12">
      <c r="E5972" s="49">
        <v>45069.423611091159</v>
      </c>
      <c r="F5972" s="56">
        <v>0</v>
      </c>
      <c r="G5972" s="48"/>
      <c r="H5972" s="48"/>
      <c r="I5972" s="48"/>
      <c r="J5972" s="48"/>
      <c r="L5972" s="65"/>
    </row>
    <row r="5973" spans="5:12">
      <c r="E5973" s="49">
        <v>45069.427083313378</v>
      </c>
      <c r="F5973" s="56">
        <v>0</v>
      </c>
      <c r="G5973" s="48"/>
      <c r="H5973" s="48"/>
      <c r="I5973" s="48"/>
      <c r="J5973" s="48"/>
      <c r="L5973" s="65"/>
    </row>
    <row r="5974" spans="5:12">
      <c r="E5974" s="49">
        <v>45069.430555535597</v>
      </c>
      <c r="F5974" s="56">
        <v>0</v>
      </c>
      <c r="G5974" s="48"/>
      <c r="H5974" s="48"/>
      <c r="I5974" s="48"/>
      <c r="J5974" s="48"/>
      <c r="L5974" s="65"/>
    </row>
    <row r="5975" spans="5:12">
      <c r="E5975" s="49">
        <v>45069.434027757816</v>
      </c>
      <c r="F5975" s="56">
        <v>0</v>
      </c>
      <c r="G5975" s="48"/>
      <c r="H5975" s="48"/>
      <c r="I5975" s="48"/>
      <c r="J5975" s="48"/>
      <c r="L5975" s="65"/>
    </row>
    <row r="5976" spans="5:12">
      <c r="E5976" s="49">
        <v>45069.437499980035</v>
      </c>
      <c r="F5976" s="56">
        <v>0</v>
      </c>
      <c r="G5976" s="48"/>
      <c r="H5976" s="48"/>
      <c r="I5976" s="48"/>
      <c r="J5976" s="48"/>
      <c r="L5976" s="65"/>
    </row>
    <row r="5977" spans="5:12">
      <c r="E5977" s="49">
        <v>45069.440972202254</v>
      </c>
      <c r="F5977" s="56">
        <v>0</v>
      </c>
      <c r="G5977" s="48"/>
      <c r="H5977" s="48"/>
      <c r="I5977" s="48"/>
      <c r="J5977" s="48"/>
      <c r="L5977" s="65"/>
    </row>
    <row r="5978" spans="5:12">
      <c r="E5978" s="49">
        <v>45069.444444424473</v>
      </c>
      <c r="F5978" s="56">
        <v>0</v>
      </c>
      <c r="G5978" s="48"/>
      <c r="H5978" s="48"/>
      <c r="I5978" s="48"/>
      <c r="J5978" s="48"/>
      <c r="L5978" s="65"/>
    </row>
    <row r="5979" spans="5:12">
      <c r="E5979" s="49">
        <v>45069.447916646692</v>
      </c>
      <c r="F5979" s="56">
        <v>0</v>
      </c>
      <c r="G5979" s="48"/>
      <c r="H5979" s="48"/>
      <c r="I5979" s="48"/>
      <c r="J5979" s="48"/>
      <c r="L5979" s="65"/>
    </row>
    <row r="5980" spans="5:12">
      <c r="E5980" s="49">
        <v>45069.451388868911</v>
      </c>
      <c r="F5980" s="56">
        <v>0</v>
      </c>
      <c r="G5980" s="48"/>
      <c r="H5980" s="48"/>
      <c r="I5980" s="48"/>
      <c r="J5980" s="48"/>
      <c r="L5980" s="65"/>
    </row>
    <row r="5981" spans="5:12">
      <c r="E5981" s="49">
        <v>45069.45486109113</v>
      </c>
      <c r="F5981" s="56">
        <v>0</v>
      </c>
      <c r="G5981" s="48"/>
      <c r="H5981" s="48"/>
      <c r="I5981" s="48"/>
      <c r="J5981" s="48"/>
      <c r="L5981" s="65"/>
    </row>
    <row r="5982" spans="5:12">
      <c r="E5982" s="49">
        <v>45069.458333313349</v>
      </c>
      <c r="F5982" s="56">
        <v>0</v>
      </c>
      <c r="G5982" s="48"/>
      <c r="H5982" s="48"/>
      <c r="I5982" s="48"/>
      <c r="J5982" s="48"/>
      <c r="L5982" s="65"/>
    </row>
    <row r="5983" spans="5:12">
      <c r="E5983" s="49">
        <v>45069.461805535568</v>
      </c>
      <c r="F5983" s="56">
        <v>0</v>
      </c>
      <c r="G5983" s="48"/>
      <c r="H5983" s="48"/>
      <c r="I5983" s="48"/>
      <c r="J5983" s="48"/>
      <c r="L5983" s="65"/>
    </row>
    <row r="5984" spans="5:12">
      <c r="E5984" s="49">
        <v>45069.465277757787</v>
      </c>
      <c r="F5984" s="56">
        <v>0</v>
      </c>
      <c r="G5984" s="48"/>
      <c r="H5984" s="48"/>
      <c r="I5984" s="48"/>
      <c r="J5984" s="48"/>
      <c r="L5984" s="65"/>
    </row>
    <row r="5985" spans="5:12">
      <c r="E5985" s="49">
        <v>45069.468749980006</v>
      </c>
      <c r="F5985" s="56">
        <v>0</v>
      </c>
      <c r="G5985" s="48"/>
      <c r="H5985" s="48"/>
      <c r="I5985" s="48"/>
      <c r="J5985" s="48"/>
      <c r="L5985" s="65"/>
    </row>
    <row r="5986" spans="5:12">
      <c r="E5986" s="49">
        <v>45069.472222202225</v>
      </c>
      <c r="F5986" s="56">
        <v>0</v>
      </c>
      <c r="G5986" s="48"/>
      <c r="H5986" s="48"/>
      <c r="I5986" s="48"/>
      <c r="J5986" s="48"/>
      <c r="L5986" s="65"/>
    </row>
    <row r="5987" spans="5:12">
      <c r="E5987" s="49">
        <v>45069.475694424444</v>
      </c>
      <c r="F5987" s="56">
        <v>0</v>
      </c>
      <c r="G5987" s="48"/>
      <c r="H5987" s="48"/>
      <c r="I5987" s="48"/>
      <c r="J5987" s="48"/>
      <c r="L5987" s="65"/>
    </row>
    <row r="5988" spans="5:12">
      <c r="E5988" s="49">
        <v>45069.479166646663</v>
      </c>
      <c r="F5988" s="56">
        <v>0</v>
      </c>
      <c r="G5988" s="48"/>
      <c r="H5988" s="48"/>
      <c r="I5988" s="48"/>
      <c r="J5988" s="48"/>
      <c r="L5988" s="65"/>
    </row>
    <row r="5989" spans="5:12">
      <c r="E5989" s="49">
        <v>45069.482638868882</v>
      </c>
      <c r="F5989" s="56">
        <v>0</v>
      </c>
      <c r="G5989" s="48"/>
      <c r="H5989" s="48"/>
      <c r="I5989" s="48"/>
      <c r="J5989" s="48"/>
      <c r="L5989" s="65"/>
    </row>
    <row r="5990" spans="5:12">
      <c r="E5990" s="49">
        <v>45069.486111091101</v>
      </c>
      <c r="F5990" s="56">
        <v>0</v>
      </c>
      <c r="G5990" s="48"/>
      <c r="H5990" s="48"/>
      <c r="I5990" s="48"/>
      <c r="J5990" s="48"/>
      <c r="L5990" s="65"/>
    </row>
    <row r="5991" spans="5:12">
      <c r="E5991" s="49">
        <v>45069.48958331332</v>
      </c>
      <c r="F5991" s="56">
        <v>0</v>
      </c>
      <c r="G5991" s="48"/>
      <c r="H5991" s="48"/>
      <c r="I5991" s="48"/>
      <c r="J5991" s="48"/>
      <c r="L5991" s="65"/>
    </row>
    <row r="5992" spans="5:12">
      <c r="E5992" s="49">
        <v>45069.493055535539</v>
      </c>
      <c r="F5992" s="56">
        <v>0</v>
      </c>
      <c r="G5992" s="48"/>
      <c r="H5992" s="48"/>
      <c r="I5992" s="48"/>
      <c r="J5992" s="48"/>
      <c r="L5992" s="65"/>
    </row>
    <row r="5993" spans="5:12">
      <c r="E5993" s="49">
        <v>45069.496527757758</v>
      </c>
      <c r="F5993" s="56">
        <v>0</v>
      </c>
      <c r="G5993" s="48"/>
      <c r="H5993" s="48"/>
      <c r="I5993" s="48"/>
      <c r="J5993" s="48"/>
      <c r="L5993" s="65"/>
    </row>
    <row r="5994" spans="5:12">
      <c r="E5994" s="49">
        <v>45069.499999979977</v>
      </c>
      <c r="F5994" s="56">
        <v>0</v>
      </c>
      <c r="G5994" s="48"/>
      <c r="H5994" s="48"/>
      <c r="I5994" s="48"/>
      <c r="J5994" s="48"/>
      <c r="L5994" s="65"/>
    </row>
    <row r="5995" spans="5:12">
      <c r="E5995" s="49">
        <v>45069.503472202196</v>
      </c>
      <c r="F5995" s="56">
        <v>0</v>
      </c>
      <c r="G5995" s="48"/>
      <c r="H5995" s="48"/>
      <c r="I5995" s="48"/>
      <c r="J5995" s="48"/>
      <c r="L5995" s="65"/>
    </row>
    <row r="5996" spans="5:12">
      <c r="E5996" s="49">
        <v>45069.506944424415</v>
      </c>
      <c r="F5996" s="56">
        <v>0</v>
      </c>
      <c r="G5996" s="48"/>
      <c r="H5996" s="48"/>
      <c r="I5996" s="48"/>
      <c r="J5996" s="48"/>
      <c r="L5996" s="65"/>
    </row>
    <row r="5997" spans="5:12">
      <c r="E5997" s="49">
        <v>45069.510416646634</v>
      </c>
      <c r="F5997" s="56">
        <v>0</v>
      </c>
      <c r="G5997" s="48"/>
      <c r="H5997" s="48"/>
      <c r="I5997" s="48"/>
      <c r="J5997" s="48"/>
      <c r="L5997" s="65"/>
    </row>
    <row r="5998" spans="5:12">
      <c r="E5998" s="49">
        <v>45069.513888868853</v>
      </c>
      <c r="F5998" s="56">
        <v>0</v>
      </c>
      <c r="G5998" s="48"/>
      <c r="H5998" s="48"/>
      <c r="I5998" s="48"/>
      <c r="J5998" s="48"/>
      <c r="L5998" s="65"/>
    </row>
    <row r="5999" spans="5:12">
      <c r="E5999" s="49">
        <v>45069.517361091072</v>
      </c>
      <c r="F5999" s="56">
        <v>0</v>
      </c>
      <c r="G5999" s="48"/>
      <c r="H5999" s="48"/>
      <c r="I5999" s="48"/>
      <c r="J5999" s="48"/>
      <c r="L5999" s="65"/>
    </row>
    <row r="6000" spans="5:12">
      <c r="E6000" s="49">
        <v>45069.52083331329</v>
      </c>
      <c r="F6000" s="56">
        <v>0</v>
      </c>
      <c r="G6000" s="48"/>
      <c r="H6000" s="48"/>
      <c r="I6000" s="48"/>
      <c r="J6000" s="48"/>
      <c r="L6000" s="65"/>
    </row>
    <row r="6001" spans="5:12">
      <c r="E6001" s="49">
        <v>45069.524305535509</v>
      </c>
      <c r="F6001" s="56">
        <v>0</v>
      </c>
      <c r="G6001" s="48"/>
      <c r="H6001" s="48"/>
      <c r="I6001" s="48"/>
      <c r="J6001" s="48"/>
      <c r="L6001" s="65"/>
    </row>
    <row r="6002" spans="5:12">
      <c r="E6002" s="49">
        <v>45069.527777757728</v>
      </c>
      <c r="F6002" s="56">
        <v>0</v>
      </c>
      <c r="G6002" s="48"/>
      <c r="H6002" s="48"/>
      <c r="I6002" s="48"/>
      <c r="J6002" s="48"/>
      <c r="L6002" s="65"/>
    </row>
    <row r="6003" spans="5:12">
      <c r="E6003" s="49">
        <v>45069.531249979947</v>
      </c>
      <c r="F6003" s="56">
        <v>0</v>
      </c>
      <c r="G6003" s="48"/>
      <c r="H6003" s="48"/>
      <c r="I6003" s="48"/>
      <c r="J6003" s="48"/>
      <c r="L6003" s="65"/>
    </row>
    <row r="6004" spans="5:12">
      <c r="E6004" s="49">
        <v>45069.534722202166</v>
      </c>
      <c r="F6004" s="56">
        <v>0</v>
      </c>
      <c r="G6004" s="48"/>
      <c r="H6004" s="48"/>
      <c r="I6004" s="48"/>
      <c r="J6004" s="48"/>
      <c r="L6004" s="65"/>
    </row>
    <row r="6005" spans="5:12">
      <c r="E6005" s="49">
        <v>45069.538194424385</v>
      </c>
      <c r="F6005" s="56">
        <v>0</v>
      </c>
      <c r="G6005" s="48"/>
      <c r="H6005" s="48"/>
      <c r="I6005" s="48"/>
      <c r="J6005" s="48"/>
      <c r="L6005" s="65"/>
    </row>
    <row r="6006" spans="5:12">
      <c r="E6006" s="49">
        <v>45069.541666646604</v>
      </c>
      <c r="F6006" s="56">
        <v>0</v>
      </c>
      <c r="G6006" s="48"/>
      <c r="H6006" s="48"/>
      <c r="I6006" s="48"/>
      <c r="J6006" s="48"/>
      <c r="L6006" s="65"/>
    </row>
    <row r="6007" spans="5:12">
      <c r="E6007" s="49">
        <v>45069.545138868823</v>
      </c>
      <c r="F6007" s="56">
        <v>0</v>
      </c>
      <c r="G6007" s="48"/>
      <c r="H6007" s="48"/>
      <c r="I6007" s="48"/>
      <c r="J6007" s="48"/>
      <c r="L6007" s="65"/>
    </row>
    <row r="6008" spans="5:12">
      <c r="E6008" s="49">
        <v>45069.548611091042</v>
      </c>
      <c r="F6008" s="56">
        <v>0</v>
      </c>
      <c r="G6008" s="48"/>
      <c r="H6008" s="48"/>
      <c r="I6008" s="48"/>
      <c r="J6008" s="48"/>
      <c r="L6008" s="65"/>
    </row>
    <row r="6009" spans="5:12">
      <c r="E6009" s="49">
        <v>45069.552083313261</v>
      </c>
      <c r="F6009" s="56">
        <v>0</v>
      </c>
      <c r="G6009" s="48"/>
      <c r="H6009" s="48"/>
      <c r="I6009" s="48"/>
      <c r="J6009" s="48"/>
      <c r="L6009" s="65"/>
    </row>
    <row r="6010" spans="5:12">
      <c r="E6010" s="49">
        <v>45069.55555553548</v>
      </c>
      <c r="F6010" s="56">
        <v>0</v>
      </c>
      <c r="G6010" s="48"/>
      <c r="H6010" s="48"/>
      <c r="I6010" s="48"/>
      <c r="J6010" s="48"/>
      <c r="L6010" s="65"/>
    </row>
    <row r="6011" spans="5:12">
      <c r="E6011" s="49">
        <v>45069.559027757699</v>
      </c>
      <c r="F6011" s="56">
        <v>0</v>
      </c>
      <c r="G6011" s="48"/>
      <c r="H6011" s="48"/>
      <c r="I6011" s="48"/>
      <c r="J6011" s="48"/>
      <c r="L6011" s="65"/>
    </row>
    <row r="6012" spans="5:12">
      <c r="E6012" s="49">
        <v>45069.562499979918</v>
      </c>
      <c r="F6012" s="56">
        <v>0</v>
      </c>
      <c r="G6012" s="48"/>
      <c r="H6012" s="48"/>
      <c r="I6012" s="48"/>
      <c r="J6012" s="48"/>
      <c r="L6012" s="65"/>
    </row>
    <row r="6013" spans="5:12">
      <c r="E6013" s="49">
        <v>45069.565972202137</v>
      </c>
      <c r="F6013" s="56">
        <v>0</v>
      </c>
      <c r="G6013" s="48"/>
      <c r="H6013" s="48"/>
      <c r="I6013" s="48"/>
      <c r="J6013" s="48"/>
      <c r="L6013" s="65"/>
    </row>
    <row r="6014" spans="5:12">
      <c r="E6014" s="49">
        <v>45069.569444424356</v>
      </c>
      <c r="F6014" s="56">
        <v>0</v>
      </c>
      <c r="G6014" s="48"/>
      <c r="H6014" s="48"/>
      <c r="I6014" s="48"/>
      <c r="J6014" s="48"/>
      <c r="L6014" s="65"/>
    </row>
    <row r="6015" spans="5:12">
      <c r="E6015" s="49">
        <v>45069.572916646575</v>
      </c>
      <c r="F6015" s="56">
        <v>0</v>
      </c>
      <c r="G6015" s="48"/>
      <c r="H6015" s="48"/>
      <c r="I6015" s="48"/>
      <c r="J6015" s="48"/>
      <c r="L6015" s="65"/>
    </row>
    <row r="6016" spans="5:12">
      <c r="E6016" s="49">
        <v>45069.576388868794</v>
      </c>
      <c r="F6016" s="56">
        <v>0</v>
      </c>
      <c r="G6016" s="48"/>
      <c r="H6016" s="48"/>
      <c r="I6016" s="48"/>
      <c r="J6016" s="48"/>
      <c r="L6016" s="65"/>
    </row>
    <row r="6017" spans="5:12">
      <c r="E6017" s="49">
        <v>45069.579861091013</v>
      </c>
      <c r="F6017" s="56">
        <v>0</v>
      </c>
      <c r="G6017" s="48"/>
      <c r="H6017" s="48"/>
      <c r="I6017" s="48"/>
      <c r="J6017" s="48"/>
      <c r="L6017" s="65"/>
    </row>
    <row r="6018" spans="5:12">
      <c r="E6018" s="49">
        <v>45069.583333313232</v>
      </c>
      <c r="F6018" s="56">
        <v>0</v>
      </c>
      <c r="G6018" s="48"/>
      <c r="H6018" s="48"/>
      <c r="I6018" s="48"/>
      <c r="J6018" s="48"/>
      <c r="L6018" s="65"/>
    </row>
    <row r="6019" spans="5:12">
      <c r="E6019" s="49">
        <v>45069.586805535451</v>
      </c>
      <c r="F6019" s="56">
        <v>0</v>
      </c>
      <c r="G6019" s="48"/>
      <c r="H6019" s="48"/>
      <c r="I6019" s="48"/>
      <c r="J6019" s="48"/>
      <c r="L6019" s="65"/>
    </row>
    <row r="6020" spans="5:12">
      <c r="E6020" s="49">
        <v>45069.59027775767</v>
      </c>
      <c r="F6020" s="56">
        <v>0</v>
      </c>
      <c r="G6020" s="48"/>
      <c r="H6020" s="48"/>
      <c r="I6020" s="48"/>
      <c r="J6020" s="48"/>
      <c r="L6020" s="65"/>
    </row>
    <row r="6021" spans="5:12">
      <c r="E6021" s="49">
        <v>45069.593749979889</v>
      </c>
      <c r="F6021" s="56">
        <v>0</v>
      </c>
      <c r="G6021" s="48"/>
      <c r="H6021" s="48"/>
      <c r="I6021" s="48"/>
      <c r="J6021" s="48"/>
      <c r="L6021" s="65"/>
    </row>
    <row r="6022" spans="5:12">
      <c r="E6022" s="49">
        <v>45069.597222202108</v>
      </c>
      <c r="F6022" s="56">
        <v>0</v>
      </c>
      <c r="G6022" s="48"/>
      <c r="H6022" s="48"/>
      <c r="I6022" s="48"/>
      <c r="J6022" s="48"/>
      <c r="L6022" s="65"/>
    </row>
    <row r="6023" spans="5:12">
      <c r="E6023" s="49">
        <v>45069.600694424327</v>
      </c>
      <c r="F6023" s="56">
        <v>0</v>
      </c>
      <c r="G6023" s="48"/>
      <c r="H6023" s="48"/>
      <c r="I6023" s="48"/>
      <c r="J6023" s="48"/>
      <c r="L6023" s="65"/>
    </row>
    <row r="6024" spans="5:12">
      <c r="E6024" s="49">
        <v>45069.604166646546</v>
      </c>
      <c r="F6024" s="56">
        <v>0</v>
      </c>
      <c r="G6024" s="48"/>
      <c r="H6024" s="48"/>
      <c r="I6024" s="48"/>
      <c r="J6024" s="48"/>
      <c r="L6024" s="65"/>
    </row>
    <row r="6025" spans="5:12">
      <c r="E6025" s="49">
        <v>45069.607638868765</v>
      </c>
      <c r="F6025" s="56">
        <v>0</v>
      </c>
      <c r="G6025" s="48"/>
      <c r="H6025" s="48"/>
      <c r="I6025" s="48"/>
      <c r="J6025" s="48"/>
      <c r="L6025" s="65"/>
    </row>
    <row r="6026" spans="5:12">
      <c r="E6026" s="49">
        <v>45069.611111090984</v>
      </c>
      <c r="F6026" s="56">
        <v>0</v>
      </c>
      <c r="G6026" s="48"/>
      <c r="H6026" s="48"/>
      <c r="I6026" s="48"/>
      <c r="J6026" s="48"/>
      <c r="L6026" s="65"/>
    </row>
    <row r="6027" spans="5:12">
      <c r="E6027" s="49">
        <v>45069.614583313203</v>
      </c>
      <c r="F6027" s="56">
        <v>0</v>
      </c>
      <c r="G6027" s="48"/>
      <c r="H6027" s="48"/>
      <c r="I6027" s="48"/>
      <c r="J6027" s="48"/>
      <c r="L6027" s="65"/>
    </row>
    <row r="6028" spans="5:12">
      <c r="E6028" s="49">
        <v>45069.618055535422</v>
      </c>
      <c r="F6028" s="56">
        <v>0</v>
      </c>
      <c r="G6028" s="48"/>
      <c r="H6028" s="48"/>
      <c r="I6028" s="48"/>
      <c r="J6028" s="48"/>
      <c r="L6028" s="65"/>
    </row>
    <row r="6029" spans="5:12">
      <c r="E6029" s="49">
        <v>45069.621527757641</v>
      </c>
      <c r="F6029" s="56">
        <v>0</v>
      </c>
      <c r="G6029" s="48"/>
      <c r="H6029" s="48"/>
      <c r="I6029" s="48"/>
      <c r="J6029" s="48"/>
      <c r="L6029" s="65"/>
    </row>
    <row r="6030" spans="5:12">
      <c r="E6030" s="49">
        <v>45069.62499997986</v>
      </c>
      <c r="F6030" s="56">
        <v>0</v>
      </c>
      <c r="G6030" s="48"/>
      <c r="H6030" s="48"/>
      <c r="I6030" s="48"/>
      <c r="J6030" s="48"/>
      <c r="L6030" s="65"/>
    </row>
    <row r="6031" spans="5:12">
      <c r="E6031" s="49">
        <v>45069.628472202079</v>
      </c>
      <c r="F6031" s="56">
        <v>0</v>
      </c>
      <c r="G6031" s="48"/>
      <c r="H6031" s="48"/>
      <c r="I6031" s="48"/>
      <c r="J6031" s="48"/>
      <c r="L6031" s="65"/>
    </row>
    <row r="6032" spans="5:12">
      <c r="E6032" s="49">
        <v>45069.631944424298</v>
      </c>
      <c r="F6032" s="56">
        <v>0</v>
      </c>
      <c r="G6032" s="48"/>
      <c r="H6032" s="48"/>
      <c r="I6032" s="48"/>
      <c r="J6032" s="48"/>
      <c r="L6032" s="65"/>
    </row>
    <row r="6033" spans="5:12">
      <c r="E6033" s="49">
        <v>45069.635416646517</v>
      </c>
      <c r="F6033" s="56">
        <v>0</v>
      </c>
      <c r="G6033" s="48"/>
      <c r="H6033" s="48"/>
      <c r="I6033" s="48"/>
      <c r="J6033" s="48"/>
      <c r="L6033" s="65"/>
    </row>
    <row r="6034" spans="5:12">
      <c r="E6034" s="49">
        <v>45069.638888868736</v>
      </c>
      <c r="F6034" s="56">
        <v>0</v>
      </c>
      <c r="G6034" s="48"/>
      <c r="H6034" s="48"/>
      <c r="I6034" s="48"/>
      <c r="J6034" s="48"/>
      <c r="L6034" s="65"/>
    </row>
    <row r="6035" spans="5:12">
      <c r="E6035" s="49">
        <v>45069.642361090955</v>
      </c>
      <c r="F6035" s="56">
        <v>0</v>
      </c>
      <c r="G6035" s="48"/>
      <c r="H6035" s="48"/>
      <c r="I6035" s="48"/>
      <c r="J6035" s="48"/>
      <c r="L6035" s="65"/>
    </row>
    <row r="6036" spans="5:12">
      <c r="E6036" s="49">
        <v>45069.645833313174</v>
      </c>
      <c r="F6036" s="56">
        <v>0</v>
      </c>
      <c r="G6036" s="48"/>
      <c r="H6036" s="48"/>
      <c r="I6036" s="48"/>
      <c r="J6036" s="48"/>
      <c r="L6036" s="65"/>
    </row>
    <row r="6037" spans="5:12">
      <c r="E6037" s="49">
        <v>45069.649305535393</v>
      </c>
      <c r="F6037" s="56">
        <v>0</v>
      </c>
      <c r="G6037" s="48"/>
      <c r="H6037" s="48"/>
      <c r="I6037" s="48"/>
      <c r="J6037" s="48"/>
      <c r="L6037" s="65"/>
    </row>
    <row r="6038" spans="5:12">
      <c r="E6038" s="49">
        <v>45069.652777757612</v>
      </c>
      <c r="F6038" s="56">
        <v>0</v>
      </c>
      <c r="G6038" s="48"/>
      <c r="H6038" s="48"/>
      <c r="I6038" s="48"/>
      <c r="J6038" s="48"/>
      <c r="L6038" s="65"/>
    </row>
    <row r="6039" spans="5:12">
      <c r="E6039" s="49">
        <v>45069.656249979831</v>
      </c>
      <c r="F6039" s="56">
        <v>0</v>
      </c>
      <c r="G6039" s="48"/>
      <c r="H6039" s="48"/>
      <c r="I6039" s="48"/>
      <c r="J6039" s="48"/>
      <c r="L6039" s="65"/>
    </row>
    <row r="6040" spans="5:12">
      <c r="E6040" s="49">
        <v>45069.65972220205</v>
      </c>
      <c r="F6040" s="56">
        <v>0</v>
      </c>
      <c r="G6040" s="48"/>
      <c r="H6040" s="48"/>
      <c r="I6040" s="48"/>
      <c r="J6040" s="48"/>
      <c r="L6040" s="65"/>
    </row>
    <row r="6041" spans="5:12">
      <c r="E6041" s="49">
        <v>45069.663194424269</v>
      </c>
      <c r="F6041" s="56">
        <v>0</v>
      </c>
      <c r="G6041" s="48"/>
      <c r="H6041" s="48"/>
      <c r="I6041" s="48"/>
      <c r="J6041" s="48"/>
      <c r="L6041" s="65"/>
    </row>
    <row r="6042" spans="5:12">
      <c r="E6042" s="49">
        <v>45069.666666646488</v>
      </c>
      <c r="F6042" s="56">
        <v>4.7306648116431163</v>
      </c>
      <c r="G6042" s="48"/>
      <c r="H6042" s="48"/>
      <c r="I6042" s="48"/>
      <c r="J6042" s="48"/>
      <c r="L6042" s="65"/>
    </row>
    <row r="6043" spans="5:12">
      <c r="E6043" s="49">
        <v>45069.670138868707</v>
      </c>
      <c r="F6043" s="56">
        <v>4.7306648116431163</v>
      </c>
      <c r="G6043" s="48"/>
      <c r="H6043" s="48"/>
      <c r="I6043" s="48"/>
      <c r="J6043" s="48"/>
      <c r="L6043" s="65"/>
    </row>
    <row r="6044" spans="5:12">
      <c r="E6044" s="49">
        <v>45069.673611090926</v>
      </c>
      <c r="F6044" s="56">
        <v>4.7306648116431163</v>
      </c>
      <c r="G6044" s="48"/>
      <c r="H6044" s="48"/>
      <c r="I6044" s="48"/>
      <c r="J6044" s="48"/>
      <c r="L6044" s="65"/>
    </row>
    <row r="6045" spans="5:12">
      <c r="E6045" s="49">
        <v>45069.677083313145</v>
      </c>
      <c r="F6045" s="56">
        <v>4.7306648116431163</v>
      </c>
      <c r="G6045" s="48"/>
      <c r="H6045" s="48"/>
      <c r="I6045" s="48"/>
      <c r="J6045" s="48"/>
      <c r="L6045" s="65"/>
    </row>
    <row r="6046" spans="5:12">
      <c r="E6046" s="49">
        <v>45069.680555535364</v>
      </c>
      <c r="F6046" s="56">
        <v>4.7306648116431163</v>
      </c>
      <c r="G6046" s="48"/>
      <c r="H6046" s="48"/>
      <c r="I6046" s="48"/>
      <c r="J6046" s="48"/>
      <c r="L6046" s="65"/>
    </row>
    <row r="6047" spans="5:12">
      <c r="E6047" s="49">
        <v>45069.684027757583</v>
      </c>
      <c r="F6047" s="56">
        <v>4.7306648116431163</v>
      </c>
      <c r="G6047" s="48"/>
      <c r="H6047" s="48"/>
      <c r="I6047" s="48"/>
      <c r="J6047" s="48"/>
      <c r="L6047" s="65"/>
    </row>
    <row r="6048" spans="5:12">
      <c r="E6048" s="49">
        <v>45069.687499979802</v>
      </c>
      <c r="F6048" s="56">
        <v>4.7306648116431163</v>
      </c>
      <c r="G6048" s="48"/>
      <c r="H6048" s="48"/>
      <c r="I6048" s="48"/>
      <c r="J6048" s="48"/>
      <c r="L6048" s="65"/>
    </row>
    <row r="6049" spans="5:12">
      <c r="E6049" s="49">
        <v>45069.690972202021</v>
      </c>
      <c r="F6049" s="56">
        <v>4.7306648116431163</v>
      </c>
      <c r="G6049" s="48"/>
      <c r="H6049" s="48"/>
      <c r="I6049" s="48"/>
      <c r="J6049" s="48"/>
      <c r="L6049" s="65"/>
    </row>
    <row r="6050" spans="5:12">
      <c r="E6050" s="49">
        <v>45069.69444442424</v>
      </c>
      <c r="F6050" s="56">
        <v>4.7306648116431163</v>
      </c>
      <c r="G6050" s="48"/>
      <c r="H6050" s="48"/>
      <c r="I6050" s="48"/>
      <c r="J6050" s="48"/>
      <c r="L6050" s="65"/>
    </row>
    <row r="6051" spans="5:12">
      <c r="E6051" s="49">
        <v>45069.697916646459</v>
      </c>
      <c r="F6051" s="56">
        <v>4.7306648116431163</v>
      </c>
      <c r="G6051" s="48"/>
      <c r="H6051" s="48"/>
      <c r="I6051" s="48"/>
      <c r="J6051" s="48"/>
      <c r="L6051" s="65"/>
    </row>
    <row r="6052" spans="5:12">
      <c r="E6052" s="49">
        <v>45069.701388868678</v>
      </c>
      <c r="F6052" s="56">
        <v>4.7306648116431163</v>
      </c>
      <c r="G6052" s="48"/>
      <c r="H6052" s="48"/>
      <c r="I6052" s="48"/>
      <c r="J6052" s="48"/>
      <c r="L6052" s="65"/>
    </row>
    <row r="6053" spans="5:12">
      <c r="E6053" s="49">
        <v>45069.704861090897</v>
      </c>
      <c r="F6053" s="56">
        <v>4.7306648116431163</v>
      </c>
      <c r="G6053" s="48"/>
      <c r="H6053" s="48"/>
      <c r="I6053" s="48"/>
      <c r="J6053" s="48"/>
      <c r="L6053" s="65"/>
    </row>
    <row r="6054" spans="5:12">
      <c r="E6054" s="49">
        <v>45069.708333313116</v>
      </c>
      <c r="F6054" s="56">
        <v>4.7306648116431163</v>
      </c>
      <c r="G6054" s="48"/>
      <c r="H6054" s="48"/>
      <c r="I6054" s="48"/>
      <c r="J6054" s="48"/>
      <c r="L6054" s="65"/>
    </row>
    <row r="6055" spans="5:12">
      <c r="E6055" s="49">
        <v>45069.711805535335</v>
      </c>
      <c r="F6055" s="56">
        <v>4.7306648116431163</v>
      </c>
      <c r="G6055" s="48"/>
      <c r="H6055" s="48"/>
      <c r="I6055" s="48"/>
      <c r="J6055" s="48"/>
      <c r="L6055" s="65"/>
    </row>
    <row r="6056" spans="5:12">
      <c r="E6056" s="49">
        <v>45069.715277757554</v>
      </c>
      <c r="F6056" s="56">
        <v>4.7306648116431163</v>
      </c>
      <c r="G6056" s="48"/>
      <c r="H6056" s="48"/>
      <c r="I6056" s="48"/>
      <c r="J6056" s="48"/>
      <c r="L6056" s="65"/>
    </row>
    <row r="6057" spans="5:12">
      <c r="E6057" s="49">
        <v>45069.718749979773</v>
      </c>
      <c r="F6057" s="56">
        <v>4.7306648116431163</v>
      </c>
      <c r="G6057" s="48"/>
      <c r="H6057" s="48"/>
      <c r="I6057" s="48"/>
      <c r="J6057" s="48"/>
      <c r="L6057" s="65"/>
    </row>
    <row r="6058" spans="5:12">
      <c r="E6058" s="49">
        <v>45069.722222201992</v>
      </c>
      <c r="F6058" s="56">
        <v>4.7306648116431163</v>
      </c>
      <c r="G6058" s="48"/>
      <c r="H6058" s="48"/>
      <c r="I6058" s="48"/>
      <c r="J6058" s="48"/>
      <c r="L6058" s="65"/>
    </row>
    <row r="6059" spans="5:12">
      <c r="E6059" s="49">
        <v>45069.725694424211</v>
      </c>
      <c r="F6059" s="56">
        <v>4.7306648116431163</v>
      </c>
      <c r="G6059" s="48"/>
      <c r="H6059" s="48"/>
      <c r="I6059" s="48"/>
      <c r="J6059" s="48"/>
      <c r="L6059" s="65"/>
    </row>
    <row r="6060" spans="5:12">
      <c r="E6060" s="49">
        <v>45069.72916664643</v>
      </c>
      <c r="F6060" s="56">
        <v>4.7306648116431163</v>
      </c>
      <c r="G6060" s="48"/>
      <c r="H6060" s="48"/>
      <c r="I6060" s="48"/>
      <c r="J6060" s="48"/>
      <c r="L6060" s="65"/>
    </row>
    <row r="6061" spans="5:12">
      <c r="E6061" s="49">
        <v>45069.732638868649</v>
      </c>
      <c r="F6061" s="56">
        <v>4.7306648116431163</v>
      </c>
      <c r="G6061" s="48"/>
      <c r="H6061" s="48"/>
      <c r="I6061" s="48"/>
      <c r="J6061" s="48"/>
      <c r="L6061" s="65"/>
    </row>
    <row r="6062" spans="5:12">
      <c r="E6062" s="49">
        <v>45069.736111090868</v>
      </c>
      <c r="F6062" s="56">
        <v>4.7306648116431163</v>
      </c>
      <c r="G6062" s="48"/>
      <c r="H6062" s="48"/>
      <c r="I6062" s="48"/>
      <c r="J6062" s="48"/>
      <c r="L6062" s="65"/>
    </row>
    <row r="6063" spans="5:12">
      <c r="E6063" s="49">
        <v>45069.739583313087</v>
      </c>
      <c r="F6063" s="56">
        <v>4.7306648116431163</v>
      </c>
      <c r="G6063" s="48"/>
      <c r="H6063" s="48"/>
      <c r="I6063" s="48"/>
      <c r="J6063" s="48"/>
      <c r="L6063" s="65"/>
    </row>
    <row r="6064" spans="5:12">
      <c r="E6064" s="49">
        <v>45069.743055535306</v>
      </c>
      <c r="F6064" s="56">
        <v>4.7306648116431163</v>
      </c>
      <c r="G6064" s="48"/>
      <c r="H6064" s="48"/>
      <c r="I6064" s="48"/>
      <c r="J6064" s="48"/>
      <c r="L6064" s="65"/>
    </row>
    <row r="6065" spans="5:12">
      <c r="E6065" s="49">
        <v>45069.746527757525</v>
      </c>
      <c r="F6065" s="56">
        <v>4.7306648116431163</v>
      </c>
      <c r="G6065" s="48"/>
      <c r="H6065" s="48"/>
      <c r="I6065" s="48"/>
      <c r="J6065" s="48"/>
      <c r="L6065" s="65"/>
    </row>
    <row r="6066" spans="5:12">
      <c r="E6066" s="49">
        <v>45069.749999979744</v>
      </c>
      <c r="F6066" s="56">
        <v>4.7306648116431163</v>
      </c>
      <c r="G6066" s="48"/>
      <c r="H6066" s="48"/>
      <c r="I6066" s="48"/>
      <c r="J6066" s="48"/>
      <c r="L6066" s="65"/>
    </row>
    <row r="6067" spans="5:12">
      <c r="E6067" s="49">
        <v>45069.753472201963</v>
      </c>
      <c r="F6067" s="56">
        <v>4.7306648116431163</v>
      </c>
      <c r="G6067" s="48"/>
      <c r="H6067" s="48"/>
      <c r="I6067" s="48"/>
      <c r="J6067" s="48"/>
      <c r="L6067" s="65"/>
    </row>
    <row r="6068" spans="5:12">
      <c r="E6068" s="49">
        <v>45069.756944424182</v>
      </c>
      <c r="F6068" s="56">
        <v>4.7306648116431163</v>
      </c>
      <c r="G6068" s="48"/>
      <c r="H6068" s="48"/>
      <c r="I6068" s="48"/>
      <c r="J6068" s="48"/>
      <c r="L6068" s="65"/>
    </row>
    <row r="6069" spans="5:12">
      <c r="E6069" s="49">
        <v>45069.760416646401</v>
      </c>
      <c r="F6069" s="56">
        <v>4.7306648116431163</v>
      </c>
      <c r="G6069" s="48"/>
      <c r="H6069" s="48"/>
      <c r="I6069" s="48"/>
      <c r="J6069" s="48"/>
      <c r="L6069" s="65"/>
    </row>
    <row r="6070" spans="5:12">
      <c r="E6070" s="49">
        <v>45069.76388886862</v>
      </c>
      <c r="F6070" s="56">
        <v>4.7306648116431163</v>
      </c>
      <c r="G6070" s="48"/>
      <c r="H6070" s="48"/>
      <c r="I6070" s="48"/>
      <c r="J6070" s="48"/>
      <c r="L6070" s="65"/>
    </row>
    <row r="6071" spans="5:12">
      <c r="E6071" s="49">
        <v>45069.767361090839</v>
      </c>
      <c r="F6071" s="56">
        <v>4.7306648116431163</v>
      </c>
      <c r="G6071" s="48"/>
      <c r="H6071" s="48"/>
      <c r="I6071" s="48"/>
      <c r="J6071" s="48"/>
      <c r="L6071" s="65"/>
    </row>
    <row r="6072" spans="5:12">
      <c r="E6072" s="49">
        <v>45069.770833313058</v>
      </c>
      <c r="F6072" s="56">
        <v>4.7306648116431163</v>
      </c>
      <c r="G6072" s="48"/>
      <c r="H6072" s="48"/>
      <c r="I6072" s="48"/>
      <c r="J6072" s="48"/>
      <c r="L6072" s="65"/>
    </row>
    <row r="6073" spans="5:12">
      <c r="E6073" s="49">
        <v>45069.774305535277</v>
      </c>
      <c r="F6073" s="56">
        <v>4.7306648116431163</v>
      </c>
      <c r="G6073" s="48"/>
      <c r="H6073" s="48"/>
      <c r="I6073" s="48"/>
      <c r="J6073" s="48"/>
      <c r="L6073" s="65"/>
    </row>
    <row r="6074" spans="5:12">
      <c r="E6074" s="49">
        <v>45069.777777757496</v>
      </c>
      <c r="F6074" s="56">
        <v>4.7306648116431163</v>
      </c>
      <c r="G6074" s="48"/>
      <c r="H6074" s="48"/>
      <c r="I6074" s="48"/>
      <c r="J6074" s="48"/>
      <c r="L6074" s="65"/>
    </row>
    <row r="6075" spans="5:12">
      <c r="E6075" s="49">
        <v>45069.781249979715</v>
      </c>
      <c r="F6075" s="56">
        <v>4.7306648116431163</v>
      </c>
      <c r="G6075" s="48"/>
      <c r="H6075" s="48"/>
      <c r="I6075" s="48"/>
      <c r="J6075" s="48"/>
      <c r="L6075" s="65"/>
    </row>
    <row r="6076" spans="5:12">
      <c r="E6076" s="49">
        <v>45069.784722201934</v>
      </c>
      <c r="F6076" s="56">
        <v>4.7306648116431163</v>
      </c>
      <c r="G6076" s="48"/>
      <c r="H6076" s="48"/>
      <c r="I6076" s="48"/>
      <c r="J6076" s="48"/>
      <c r="L6076" s="65"/>
    </row>
    <row r="6077" spans="5:12">
      <c r="E6077" s="49">
        <v>45069.788194424153</v>
      </c>
      <c r="F6077" s="56">
        <v>4.7306648116431163</v>
      </c>
      <c r="G6077" s="48"/>
      <c r="H6077" s="48"/>
      <c r="I6077" s="48"/>
      <c r="J6077" s="48"/>
      <c r="L6077" s="65"/>
    </row>
    <row r="6078" spans="5:12">
      <c r="E6078" s="49">
        <v>45069.791666646372</v>
      </c>
      <c r="F6078" s="56">
        <v>4.7306648116431163</v>
      </c>
      <c r="G6078" s="48"/>
      <c r="H6078" s="48"/>
      <c r="I6078" s="48"/>
      <c r="J6078" s="48"/>
      <c r="L6078" s="65"/>
    </row>
    <row r="6079" spans="5:12">
      <c r="E6079" s="49">
        <v>45069.795138868591</v>
      </c>
      <c r="F6079" s="56">
        <v>4.7306648116431163</v>
      </c>
      <c r="G6079" s="48"/>
      <c r="H6079" s="48"/>
      <c r="I6079" s="48"/>
      <c r="J6079" s="48"/>
      <c r="L6079" s="65"/>
    </row>
    <row r="6080" spans="5:12">
      <c r="E6080" s="49">
        <v>45069.79861109081</v>
      </c>
      <c r="F6080" s="56">
        <v>4.7306648116431163</v>
      </c>
      <c r="G6080" s="48"/>
      <c r="H6080" s="48"/>
      <c r="I6080" s="48"/>
      <c r="J6080" s="48"/>
      <c r="L6080" s="65"/>
    </row>
    <row r="6081" spans="5:12">
      <c r="E6081" s="49">
        <v>45069.802083313029</v>
      </c>
      <c r="F6081" s="56">
        <v>4.7306648116431163</v>
      </c>
      <c r="G6081" s="48"/>
      <c r="H6081" s="48"/>
      <c r="I6081" s="48"/>
      <c r="J6081" s="48"/>
      <c r="L6081" s="65"/>
    </row>
    <row r="6082" spans="5:12">
      <c r="E6082" s="49">
        <v>45069.805555535248</v>
      </c>
      <c r="F6082" s="56">
        <v>4.7306648116431163</v>
      </c>
      <c r="G6082" s="48"/>
      <c r="H6082" s="48"/>
      <c r="I6082" s="48"/>
      <c r="J6082" s="48"/>
      <c r="L6082" s="65"/>
    </row>
    <row r="6083" spans="5:12">
      <c r="E6083" s="49">
        <v>45069.809027757467</v>
      </c>
      <c r="F6083" s="56">
        <v>4.7306648116431163</v>
      </c>
      <c r="G6083" s="48"/>
      <c r="H6083" s="48"/>
      <c r="I6083" s="48"/>
      <c r="J6083" s="48"/>
      <c r="L6083" s="65"/>
    </row>
    <row r="6084" spans="5:12">
      <c r="E6084" s="49">
        <v>45069.812499979686</v>
      </c>
      <c r="F6084" s="56">
        <v>4.7306648116431163</v>
      </c>
      <c r="G6084" s="48"/>
      <c r="H6084" s="48"/>
      <c r="I6084" s="48"/>
      <c r="J6084" s="48"/>
      <c r="L6084" s="65"/>
    </row>
    <row r="6085" spans="5:12">
      <c r="E6085" s="49">
        <v>45069.815972201905</v>
      </c>
      <c r="F6085" s="56">
        <v>4.7306648116431163</v>
      </c>
      <c r="G6085" s="48"/>
      <c r="H6085" s="48"/>
      <c r="I6085" s="48"/>
      <c r="J6085" s="48"/>
      <c r="L6085" s="65"/>
    </row>
    <row r="6086" spans="5:12">
      <c r="E6086" s="49">
        <v>45069.819444424124</v>
      </c>
      <c r="F6086" s="56">
        <v>4.7306648116431163</v>
      </c>
      <c r="G6086" s="48"/>
      <c r="H6086" s="48"/>
      <c r="I6086" s="48"/>
      <c r="J6086" s="48"/>
      <c r="L6086" s="65"/>
    </row>
    <row r="6087" spans="5:12">
      <c r="E6087" s="49">
        <v>45069.822916646342</v>
      </c>
      <c r="F6087" s="56">
        <v>4.7306648116431163</v>
      </c>
      <c r="G6087" s="48"/>
      <c r="H6087" s="48"/>
      <c r="I6087" s="48"/>
      <c r="J6087" s="48"/>
      <c r="L6087" s="65"/>
    </row>
    <row r="6088" spans="5:12">
      <c r="E6088" s="49">
        <v>45069.826388868561</v>
      </c>
      <c r="F6088" s="56">
        <v>4.7306648116431163</v>
      </c>
      <c r="G6088" s="48"/>
      <c r="H6088" s="48"/>
      <c r="I6088" s="48"/>
      <c r="J6088" s="48"/>
      <c r="L6088" s="65"/>
    </row>
    <row r="6089" spans="5:12">
      <c r="E6089" s="49">
        <v>45069.82986109078</v>
      </c>
      <c r="F6089" s="56">
        <v>4.7306648116431163</v>
      </c>
      <c r="G6089" s="48"/>
      <c r="H6089" s="48"/>
      <c r="I6089" s="48"/>
      <c r="J6089" s="48"/>
      <c r="L6089" s="65"/>
    </row>
    <row r="6090" spans="5:12">
      <c r="E6090" s="49">
        <v>45069.833333312999</v>
      </c>
      <c r="F6090" s="56">
        <v>4.7306648116431163</v>
      </c>
      <c r="G6090" s="48"/>
      <c r="H6090" s="48"/>
      <c r="I6090" s="48"/>
      <c r="J6090" s="48"/>
      <c r="L6090" s="65"/>
    </row>
    <row r="6091" spans="5:12">
      <c r="E6091" s="49">
        <v>45069.836805535218</v>
      </c>
      <c r="F6091" s="56">
        <v>4.7306648116431163</v>
      </c>
      <c r="G6091" s="48"/>
      <c r="H6091" s="48"/>
      <c r="I6091" s="48"/>
      <c r="J6091" s="48"/>
      <c r="L6091" s="65"/>
    </row>
    <row r="6092" spans="5:12">
      <c r="E6092" s="49">
        <v>45069.840277757437</v>
      </c>
      <c r="F6092" s="56">
        <v>4.7306648116431163</v>
      </c>
      <c r="G6092" s="48"/>
      <c r="H6092" s="48"/>
      <c r="I6092" s="48"/>
      <c r="J6092" s="48"/>
      <c r="L6092" s="65"/>
    </row>
    <row r="6093" spans="5:12">
      <c r="E6093" s="49">
        <v>45069.843749979656</v>
      </c>
      <c r="F6093" s="56">
        <v>4.7306648116431163</v>
      </c>
      <c r="G6093" s="48"/>
      <c r="H6093" s="48"/>
      <c r="I6093" s="48"/>
      <c r="J6093" s="48"/>
      <c r="L6093" s="65"/>
    </row>
    <row r="6094" spans="5:12">
      <c r="E6094" s="49">
        <v>45069.847222201875</v>
      </c>
      <c r="F6094" s="56">
        <v>4.7306648116431163</v>
      </c>
      <c r="G6094" s="48"/>
      <c r="H6094" s="48"/>
      <c r="I6094" s="48"/>
      <c r="J6094" s="48"/>
      <c r="L6094" s="65"/>
    </row>
    <row r="6095" spans="5:12">
      <c r="E6095" s="49">
        <v>45069.850694424094</v>
      </c>
      <c r="F6095" s="56">
        <v>4.7306648116431163</v>
      </c>
      <c r="G6095" s="48"/>
      <c r="H6095" s="48"/>
      <c r="I6095" s="48"/>
      <c r="J6095" s="48"/>
      <c r="L6095" s="65"/>
    </row>
    <row r="6096" spans="5:12">
      <c r="E6096" s="49">
        <v>45069.854166646313</v>
      </c>
      <c r="F6096" s="56">
        <v>4.7306648116431163</v>
      </c>
      <c r="G6096" s="48"/>
      <c r="H6096" s="48"/>
      <c r="I6096" s="48"/>
      <c r="J6096" s="48"/>
      <c r="L6096" s="65"/>
    </row>
    <row r="6097" spans="5:12">
      <c r="E6097" s="49">
        <v>45069.857638868532</v>
      </c>
      <c r="F6097" s="56">
        <v>4.7306648116431163</v>
      </c>
      <c r="G6097" s="48"/>
      <c r="H6097" s="48"/>
      <c r="I6097" s="48"/>
      <c r="J6097" s="48"/>
      <c r="L6097" s="65"/>
    </row>
    <row r="6098" spans="5:12">
      <c r="E6098" s="49">
        <v>45069.861111090751</v>
      </c>
      <c r="F6098" s="56">
        <v>4.7306648116431163</v>
      </c>
      <c r="G6098" s="48"/>
      <c r="H6098" s="48"/>
      <c r="I6098" s="48"/>
      <c r="J6098" s="48"/>
      <c r="L6098" s="65"/>
    </row>
    <row r="6099" spans="5:12">
      <c r="E6099" s="49">
        <v>45069.86458331297</v>
      </c>
      <c r="F6099" s="56">
        <v>4.7306648116431163</v>
      </c>
      <c r="G6099" s="48"/>
      <c r="H6099" s="48"/>
      <c r="I6099" s="48"/>
      <c r="J6099" s="48"/>
      <c r="L6099" s="65"/>
    </row>
    <row r="6100" spans="5:12">
      <c r="E6100" s="49">
        <v>45069.868055535189</v>
      </c>
      <c r="F6100" s="56">
        <v>4.7306648116431163</v>
      </c>
      <c r="G6100" s="48"/>
      <c r="H6100" s="48"/>
      <c r="I6100" s="48"/>
      <c r="J6100" s="48"/>
      <c r="L6100" s="65"/>
    </row>
    <row r="6101" spans="5:12">
      <c r="E6101" s="49">
        <v>45069.871527757408</v>
      </c>
      <c r="F6101" s="56">
        <v>4.7306648116431163</v>
      </c>
      <c r="G6101" s="48"/>
      <c r="H6101" s="48"/>
      <c r="I6101" s="48"/>
      <c r="J6101" s="48"/>
      <c r="L6101" s="65"/>
    </row>
    <row r="6102" spans="5:12">
      <c r="E6102" s="49">
        <v>45069.874999979627</v>
      </c>
      <c r="F6102" s="56">
        <v>4.7306648116431163</v>
      </c>
      <c r="G6102" s="48"/>
      <c r="H6102" s="48"/>
      <c r="I6102" s="48"/>
      <c r="J6102" s="48"/>
      <c r="L6102" s="65"/>
    </row>
    <row r="6103" spans="5:12">
      <c r="E6103" s="49">
        <v>45069.878472201846</v>
      </c>
      <c r="F6103" s="56">
        <v>4.7306648116431163</v>
      </c>
      <c r="G6103" s="48"/>
      <c r="H6103" s="48"/>
      <c r="I6103" s="48"/>
      <c r="J6103" s="48"/>
      <c r="L6103" s="65"/>
    </row>
    <row r="6104" spans="5:12">
      <c r="E6104" s="49">
        <v>45069.881944424065</v>
      </c>
      <c r="F6104" s="56">
        <v>4.7306648116431163</v>
      </c>
      <c r="G6104" s="48"/>
      <c r="H6104" s="48"/>
      <c r="I6104" s="48"/>
      <c r="J6104" s="48"/>
      <c r="L6104" s="65"/>
    </row>
    <row r="6105" spans="5:12">
      <c r="E6105" s="49">
        <v>45069.885416646284</v>
      </c>
      <c r="F6105" s="56">
        <v>4.7306648116431163</v>
      </c>
      <c r="G6105" s="48"/>
      <c r="H6105" s="48"/>
      <c r="I6105" s="48"/>
      <c r="J6105" s="48"/>
      <c r="L6105" s="65"/>
    </row>
    <row r="6106" spans="5:12">
      <c r="E6106" s="49">
        <v>45069.888888868503</v>
      </c>
      <c r="F6106" s="56">
        <v>4.7306648116431163</v>
      </c>
      <c r="G6106" s="48"/>
      <c r="H6106" s="48"/>
      <c r="I6106" s="48"/>
      <c r="J6106" s="48"/>
      <c r="L6106" s="65"/>
    </row>
    <row r="6107" spans="5:12">
      <c r="E6107" s="49">
        <v>45069.892361090722</v>
      </c>
      <c r="F6107" s="56">
        <v>4.7306648116431163</v>
      </c>
      <c r="G6107" s="48"/>
      <c r="H6107" s="48"/>
      <c r="I6107" s="48"/>
      <c r="J6107" s="48"/>
      <c r="L6107" s="65"/>
    </row>
    <row r="6108" spans="5:12">
      <c r="E6108" s="49">
        <v>45069.895833312941</v>
      </c>
      <c r="F6108" s="56">
        <v>4.7306648116431163</v>
      </c>
      <c r="G6108" s="48"/>
      <c r="H6108" s="48"/>
      <c r="I6108" s="48"/>
      <c r="J6108" s="48"/>
      <c r="L6108" s="65"/>
    </row>
    <row r="6109" spans="5:12">
      <c r="E6109" s="49">
        <v>45069.89930553516</v>
      </c>
      <c r="F6109" s="56">
        <v>4.7306648116431163</v>
      </c>
      <c r="G6109" s="48"/>
      <c r="H6109" s="48"/>
      <c r="I6109" s="48"/>
      <c r="J6109" s="48"/>
      <c r="L6109" s="65"/>
    </row>
    <row r="6110" spans="5:12">
      <c r="E6110" s="49">
        <v>45069.902777757379</v>
      </c>
      <c r="F6110" s="56">
        <v>4.7306648116431163</v>
      </c>
      <c r="G6110" s="48"/>
      <c r="H6110" s="48"/>
      <c r="I6110" s="48"/>
      <c r="J6110" s="48"/>
      <c r="L6110" s="65"/>
    </row>
    <row r="6111" spans="5:12">
      <c r="E6111" s="49">
        <v>45069.906249979598</v>
      </c>
      <c r="F6111" s="56">
        <v>4.7306648116431163</v>
      </c>
      <c r="G6111" s="48"/>
      <c r="H6111" s="48"/>
      <c r="I6111" s="48"/>
      <c r="J6111" s="48"/>
      <c r="L6111" s="65"/>
    </row>
    <row r="6112" spans="5:12">
      <c r="E6112" s="49">
        <v>45069.909722201817</v>
      </c>
      <c r="F6112" s="56">
        <v>4.7306648116431163</v>
      </c>
      <c r="G6112" s="48"/>
      <c r="H6112" s="48"/>
      <c r="I6112" s="48"/>
      <c r="J6112" s="48"/>
      <c r="L6112" s="65"/>
    </row>
    <row r="6113" spans="5:12">
      <c r="E6113" s="49">
        <v>45069.913194424036</v>
      </c>
      <c r="F6113" s="56">
        <v>4.7306648116431163</v>
      </c>
      <c r="G6113" s="48"/>
      <c r="H6113" s="48"/>
      <c r="I6113" s="48"/>
      <c r="J6113" s="48"/>
      <c r="L6113" s="65"/>
    </row>
    <row r="6114" spans="5:12">
      <c r="E6114" s="49">
        <v>45069.916666646255</v>
      </c>
      <c r="F6114" s="56">
        <v>4.7306648116431163</v>
      </c>
      <c r="G6114" s="48"/>
      <c r="H6114" s="48"/>
      <c r="I6114" s="48"/>
      <c r="J6114" s="48"/>
      <c r="L6114" s="65"/>
    </row>
    <row r="6115" spans="5:12">
      <c r="E6115" s="49">
        <v>45069.920138868474</v>
      </c>
      <c r="F6115" s="56">
        <v>4.7306648116431163</v>
      </c>
      <c r="G6115" s="48"/>
      <c r="H6115" s="48"/>
      <c r="I6115" s="48"/>
      <c r="J6115" s="48"/>
      <c r="L6115" s="65"/>
    </row>
    <row r="6116" spans="5:12">
      <c r="E6116" s="49">
        <v>45069.923611090693</v>
      </c>
      <c r="F6116" s="56">
        <v>4.7306648116431163</v>
      </c>
      <c r="G6116" s="48"/>
      <c r="H6116" s="48"/>
      <c r="I6116" s="48"/>
      <c r="J6116" s="48"/>
      <c r="L6116" s="65"/>
    </row>
    <row r="6117" spans="5:12">
      <c r="E6117" s="49">
        <v>45069.927083312912</v>
      </c>
      <c r="F6117" s="56">
        <v>4.7306648116431163</v>
      </c>
      <c r="G6117" s="48"/>
      <c r="H6117" s="48"/>
      <c r="I6117" s="48"/>
      <c r="J6117" s="48"/>
      <c r="L6117" s="65"/>
    </row>
    <row r="6118" spans="5:12">
      <c r="E6118" s="49">
        <v>45069.930555535131</v>
      </c>
      <c r="F6118" s="56">
        <v>4.7306648116431163</v>
      </c>
      <c r="G6118" s="48"/>
      <c r="H6118" s="48"/>
      <c r="I6118" s="48"/>
      <c r="J6118" s="48"/>
      <c r="L6118" s="65"/>
    </row>
    <row r="6119" spans="5:12">
      <c r="E6119" s="49">
        <v>45069.93402775735</v>
      </c>
      <c r="F6119" s="56">
        <v>4.7306648116431163</v>
      </c>
      <c r="G6119" s="48"/>
      <c r="H6119" s="48"/>
      <c r="I6119" s="48"/>
      <c r="J6119" s="48"/>
      <c r="L6119" s="65"/>
    </row>
    <row r="6120" spans="5:12">
      <c r="E6120" s="49">
        <v>45069.937499979569</v>
      </c>
      <c r="F6120" s="56">
        <v>4.7306648116431163</v>
      </c>
      <c r="G6120" s="48"/>
      <c r="H6120" s="48"/>
      <c r="I6120" s="48"/>
      <c r="J6120" s="48"/>
      <c r="L6120" s="65"/>
    </row>
    <row r="6121" spans="5:12">
      <c r="E6121" s="49">
        <v>45069.940972201788</v>
      </c>
      <c r="F6121" s="56">
        <v>4.7306648116431163</v>
      </c>
      <c r="G6121" s="48"/>
      <c r="H6121" s="48"/>
      <c r="I6121" s="48"/>
      <c r="J6121" s="48"/>
      <c r="L6121" s="65"/>
    </row>
    <row r="6122" spans="5:12">
      <c r="E6122" s="49">
        <v>45069.944444424007</v>
      </c>
      <c r="F6122" s="56">
        <v>4.7306648116431163</v>
      </c>
      <c r="G6122" s="48"/>
      <c r="H6122" s="48"/>
      <c r="I6122" s="48"/>
      <c r="J6122" s="48"/>
      <c r="L6122" s="65"/>
    </row>
    <row r="6123" spans="5:12">
      <c r="E6123" s="49">
        <v>45069.947916646226</v>
      </c>
      <c r="F6123" s="56">
        <v>4.7306648116431163</v>
      </c>
      <c r="G6123" s="48"/>
      <c r="H6123" s="48"/>
      <c r="I6123" s="48"/>
      <c r="J6123" s="48"/>
      <c r="L6123" s="65"/>
    </row>
    <row r="6124" spans="5:12">
      <c r="E6124" s="49">
        <v>45069.951388868445</v>
      </c>
      <c r="F6124" s="56">
        <v>4.7306648116431163</v>
      </c>
      <c r="G6124" s="48"/>
      <c r="H6124" s="48"/>
      <c r="I6124" s="48"/>
      <c r="J6124" s="48"/>
      <c r="L6124" s="65"/>
    </row>
    <row r="6125" spans="5:12">
      <c r="E6125" s="49">
        <v>45069.954861090664</v>
      </c>
      <c r="F6125" s="56">
        <v>4.7306648116431163</v>
      </c>
      <c r="G6125" s="48"/>
      <c r="H6125" s="48"/>
      <c r="I6125" s="48"/>
      <c r="J6125" s="48"/>
      <c r="L6125" s="65"/>
    </row>
    <row r="6126" spans="5:12">
      <c r="E6126" s="49">
        <v>45069.958333312883</v>
      </c>
      <c r="F6126" s="56">
        <v>4.7306648116431163</v>
      </c>
      <c r="G6126" s="48"/>
      <c r="H6126" s="48"/>
      <c r="I6126" s="48"/>
      <c r="J6126" s="48"/>
      <c r="L6126" s="65"/>
    </row>
    <row r="6127" spans="5:12">
      <c r="E6127" s="49">
        <v>45069.961805535102</v>
      </c>
      <c r="F6127" s="56">
        <v>4.7306648116431163</v>
      </c>
      <c r="G6127" s="48"/>
      <c r="H6127" s="48"/>
      <c r="I6127" s="48"/>
      <c r="J6127" s="48"/>
      <c r="L6127" s="65"/>
    </row>
    <row r="6128" spans="5:12">
      <c r="E6128" s="49">
        <v>45069.965277757321</v>
      </c>
      <c r="F6128" s="56">
        <v>4.7306648116431163</v>
      </c>
      <c r="G6128" s="48"/>
      <c r="H6128" s="48"/>
      <c r="I6128" s="48"/>
      <c r="J6128" s="48"/>
      <c r="L6128" s="65"/>
    </row>
    <row r="6129" spans="5:12">
      <c r="E6129" s="49">
        <v>45069.96874997954</v>
      </c>
      <c r="F6129" s="56">
        <v>4.7306648116431163</v>
      </c>
      <c r="G6129" s="48"/>
      <c r="H6129" s="48"/>
      <c r="I6129" s="48"/>
      <c r="J6129" s="48"/>
      <c r="L6129" s="65"/>
    </row>
    <row r="6130" spans="5:12">
      <c r="E6130" s="49">
        <v>45069.972222201759</v>
      </c>
      <c r="F6130" s="56">
        <v>4.7306648116431163</v>
      </c>
      <c r="G6130" s="48"/>
      <c r="H6130" s="48"/>
      <c r="I6130" s="48"/>
      <c r="J6130" s="48"/>
      <c r="L6130" s="65"/>
    </row>
    <row r="6131" spans="5:12">
      <c r="E6131" s="49">
        <v>45069.975694423978</v>
      </c>
      <c r="F6131" s="56">
        <v>4.7306648116431163</v>
      </c>
      <c r="G6131" s="48"/>
      <c r="H6131" s="48"/>
      <c r="I6131" s="48"/>
      <c r="J6131" s="48"/>
      <c r="L6131" s="65"/>
    </row>
    <row r="6132" spans="5:12">
      <c r="E6132" s="49">
        <v>45069.979166646197</v>
      </c>
      <c r="F6132" s="56">
        <v>4.7306648116431163</v>
      </c>
      <c r="G6132" s="48"/>
      <c r="H6132" s="48"/>
      <c r="I6132" s="48"/>
      <c r="J6132" s="48"/>
      <c r="L6132" s="65"/>
    </row>
    <row r="6133" spans="5:12">
      <c r="E6133" s="49">
        <v>45069.982638868416</v>
      </c>
      <c r="F6133" s="56">
        <v>4.7306648116431163</v>
      </c>
      <c r="G6133" s="48"/>
      <c r="H6133" s="48"/>
      <c r="I6133" s="48"/>
      <c r="J6133" s="48"/>
      <c r="L6133" s="65"/>
    </row>
    <row r="6134" spans="5:12">
      <c r="E6134" s="49">
        <v>45069.986111090635</v>
      </c>
      <c r="F6134" s="56">
        <v>4.7306648116431163</v>
      </c>
      <c r="G6134" s="48"/>
      <c r="H6134" s="48"/>
      <c r="I6134" s="48"/>
      <c r="J6134" s="48"/>
      <c r="L6134" s="65"/>
    </row>
    <row r="6135" spans="5:12">
      <c r="E6135" s="49">
        <v>45069.989583312854</v>
      </c>
      <c r="F6135" s="56">
        <v>4.7306648116431163</v>
      </c>
      <c r="G6135" s="48"/>
      <c r="H6135" s="48"/>
      <c r="I6135" s="48"/>
      <c r="J6135" s="48"/>
      <c r="L6135" s="65"/>
    </row>
    <row r="6136" spans="5:12">
      <c r="E6136" s="49">
        <v>45069.993055535073</v>
      </c>
      <c r="F6136" s="56">
        <v>4.7306648116431163</v>
      </c>
      <c r="G6136" s="48"/>
      <c r="H6136" s="48"/>
      <c r="I6136" s="48"/>
      <c r="J6136" s="48"/>
      <c r="L6136" s="65"/>
    </row>
    <row r="6137" spans="5:12">
      <c r="E6137" s="49">
        <v>45069.996527757292</v>
      </c>
      <c r="F6137" s="56">
        <v>4.7306648116431163</v>
      </c>
      <c r="G6137" s="48"/>
      <c r="H6137" s="48"/>
      <c r="I6137" s="48"/>
      <c r="J6137" s="48"/>
      <c r="L6137" s="65"/>
    </row>
    <row r="6138" spans="5:12">
      <c r="E6138" s="49">
        <v>45069.999999979511</v>
      </c>
      <c r="F6138" s="56">
        <v>4.7306648116431163</v>
      </c>
      <c r="G6138" s="48"/>
      <c r="H6138" s="48"/>
      <c r="I6138" s="48"/>
      <c r="J6138" s="48"/>
      <c r="L6138" s="65"/>
    </row>
    <row r="6139" spans="5:12">
      <c r="E6139" s="49">
        <v>45070.00347220173</v>
      </c>
      <c r="F6139" s="56">
        <v>4.7306648116431163</v>
      </c>
      <c r="G6139" s="48"/>
      <c r="H6139" s="48"/>
      <c r="I6139" s="48"/>
      <c r="J6139" s="48"/>
      <c r="L6139" s="65"/>
    </row>
    <row r="6140" spans="5:12">
      <c r="E6140" s="49">
        <v>45070.006944423949</v>
      </c>
      <c r="F6140" s="56">
        <v>4.7306648116431163</v>
      </c>
      <c r="G6140" s="48"/>
      <c r="H6140" s="48"/>
      <c r="I6140" s="48"/>
      <c r="J6140" s="48"/>
      <c r="L6140" s="65"/>
    </row>
    <row r="6141" spans="5:12">
      <c r="E6141" s="49">
        <v>45070.010416646168</v>
      </c>
      <c r="F6141" s="56">
        <v>4.7306648116431163</v>
      </c>
      <c r="G6141" s="48"/>
      <c r="H6141" s="48"/>
      <c r="I6141" s="48"/>
      <c r="J6141" s="48"/>
      <c r="L6141" s="65"/>
    </row>
    <row r="6142" spans="5:12">
      <c r="E6142" s="49">
        <v>45070.013888868387</v>
      </c>
      <c r="F6142" s="56">
        <v>4.7306648116431163</v>
      </c>
      <c r="G6142" s="48"/>
      <c r="H6142" s="48"/>
      <c r="I6142" s="48"/>
      <c r="J6142" s="48"/>
      <c r="L6142" s="65"/>
    </row>
    <row r="6143" spans="5:12">
      <c r="E6143" s="49">
        <v>45070.017361090606</v>
      </c>
      <c r="F6143" s="56">
        <v>4.7306648116431163</v>
      </c>
      <c r="G6143" s="48"/>
      <c r="H6143" s="48"/>
      <c r="I6143" s="48"/>
      <c r="J6143" s="48"/>
      <c r="L6143" s="65"/>
    </row>
    <row r="6144" spans="5:12">
      <c r="E6144" s="49">
        <v>45070.020833312825</v>
      </c>
      <c r="F6144" s="56">
        <v>4.7306648116431163</v>
      </c>
      <c r="G6144" s="48"/>
      <c r="H6144" s="48"/>
      <c r="I6144" s="48"/>
      <c r="J6144" s="48"/>
      <c r="L6144" s="65"/>
    </row>
    <row r="6145" spans="5:12">
      <c r="E6145" s="49">
        <v>45070.024305535044</v>
      </c>
      <c r="F6145" s="56">
        <v>4.7306648116431163</v>
      </c>
      <c r="G6145" s="48"/>
      <c r="H6145" s="48"/>
      <c r="I6145" s="48"/>
      <c r="J6145" s="48"/>
      <c r="L6145" s="65"/>
    </row>
    <row r="6146" spans="5:12">
      <c r="E6146" s="49">
        <v>45070.027777757263</v>
      </c>
      <c r="F6146" s="56">
        <v>4.7306648116431163</v>
      </c>
      <c r="G6146" s="48"/>
      <c r="H6146" s="48"/>
      <c r="I6146" s="48"/>
      <c r="J6146" s="48"/>
      <c r="L6146" s="65"/>
    </row>
    <row r="6147" spans="5:12">
      <c r="E6147" s="49">
        <v>45070.031249979482</v>
      </c>
      <c r="F6147" s="56">
        <v>4.7306648116431163</v>
      </c>
      <c r="G6147" s="48"/>
      <c r="H6147" s="48"/>
      <c r="I6147" s="48"/>
      <c r="J6147" s="48"/>
      <c r="L6147" s="65"/>
    </row>
    <row r="6148" spans="5:12">
      <c r="E6148" s="49">
        <v>45070.034722201701</v>
      </c>
      <c r="F6148" s="56">
        <v>4.7306648116431163</v>
      </c>
      <c r="G6148" s="48"/>
      <c r="H6148" s="48"/>
      <c r="I6148" s="48"/>
      <c r="J6148" s="48"/>
      <c r="L6148" s="65"/>
    </row>
    <row r="6149" spans="5:12">
      <c r="E6149" s="49">
        <v>45070.03819442392</v>
      </c>
      <c r="F6149" s="56">
        <v>4.7306648116431163</v>
      </c>
      <c r="G6149" s="48"/>
      <c r="H6149" s="48"/>
      <c r="I6149" s="48"/>
      <c r="J6149" s="48"/>
      <c r="L6149" s="65"/>
    </row>
    <row r="6150" spans="5:12">
      <c r="E6150" s="49">
        <v>45070.041666646139</v>
      </c>
      <c r="F6150" s="56">
        <v>4.7306648116431163</v>
      </c>
      <c r="G6150" s="48"/>
      <c r="H6150" s="48"/>
      <c r="I6150" s="48"/>
      <c r="J6150" s="48"/>
      <c r="L6150" s="65"/>
    </row>
    <row r="6151" spans="5:12">
      <c r="E6151" s="49">
        <v>45070.045138868358</v>
      </c>
      <c r="F6151" s="56">
        <v>4.7306648116431163</v>
      </c>
      <c r="G6151" s="48"/>
      <c r="H6151" s="48"/>
      <c r="I6151" s="48"/>
      <c r="J6151" s="48"/>
      <c r="L6151" s="65"/>
    </row>
    <row r="6152" spans="5:12">
      <c r="E6152" s="49">
        <v>45070.048611090577</v>
      </c>
      <c r="F6152" s="56">
        <v>4.7306648116431163</v>
      </c>
      <c r="G6152" s="48"/>
      <c r="H6152" s="48"/>
      <c r="I6152" s="48"/>
      <c r="J6152" s="48"/>
      <c r="L6152" s="65"/>
    </row>
    <row r="6153" spans="5:12">
      <c r="E6153" s="49">
        <v>45070.052083312796</v>
      </c>
      <c r="F6153" s="56">
        <v>4.7306648116431163</v>
      </c>
      <c r="G6153" s="48"/>
      <c r="H6153" s="48"/>
      <c r="I6153" s="48"/>
      <c r="J6153" s="48"/>
      <c r="L6153" s="65"/>
    </row>
    <row r="6154" spans="5:12">
      <c r="E6154" s="49">
        <v>45070.055555535015</v>
      </c>
      <c r="F6154" s="56">
        <v>4.7306648116431163</v>
      </c>
      <c r="G6154" s="48"/>
      <c r="H6154" s="48"/>
      <c r="I6154" s="48"/>
      <c r="J6154" s="48"/>
      <c r="L6154" s="65"/>
    </row>
    <row r="6155" spans="5:12">
      <c r="E6155" s="49">
        <v>45070.059027757234</v>
      </c>
      <c r="F6155" s="56">
        <v>4.7306648116431163</v>
      </c>
      <c r="G6155" s="48"/>
      <c r="H6155" s="48"/>
      <c r="I6155" s="48"/>
      <c r="J6155" s="48"/>
      <c r="L6155" s="65"/>
    </row>
    <row r="6156" spans="5:12">
      <c r="E6156" s="49">
        <v>45070.062499979453</v>
      </c>
      <c r="F6156" s="56">
        <v>4.7306648116431163</v>
      </c>
      <c r="G6156" s="48"/>
      <c r="H6156" s="48"/>
      <c r="I6156" s="48"/>
      <c r="J6156" s="48"/>
      <c r="L6156" s="65"/>
    </row>
    <row r="6157" spans="5:12">
      <c r="E6157" s="49">
        <v>45070.065972201672</v>
      </c>
      <c r="F6157" s="56">
        <v>4.7306648116431163</v>
      </c>
      <c r="G6157" s="48"/>
      <c r="H6157" s="48"/>
      <c r="I6157" s="48"/>
      <c r="J6157" s="48"/>
      <c r="L6157" s="65"/>
    </row>
    <row r="6158" spans="5:12">
      <c r="E6158" s="49">
        <v>45070.069444423891</v>
      </c>
      <c r="F6158" s="56">
        <v>4.7306648116431163</v>
      </c>
      <c r="G6158" s="48"/>
      <c r="H6158" s="48"/>
      <c r="I6158" s="48"/>
      <c r="J6158" s="48"/>
      <c r="L6158" s="65"/>
    </row>
    <row r="6159" spans="5:12">
      <c r="E6159" s="49">
        <v>45070.07291664611</v>
      </c>
      <c r="F6159" s="56">
        <v>4.7306648116431163</v>
      </c>
      <c r="G6159" s="48"/>
      <c r="H6159" s="48"/>
      <c r="I6159" s="48"/>
      <c r="J6159" s="48"/>
      <c r="L6159" s="65"/>
    </row>
    <row r="6160" spans="5:12">
      <c r="E6160" s="49">
        <v>45070.076388868329</v>
      </c>
      <c r="F6160" s="56">
        <v>4.7306648116431163</v>
      </c>
      <c r="G6160" s="48"/>
      <c r="H6160" s="48"/>
      <c r="I6160" s="48"/>
      <c r="J6160" s="48"/>
      <c r="L6160" s="65"/>
    </row>
    <row r="6161" spans="5:12">
      <c r="E6161" s="49">
        <v>45070.079861090548</v>
      </c>
      <c r="F6161" s="56">
        <v>4.7306648116431163</v>
      </c>
      <c r="G6161" s="48"/>
      <c r="H6161" s="48"/>
      <c r="I6161" s="48"/>
      <c r="J6161" s="48"/>
      <c r="L6161" s="65"/>
    </row>
    <row r="6162" spans="5:12">
      <c r="E6162" s="49">
        <v>45070.083333312767</v>
      </c>
      <c r="F6162" s="56">
        <v>4.7306648116431163</v>
      </c>
      <c r="G6162" s="48"/>
      <c r="H6162" s="48"/>
      <c r="I6162" s="48"/>
      <c r="J6162" s="48"/>
      <c r="L6162" s="65"/>
    </row>
    <row r="6163" spans="5:12">
      <c r="E6163" s="49">
        <v>45070.086805534986</v>
      </c>
      <c r="F6163" s="56">
        <v>4.7306648116431163</v>
      </c>
      <c r="G6163" s="48"/>
      <c r="H6163" s="48"/>
      <c r="I6163" s="48"/>
      <c r="J6163" s="48"/>
      <c r="L6163" s="65"/>
    </row>
    <row r="6164" spans="5:12">
      <c r="E6164" s="49">
        <v>45070.090277757205</v>
      </c>
      <c r="F6164" s="56">
        <v>4.7306648116431163</v>
      </c>
      <c r="G6164" s="48"/>
      <c r="H6164" s="48"/>
      <c r="I6164" s="48"/>
      <c r="J6164" s="48"/>
      <c r="L6164" s="65"/>
    </row>
    <row r="6165" spans="5:12">
      <c r="E6165" s="49">
        <v>45070.093749979424</v>
      </c>
      <c r="F6165" s="56">
        <v>4.7306648116431163</v>
      </c>
      <c r="G6165" s="48"/>
      <c r="H6165" s="48"/>
      <c r="I6165" s="48"/>
      <c r="J6165" s="48"/>
      <c r="L6165" s="65"/>
    </row>
    <row r="6166" spans="5:12">
      <c r="E6166" s="49">
        <v>45070.097222201643</v>
      </c>
      <c r="F6166" s="56">
        <v>4.7306648116431163</v>
      </c>
      <c r="G6166" s="48"/>
      <c r="H6166" s="48"/>
      <c r="I6166" s="48"/>
      <c r="J6166" s="48"/>
      <c r="L6166" s="65"/>
    </row>
    <row r="6167" spans="5:12">
      <c r="E6167" s="49">
        <v>45070.100694423862</v>
      </c>
      <c r="F6167" s="56">
        <v>4.7306648116431163</v>
      </c>
      <c r="G6167" s="48"/>
      <c r="H6167" s="48"/>
      <c r="I6167" s="48"/>
      <c r="J6167" s="48"/>
      <c r="L6167" s="65"/>
    </row>
    <row r="6168" spans="5:12">
      <c r="E6168" s="49">
        <v>45070.104166646081</v>
      </c>
      <c r="F6168" s="56">
        <v>4.7306648116431163</v>
      </c>
      <c r="G6168" s="48"/>
      <c r="H6168" s="48"/>
      <c r="I6168" s="48"/>
      <c r="J6168" s="48"/>
      <c r="L6168" s="65"/>
    </row>
    <row r="6169" spans="5:12">
      <c r="E6169" s="49">
        <v>45070.1076388683</v>
      </c>
      <c r="F6169" s="56">
        <v>4.7306648116431163</v>
      </c>
      <c r="G6169" s="48"/>
      <c r="H6169" s="48"/>
      <c r="I6169" s="48"/>
      <c r="J6169" s="48"/>
      <c r="L6169" s="65"/>
    </row>
    <row r="6170" spans="5:12">
      <c r="E6170" s="49">
        <v>45070.111111090519</v>
      </c>
      <c r="F6170" s="56">
        <v>4.7306648116431163</v>
      </c>
      <c r="G6170" s="48"/>
      <c r="H6170" s="48"/>
      <c r="I6170" s="48"/>
      <c r="J6170" s="48"/>
      <c r="L6170" s="65"/>
    </row>
    <row r="6171" spans="5:12">
      <c r="E6171" s="49">
        <v>45070.114583312738</v>
      </c>
      <c r="F6171" s="56">
        <v>4.7306648116431163</v>
      </c>
      <c r="G6171" s="48"/>
      <c r="H6171" s="48"/>
      <c r="I6171" s="48"/>
      <c r="J6171" s="48"/>
      <c r="L6171" s="65"/>
    </row>
    <row r="6172" spans="5:12">
      <c r="E6172" s="49">
        <v>45070.118055534957</v>
      </c>
      <c r="F6172" s="56">
        <v>4.7306648116431163</v>
      </c>
      <c r="G6172" s="48"/>
      <c r="H6172" s="48"/>
      <c r="I6172" s="48"/>
      <c r="J6172" s="48"/>
      <c r="L6172" s="65"/>
    </row>
    <row r="6173" spans="5:12">
      <c r="E6173" s="49">
        <v>45070.121527757175</v>
      </c>
      <c r="F6173" s="56">
        <v>4.7306648116431163</v>
      </c>
      <c r="G6173" s="48"/>
      <c r="H6173" s="48"/>
      <c r="I6173" s="48"/>
      <c r="J6173" s="48"/>
      <c r="L6173" s="65"/>
    </row>
    <row r="6174" spans="5:12">
      <c r="E6174" s="49">
        <v>45070.124999979394</v>
      </c>
      <c r="F6174" s="56">
        <v>4.7306648116431163</v>
      </c>
      <c r="G6174" s="48"/>
      <c r="H6174" s="48"/>
      <c r="I6174" s="48"/>
      <c r="J6174" s="48"/>
      <c r="L6174" s="65"/>
    </row>
    <row r="6175" spans="5:12">
      <c r="E6175" s="49">
        <v>45070.128472201613</v>
      </c>
      <c r="F6175" s="56">
        <v>4.7306648116431163</v>
      </c>
      <c r="G6175" s="48"/>
      <c r="H6175" s="48"/>
      <c r="I6175" s="48"/>
      <c r="J6175" s="48"/>
      <c r="L6175" s="65"/>
    </row>
    <row r="6176" spans="5:12">
      <c r="E6176" s="49">
        <v>45070.131944423832</v>
      </c>
      <c r="F6176" s="56">
        <v>4.7306648116431163</v>
      </c>
      <c r="G6176" s="48"/>
      <c r="H6176" s="48"/>
      <c r="I6176" s="48"/>
      <c r="J6176" s="48"/>
      <c r="L6176" s="65"/>
    </row>
    <row r="6177" spans="5:12">
      <c r="E6177" s="49">
        <v>45070.135416646051</v>
      </c>
      <c r="F6177" s="56">
        <v>4.7306648116431163</v>
      </c>
      <c r="G6177" s="48"/>
      <c r="H6177" s="48"/>
      <c r="I6177" s="48"/>
      <c r="J6177" s="48"/>
      <c r="L6177" s="65"/>
    </row>
    <row r="6178" spans="5:12">
      <c r="E6178" s="49">
        <v>45070.13888886827</v>
      </c>
      <c r="F6178" s="56">
        <v>4.7306648116431163</v>
      </c>
      <c r="G6178" s="48"/>
      <c r="H6178" s="48"/>
      <c r="I6178" s="48"/>
      <c r="J6178" s="48"/>
      <c r="L6178" s="65"/>
    </row>
    <row r="6179" spans="5:12">
      <c r="E6179" s="49">
        <v>45070.142361090489</v>
      </c>
      <c r="F6179" s="56">
        <v>4.7306648116431163</v>
      </c>
      <c r="G6179" s="48"/>
      <c r="H6179" s="48"/>
      <c r="I6179" s="48"/>
      <c r="J6179" s="48"/>
      <c r="L6179" s="65"/>
    </row>
    <row r="6180" spans="5:12">
      <c r="E6180" s="49">
        <v>45070.145833312708</v>
      </c>
      <c r="F6180" s="56">
        <v>4.7306648116431163</v>
      </c>
      <c r="G6180" s="48"/>
      <c r="H6180" s="48"/>
      <c r="I6180" s="48"/>
      <c r="J6180" s="48"/>
      <c r="L6180" s="65"/>
    </row>
    <row r="6181" spans="5:12">
      <c r="E6181" s="49">
        <v>45070.149305534927</v>
      </c>
      <c r="F6181" s="56">
        <v>4.7306648116431163</v>
      </c>
      <c r="G6181" s="48"/>
      <c r="H6181" s="48"/>
      <c r="I6181" s="48"/>
      <c r="J6181" s="48"/>
      <c r="L6181" s="65"/>
    </row>
    <row r="6182" spans="5:12">
      <c r="E6182" s="49">
        <v>45070.152777757146</v>
      </c>
      <c r="F6182" s="56">
        <v>4.7306648116431163</v>
      </c>
      <c r="G6182" s="48"/>
      <c r="H6182" s="48"/>
      <c r="I6182" s="48"/>
      <c r="J6182" s="48"/>
      <c r="L6182" s="65"/>
    </row>
    <row r="6183" spans="5:12">
      <c r="E6183" s="49">
        <v>45070.156249979365</v>
      </c>
      <c r="F6183" s="56">
        <v>4.7306648116431163</v>
      </c>
      <c r="G6183" s="48"/>
      <c r="H6183" s="48"/>
      <c r="I6183" s="48"/>
      <c r="J6183" s="48"/>
      <c r="L6183" s="65"/>
    </row>
    <row r="6184" spans="5:12">
      <c r="E6184" s="49">
        <v>45070.159722201584</v>
      </c>
      <c r="F6184" s="56">
        <v>4.7306648116431163</v>
      </c>
      <c r="G6184" s="48"/>
      <c r="H6184" s="48"/>
      <c r="I6184" s="48"/>
      <c r="J6184" s="48"/>
      <c r="L6184" s="65"/>
    </row>
    <row r="6185" spans="5:12">
      <c r="E6185" s="49">
        <v>45070.163194423803</v>
      </c>
      <c r="F6185" s="56">
        <v>4.7306648116431163</v>
      </c>
      <c r="G6185" s="48"/>
      <c r="H6185" s="48"/>
      <c r="I6185" s="48"/>
      <c r="J6185" s="48"/>
      <c r="L6185" s="65"/>
    </row>
    <row r="6186" spans="5:12">
      <c r="E6186" s="49">
        <v>45070.166666646022</v>
      </c>
      <c r="F6186" s="56">
        <v>4.7306648116431163</v>
      </c>
      <c r="G6186" s="48"/>
      <c r="H6186" s="48"/>
      <c r="I6186" s="48"/>
      <c r="J6186" s="48"/>
      <c r="L6186" s="65"/>
    </row>
    <row r="6187" spans="5:12">
      <c r="E6187" s="49">
        <v>45070.170138868241</v>
      </c>
      <c r="F6187" s="56">
        <v>4.7306648116431163</v>
      </c>
      <c r="G6187" s="48"/>
      <c r="H6187" s="48"/>
      <c r="I6187" s="48"/>
      <c r="J6187" s="48"/>
      <c r="L6187" s="65"/>
    </row>
    <row r="6188" spans="5:12">
      <c r="E6188" s="49">
        <v>45070.17361109046</v>
      </c>
      <c r="F6188" s="56">
        <v>4.7306648116431163</v>
      </c>
      <c r="G6188" s="48"/>
      <c r="H6188" s="48"/>
      <c r="I6188" s="48"/>
      <c r="J6188" s="48"/>
      <c r="L6188" s="65"/>
    </row>
    <row r="6189" spans="5:12">
      <c r="E6189" s="49">
        <v>45070.177083312679</v>
      </c>
      <c r="F6189" s="56">
        <v>4.7306648116431163</v>
      </c>
      <c r="G6189" s="48"/>
      <c r="H6189" s="48"/>
      <c r="I6189" s="48"/>
      <c r="J6189" s="48"/>
      <c r="L6189" s="65"/>
    </row>
    <row r="6190" spans="5:12">
      <c r="E6190" s="49">
        <v>45070.180555534898</v>
      </c>
      <c r="F6190" s="56">
        <v>4.7306648116431163</v>
      </c>
      <c r="G6190" s="48"/>
      <c r="H6190" s="48"/>
      <c r="I6190" s="48"/>
      <c r="J6190" s="48"/>
      <c r="L6190" s="65"/>
    </row>
    <row r="6191" spans="5:12">
      <c r="E6191" s="49">
        <v>45070.184027757117</v>
      </c>
      <c r="F6191" s="56">
        <v>4.7306648116431163</v>
      </c>
      <c r="G6191" s="48"/>
      <c r="H6191" s="48"/>
      <c r="I6191" s="48"/>
      <c r="J6191" s="48"/>
      <c r="L6191" s="65"/>
    </row>
    <row r="6192" spans="5:12">
      <c r="E6192" s="49">
        <v>45070.187499979336</v>
      </c>
      <c r="F6192" s="56">
        <v>4.7306648116431163</v>
      </c>
      <c r="G6192" s="48"/>
      <c r="H6192" s="48"/>
      <c r="I6192" s="48"/>
      <c r="J6192" s="48"/>
      <c r="L6192" s="65"/>
    </row>
    <row r="6193" spans="5:12">
      <c r="E6193" s="49">
        <v>45070.190972201555</v>
      </c>
      <c r="F6193" s="56">
        <v>4.7306648116431163</v>
      </c>
      <c r="G6193" s="48"/>
      <c r="H6193" s="48"/>
      <c r="I6193" s="48"/>
      <c r="J6193" s="48"/>
      <c r="L6193" s="65"/>
    </row>
    <row r="6194" spans="5:12">
      <c r="E6194" s="49">
        <v>45070.194444423774</v>
      </c>
      <c r="F6194" s="56">
        <v>4.7306648116431163</v>
      </c>
      <c r="G6194" s="48"/>
      <c r="H6194" s="48"/>
      <c r="I6194" s="48"/>
      <c r="J6194" s="48"/>
      <c r="L6194" s="65"/>
    </row>
    <row r="6195" spans="5:12">
      <c r="E6195" s="49">
        <v>45070.197916645993</v>
      </c>
      <c r="F6195" s="56">
        <v>4.7306648116431163</v>
      </c>
      <c r="G6195" s="48"/>
      <c r="H6195" s="48"/>
      <c r="I6195" s="48"/>
      <c r="J6195" s="48"/>
      <c r="L6195" s="65"/>
    </row>
    <row r="6196" spans="5:12">
      <c r="E6196" s="49">
        <v>45070.201388868212</v>
      </c>
      <c r="F6196" s="56">
        <v>4.7306648116431163</v>
      </c>
      <c r="G6196" s="48"/>
      <c r="H6196" s="48"/>
      <c r="I6196" s="48"/>
      <c r="J6196" s="48"/>
      <c r="L6196" s="65"/>
    </row>
    <row r="6197" spans="5:12">
      <c r="E6197" s="49">
        <v>45070.204861090431</v>
      </c>
      <c r="F6197" s="56">
        <v>4.7306648116431163</v>
      </c>
      <c r="G6197" s="48"/>
      <c r="H6197" s="48"/>
      <c r="I6197" s="48"/>
      <c r="J6197" s="48"/>
      <c r="L6197" s="65"/>
    </row>
    <row r="6198" spans="5:12">
      <c r="E6198" s="49">
        <v>45070.20833331265</v>
      </c>
      <c r="F6198" s="56">
        <v>4.7306648116431163</v>
      </c>
      <c r="G6198" s="48"/>
      <c r="H6198" s="48"/>
      <c r="I6198" s="48"/>
      <c r="J6198" s="48"/>
      <c r="L6198" s="65"/>
    </row>
    <row r="6199" spans="5:12">
      <c r="E6199" s="49">
        <v>45070.211805534869</v>
      </c>
      <c r="F6199" s="56">
        <v>4.7306648116431163</v>
      </c>
      <c r="G6199" s="48"/>
      <c r="H6199" s="48"/>
      <c r="I6199" s="48"/>
      <c r="J6199" s="48"/>
      <c r="L6199" s="65"/>
    </row>
    <row r="6200" spans="5:12">
      <c r="E6200" s="49">
        <v>45070.215277757088</v>
      </c>
      <c r="F6200" s="56">
        <v>4.7306648116431163</v>
      </c>
      <c r="G6200" s="48"/>
      <c r="H6200" s="48"/>
      <c r="I6200" s="48"/>
      <c r="J6200" s="48"/>
      <c r="L6200" s="65"/>
    </row>
    <row r="6201" spans="5:12">
      <c r="E6201" s="49">
        <v>45070.218749979307</v>
      </c>
      <c r="F6201" s="56">
        <v>4.7306648116431163</v>
      </c>
      <c r="G6201" s="48"/>
      <c r="H6201" s="48"/>
      <c r="I6201" s="48"/>
      <c r="J6201" s="48"/>
      <c r="L6201" s="65"/>
    </row>
    <row r="6202" spans="5:12">
      <c r="E6202" s="49">
        <v>45070.222222201526</v>
      </c>
      <c r="F6202" s="56">
        <v>4.7306648116431163</v>
      </c>
      <c r="G6202" s="48"/>
      <c r="H6202" s="48"/>
      <c r="I6202" s="48"/>
      <c r="J6202" s="48"/>
      <c r="L6202" s="65"/>
    </row>
    <row r="6203" spans="5:12">
      <c r="E6203" s="49">
        <v>45070.225694423745</v>
      </c>
      <c r="F6203" s="56">
        <v>4.7306648116431163</v>
      </c>
      <c r="G6203" s="48"/>
      <c r="H6203" s="48"/>
      <c r="I6203" s="48"/>
      <c r="J6203" s="48"/>
      <c r="L6203" s="65"/>
    </row>
    <row r="6204" spans="5:12">
      <c r="E6204" s="49">
        <v>45070.229166645964</v>
      </c>
      <c r="F6204" s="56">
        <v>4.7306648116431163</v>
      </c>
      <c r="G6204" s="48"/>
      <c r="H6204" s="48"/>
      <c r="I6204" s="48"/>
      <c r="J6204" s="48"/>
      <c r="L6204" s="65"/>
    </row>
    <row r="6205" spans="5:12">
      <c r="E6205" s="49">
        <v>45070.232638868183</v>
      </c>
      <c r="F6205" s="56">
        <v>4.7306648116431163</v>
      </c>
      <c r="G6205" s="48"/>
      <c r="H6205" s="48"/>
      <c r="I6205" s="48"/>
      <c r="J6205" s="48"/>
      <c r="L6205" s="65"/>
    </row>
    <row r="6206" spans="5:12">
      <c r="E6206" s="49">
        <v>45070.236111090402</v>
      </c>
      <c r="F6206" s="56">
        <v>4.7306648116431163</v>
      </c>
      <c r="G6206" s="48"/>
      <c r="H6206" s="48"/>
      <c r="I6206" s="48"/>
      <c r="J6206" s="48"/>
      <c r="L6206" s="65"/>
    </row>
    <row r="6207" spans="5:12">
      <c r="E6207" s="49">
        <v>45070.239583312621</v>
      </c>
      <c r="F6207" s="56">
        <v>4.7306648116431163</v>
      </c>
      <c r="G6207" s="48"/>
      <c r="H6207" s="48"/>
      <c r="I6207" s="48"/>
      <c r="J6207" s="48"/>
      <c r="L6207" s="65"/>
    </row>
    <row r="6208" spans="5:12">
      <c r="E6208" s="49">
        <v>45070.24305553484</v>
      </c>
      <c r="F6208" s="56">
        <v>4.7306648116431163</v>
      </c>
      <c r="G6208" s="48"/>
      <c r="H6208" s="48"/>
      <c r="I6208" s="48"/>
      <c r="J6208" s="48"/>
      <c r="L6208" s="65"/>
    </row>
    <row r="6209" spans="5:12">
      <c r="E6209" s="49">
        <v>45070.246527757059</v>
      </c>
      <c r="F6209" s="56">
        <v>4.7306648116431163</v>
      </c>
      <c r="G6209" s="48"/>
      <c r="H6209" s="48"/>
      <c r="I6209" s="48"/>
      <c r="J6209" s="48"/>
      <c r="L6209" s="65"/>
    </row>
    <row r="6210" spans="5:12">
      <c r="E6210" s="49">
        <v>45070.249999979278</v>
      </c>
      <c r="F6210" s="56">
        <v>4.7306648116431163</v>
      </c>
      <c r="G6210" s="48"/>
      <c r="H6210" s="48"/>
      <c r="I6210" s="48"/>
      <c r="J6210" s="48"/>
      <c r="L6210" s="65"/>
    </row>
    <row r="6211" spans="5:12">
      <c r="E6211" s="49">
        <v>45070.253472201497</v>
      </c>
      <c r="F6211" s="56">
        <v>4.7306648116431163</v>
      </c>
      <c r="G6211" s="48"/>
      <c r="H6211" s="48"/>
      <c r="I6211" s="48"/>
      <c r="J6211" s="48"/>
      <c r="L6211" s="65"/>
    </row>
    <row r="6212" spans="5:12">
      <c r="E6212" s="49">
        <v>45070.256944423716</v>
      </c>
      <c r="F6212" s="56">
        <v>4.7306648116431163</v>
      </c>
      <c r="G6212" s="48"/>
      <c r="H6212" s="48"/>
      <c r="I6212" s="48"/>
      <c r="J6212" s="48"/>
      <c r="L6212" s="65"/>
    </row>
    <row r="6213" spans="5:12">
      <c r="E6213" s="49">
        <v>45070.260416645935</v>
      </c>
      <c r="F6213" s="56">
        <v>4.7306648116431163</v>
      </c>
      <c r="G6213" s="48"/>
      <c r="H6213" s="48"/>
      <c r="I6213" s="48"/>
      <c r="J6213" s="48"/>
      <c r="L6213" s="65"/>
    </row>
    <row r="6214" spans="5:12">
      <c r="E6214" s="49">
        <v>45070.263888868154</v>
      </c>
      <c r="F6214" s="56">
        <v>4.7306648116431163</v>
      </c>
      <c r="G6214" s="48"/>
      <c r="H6214" s="48"/>
      <c r="I6214" s="48"/>
      <c r="J6214" s="48"/>
      <c r="L6214" s="65"/>
    </row>
    <row r="6215" spans="5:12">
      <c r="E6215" s="49">
        <v>45070.267361090373</v>
      </c>
      <c r="F6215" s="56">
        <v>4.7306648116431163</v>
      </c>
      <c r="G6215" s="48"/>
      <c r="H6215" s="48"/>
      <c r="I6215" s="48"/>
      <c r="J6215" s="48"/>
      <c r="L6215" s="65"/>
    </row>
    <row r="6216" spans="5:12">
      <c r="E6216" s="49">
        <v>45070.270833312592</v>
      </c>
      <c r="F6216" s="56">
        <v>4.7306648116431163</v>
      </c>
      <c r="G6216" s="48"/>
      <c r="H6216" s="48"/>
      <c r="I6216" s="48"/>
      <c r="J6216" s="48"/>
      <c r="L6216" s="65"/>
    </row>
    <row r="6217" spans="5:12">
      <c r="E6217" s="49">
        <v>45070.274305534811</v>
      </c>
      <c r="F6217" s="56">
        <v>4.7306648116431163</v>
      </c>
      <c r="G6217" s="48"/>
      <c r="H6217" s="48"/>
      <c r="I6217" s="48"/>
      <c r="J6217" s="48"/>
      <c r="L6217" s="65"/>
    </row>
    <row r="6218" spans="5:12">
      <c r="E6218" s="49">
        <v>45070.27777775703</v>
      </c>
      <c r="F6218" s="56">
        <v>4.7306648116431163</v>
      </c>
      <c r="G6218" s="48"/>
      <c r="H6218" s="48"/>
      <c r="I6218" s="48"/>
      <c r="J6218" s="48"/>
      <c r="L6218" s="65"/>
    </row>
    <row r="6219" spans="5:12">
      <c r="E6219" s="49">
        <v>45070.281249979249</v>
      </c>
      <c r="F6219" s="56">
        <v>4.7306648116431163</v>
      </c>
      <c r="G6219" s="48"/>
      <c r="H6219" s="48"/>
      <c r="I6219" s="48"/>
      <c r="J6219" s="48"/>
      <c r="L6219" s="65"/>
    </row>
    <row r="6220" spans="5:12">
      <c r="E6220" s="49">
        <v>45070.284722201468</v>
      </c>
      <c r="F6220" s="56">
        <v>4.7306648116431163</v>
      </c>
      <c r="G6220" s="48"/>
      <c r="H6220" s="48"/>
      <c r="I6220" s="48"/>
      <c r="J6220" s="48"/>
      <c r="L6220" s="65"/>
    </row>
    <row r="6221" spans="5:12">
      <c r="E6221" s="49">
        <v>45070.288194423687</v>
      </c>
      <c r="F6221" s="56">
        <v>4.7306648116431163</v>
      </c>
      <c r="G6221" s="48"/>
      <c r="H6221" s="48"/>
      <c r="I6221" s="48"/>
      <c r="J6221" s="48"/>
      <c r="L6221" s="65"/>
    </row>
    <row r="6222" spans="5:12">
      <c r="E6222" s="49">
        <v>45070.291666645906</v>
      </c>
      <c r="F6222" s="56">
        <v>4.7306648116431163</v>
      </c>
      <c r="G6222" s="48"/>
      <c r="H6222" s="48"/>
      <c r="I6222" s="48"/>
      <c r="J6222" s="48"/>
      <c r="L6222" s="65"/>
    </row>
    <row r="6223" spans="5:12">
      <c r="E6223" s="49">
        <v>45070.295138868125</v>
      </c>
      <c r="F6223" s="56">
        <v>4.7306648116431163</v>
      </c>
      <c r="G6223" s="48"/>
      <c r="H6223" s="48"/>
      <c r="I6223" s="48"/>
      <c r="J6223" s="48"/>
      <c r="L6223" s="65"/>
    </row>
    <row r="6224" spans="5:12">
      <c r="E6224" s="49">
        <v>45070.298611090344</v>
      </c>
      <c r="F6224" s="56">
        <v>4.7306648116431163</v>
      </c>
      <c r="G6224" s="48"/>
      <c r="H6224" s="48"/>
      <c r="I6224" s="48"/>
      <c r="J6224" s="48"/>
      <c r="L6224" s="65"/>
    </row>
    <row r="6225" spans="5:12">
      <c r="E6225" s="49">
        <v>45070.302083312563</v>
      </c>
      <c r="F6225" s="56">
        <v>4.7306648116431163</v>
      </c>
      <c r="G6225" s="48"/>
      <c r="H6225" s="48"/>
      <c r="I6225" s="48"/>
      <c r="J6225" s="48"/>
      <c r="L6225" s="65"/>
    </row>
    <row r="6226" spans="5:12">
      <c r="E6226" s="49">
        <v>45070.305555534782</v>
      </c>
      <c r="F6226" s="56">
        <v>4.7306648116431163</v>
      </c>
      <c r="G6226" s="48"/>
      <c r="H6226" s="48"/>
      <c r="I6226" s="48"/>
      <c r="J6226" s="48"/>
      <c r="L6226" s="65"/>
    </row>
    <row r="6227" spans="5:12">
      <c r="E6227" s="49">
        <v>45070.309027757001</v>
      </c>
      <c r="F6227" s="56">
        <v>4.7306648116431163</v>
      </c>
      <c r="G6227" s="48"/>
      <c r="H6227" s="48"/>
      <c r="I6227" s="48"/>
      <c r="J6227" s="48"/>
      <c r="L6227" s="65"/>
    </row>
    <row r="6228" spans="5:12">
      <c r="E6228" s="49">
        <v>45070.31249997922</v>
      </c>
      <c r="F6228" s="56">
        <v>4.7306648116431163</v>
      </c>
      <c r="G6228" s="48"/>
      <c r="H6228" s="48"/>
      <c r="I6228" s="48"/>
      <c r="J6228" s="48"/>
      <c r="L6228" s="65"/>
    </row>
    <row r="6229" spans="5:12">
      <c r="E6229" s="49">
        <v>45070.315972201439</v>
      </c>
      <c r="F6229" s="56">
        <v>4.7306648116431163</v>
      </c>
      <c r="G6229" s="48"/>
      <c r="H6229" s="48"/>
      <c r="I6229" s="48"/>
      <c r="J6229" s="48"/>
      <c r="L6229" s="65"/>
    </row>
    <row r="6230" spans="5:12">
      <c r="E6230" s="49">
        <v>45070.319444423658</v>
      </c>
      <c r="F6230" s="56">
        <v>4.7306648116431163</v>
      </c>
      <c r="G6230" s="48"/>
      <c r="H6230" s="48"/>
      <c r="I6230" s="48"/>
      <c r="J6230" s="48"/>
      <c r="L6230" s="65"/>
    </row>
    <row r="6231" spans="5:12">
      <c r="E6231" s="49">
        <v>45070.322916645877</v>
      </c>
      <c r="F6231" s="56">
        <v>4.7306648116431163</v>
      </c>
      <c r="G6231" s="48"/>
      <c r="H6231" s="48"/>
      <c r="I6231" s="48"/>
      <c r="J6231" s="48"/>
      <c r="L6231" s="65"/>
    </row>
    <row r="6232" spans="5:12">
      <c r="E6232" s="49">
        <v>45070.326388868096</v>
      </c>
      <c r="F6232" s="56">
        <v>4.7306648116431163</v>
      </c>
      <c r="G6232" s="48"/>
      <c r="H6232" s="48"/>
      <c r="I6232" s="48"/>
      <c r="J6232" s="48"/>
      <c r="L6232" s="65"/>
    </row>
    <row r="6233" spans="5:12">
      <c r="E6233" s="49">
        <v>45070.329861090315</v>
      </c>
      <c r="F6233" s="56">
        <v>4.7306648116431163</v>
      </c>
      <c r="G6233" s="48"/>
      <c r="H6233" s="48"/>
      <c r="I6233" s="48"/>
      <c r="J6233" s="48"/>
      <c r="L6233" s="65"/>
    </row>
    <row r="6234" spans="5:12">
      <c r="E6234" s="49">
        <v>45070.333333312534</v>
      </c>
      <c r="F6234" s="56">
        <v>4.7306648116431163</v>
      </c>
      <c r="G6234" s="48"/>
      <c r="H6234" s="48"/>
      <c r="I6234" s="48"/>
      <c r="J6234" s="48"/>
      <c r="L6234" s="65"/>
    </row>
    <row r="6235" spans="5:12">
      <c r="E6235" s="49">
        <v>45070.336805534753</v>
      </c>
      <c r="F6235" s="56">
        <v>4.7306648116431163</v>
      </c>
      <c r="G6235" s="48"/>
      <c r="H6235" s="48"/>
      <c r="I6235" s="48"/>
      <c r="J6235" s="48"/>
      <c r="L6235" s="65"/>
    </row>
    <row r="6236" spans="5:12">
      <c r="E6236" s="49">
        <v>45070.340277756972</v>
      </c>
      <c r="F6236" s="56">
        <v>4.7306648116431163</v>
      </c>
      <c r="G6236" s="48"/>
      <c r="H6236" s="48"/>
      <c r="I6236" s="48"/>
      <c r="J6236" s="48"/>
      <c r="L6236" s="65"/>
    </row>
    <row r="6237" spans="5:12">
      <c r="E6237" s="49">
        <v>45070.343749979191</v>
      </c>
      <c r="F6237" s="56">
        <v>4.7306648116431163</v>
      </c>
      <c r="G6237" s="48"/>
      <c r="H6237" s="48"/>
      <c r="I6237" s="48"/>
      <c r="J6237" s="48"/>
      <c r="L6237" s="65"/>
    </row>
    <row r="6238" spans="5:12">
      <c r="E6238" s="49">
        <v>45070.34722220141</v>
      </c>
      <c r="F6238" s="56">
        <v>4.7306648116431163</v>
      </c>
      <c r="G6238" s="48"/>
      <c r="H6238" s="48"/>
      <c r="I6238" s="48"/>
      <c r="J6238" s="48"/>
      <c r="L6238" s="65"/>
    </row>
    <row r="6239" spans="5:12">
      <c r="E6239" s="49">
        <v>45070.350694423629</v>
      </c>
      <c r="F6239" s="56">
        <v>4.7306648116431163</v>
      </c>
      <c r="G6239" s="48"/>
      <c r="H6239" s="48"/>
      <c r="I6239" s="48"/>
      <c r="J6239" s="48"/>
      <c r="L6239" s="65"/>
    </row>
    <row r="6240" spans="5:12">
      <c r="E6240" s="49">
        <v>45070.354166645848</v>
      </c>
      <c r="F6240" s="56">
        <v>4.7306648116431163</v>
      </c>
      <c r="G6240" s="48"/>
      <c r="H6240" s="48"/>
      <c r="I6240" s="48"/>
      <c r="J6240" s="48"/>
      <c r="L6240" s="65"/>
    </row>
    <row r="6241" spans="5:12">
      <c r="E6241" s="49">
        <v>45070.357638868067</v>
      </c>
      <c r="F6241" s="56">
        <v>4.7306648116431163</v>
      </c>
      <c r="G6241" s="48"/>
      <c r="H6241" s="48"/>
      <c r="I6241" s="48"/>
      <c r="J6241" s="48"/>
      <c r="L6241" s="65"/>
    </row>
    <row r="6242" spans="5:12">
      <c r="E6242" s="49">
        <v>45070.361111090286</v>
      </c>
      <c r="F6242" s="56">
        <v>4.7306648116431163</v>
      </c>
      <c r="G6242" s="48"/>
      <c r="H6242" s="48"/>
      <c r="I6242" s="48"/>
      <c r="J6242" s="48"/>
      <c r="L6242" s="65"/>
    </row>
    <row r="6243" spans="5:12">
      <c r="E6243" s="49">
        <v>45070.364583312505</v>
      </c>
      <c r="F6243" s="56">
        <v>4.7306648116431163</v>
      </c>
      <c r="G6243" s="48"/>
      <c r="H6243" s="48"/>
      <c r="I6243" s="48"/>
      <c r="J6243" s="48"/>
      <c r="L6243" s="65"/>
    </row>
    <row r="6244" spans="5:12">
      <c r="E6244" s="49">
        <v>45070.368055534724</v>
      </c>
      <c r="F6244" s="56">
        <v>4.7306648116431163</v>
      </c>
      <c r="G6244" s="48"/>
      <c r="H6244" s="48"/>
      <c r="I6244" s="48"/>
      <c r="J6244" s="48"/>
      <c r="L6244" s="65"/>
    </row>
    <row r="6245" spans="5:12">
      <c r="E6245" s="49">
        <v>45070.371527756943</v>
      </c>
      <c r="F6245" s="56">
        <v>4.7306648116431163</v>
      </c>
      <c r="G6245" s="48"/>
      <c r="H6245" s="48"/>
      <c r="I6245" s="48"/>
      <c r="J6245" s="48"/>
      <c r="L6245" s="65"/>
    </row>
    <row r="6246" spans="5:12">
      <c r="E6246" s="49">
        <v>45070.374999979162</v>
      </c>
      <c r="F6246" s="56">
        <v>4.7306648116431163</v>
      </c>
      <c r="G6246" s="48"/>
      <c r="H6246" s="48"/>
      <c r="I6246" s="48"/>
      <c r="J6246" s="48"/>
      <c r="L6246" s="65"/>
    </row>
    <row r="6247" spans="5:12">
      <c r="E6247" s="49">
        <v>45070.378472201381</v>
      </c>
      <c r="F6247" s="56">
        <v>4.7306648116431163</v>
      </c>
      <c r="G6247" s="48"/>
      <c r="H6247" s="48"/>
      <c r="I6247" s="48"/>
      <c r="J6247" s="48"/>
      <c r="L6247" s="65"/>
    </row>
    <row r="6248" spans="5:12">
      <c r="E6248" s="49">
        <v>45070.3819444236</v>
      </c>
      <c r="F6248" s="56">
        <v>4.7306648116431163</v>
      </c>
      <c r="G6248" s="48"/>
      <c r="H6248" s="48"/>
      <c r="I6248" s="48"/>
      <c r="J6248" s="48"/>
      <c r="L6248" s="65"/>
    </row>
    <row r="6249" spans="5:12">
      <c r="E6249" s="49">
        <v>45070.385416645819</v>
      </c>
      <c r="F6249" s="56">
        <v>4.7306648116431163</v>
      </c>
      <c r="G6249" s="48"/>
      <c r="H6249" s="48"/>
      <c r="I6249" s="48"/>
      <c r="J6249" s="48"/>
      <c r="L6249" s="65"/>
    </row>
    <row r="6250" spans="5:12">
      <c r="E6250" s="49">
        <v>45070.388888868038</v>
      </c>
      <c r="F6250" s="56">
        <v>4.7306648116431163</v>
      </c>
      <c r="G6250" s="48"/>
      <c r="H6250" s="48"/>
      <c r="I6250" s="48"/>
      <c r="J6250" s="48"/>
      <c r="L6250" s="65"/>
    </row>
    <row r="6251" spans="5:12">
      <c r="E6251" s="49">
        <v>45070.392361090257</v>
      </c>
      <c r="F6251" s="56">
        <v>4.7306648116431163</v>
      </c>
      <c r="G6251" s="48"/>
      <c r="H6251" s="48"/>
      <c r="I6251" s="48"/>
      <c r="J6251" s="48"/>
      <c r="L6251" s="65"/>
    </row>
    <row r="6252" spans="5:12">
      <c r="E6252" s="49">
        <v>45070.395833312476</v>
      </c>
      <c r="F6252" s="56">
        <v>4.7306648116431163</v>
      </c>
      <c r="G6252" s="48"/>
      <c r="H6252" s="48"/>
      <c r="I6252" s="48"/>
      <c r="J6252" s="48"/>
      <c r="L6252" s="65"/>
    </row>
    <row r="6253" spans="5:12">
      <c r="E6253" s="49">
        <v>45070.399305534695</v>
      </c>
      <c r="F6253" s="56">
        <v>4.7306648116431163</v>
      </c>
      <c r="G6253" s="48"/>
      <c r="H6253" s="48"/>
      <c r="I6253" s="48"/>
      <c r="J6253" s="48"/>
      <c r="L6253" s="65"/>
    </row>
    <row r="6254" spans="5:12">
      <c r="E6254" s="49">
        <v>45070.402777756914</v>
      </c>
      <c r="F6254" s="56">
        <v>4.7306648116431163</v>
      </c>
      <c r="G6254" s="48"/>
      <c r="H6254" s="48"/>
      <c r="I6254" s="48"/>
      <c r="J6254" s="48"/>
      <c r="L6254" s="65"/>
    </row>
    <row r="6255" spans="5:12">
      <c r="E6255" s="49">
        <v>45070.406249979133</v>
      </c>
      <c r="F6255" s="56">
        <v>4.7306648116431163</v>
      </c>
      <c r="G6255" s="48"/>
      <c r="H6255" s="48"/>
      <c r="I6255" s="48"/>
      <c r="J6255" s="48"/>
      <c r="L6255" s="65"/>
    </row>
    <row r="6256" spans="5:12">
      <c r="E6256" s="49">
        <v>45070.409722201352</v>
      </c>
      <c r="F6256" s="56">
        <v>4.7306648116431163</v>
      </c>
      <c r="G6256" s="48"/>
      <c r="H6256" s="48"/>
      <c r="I6256" s="48"/>
      <c r="J6256" s="48"/>
      <c r="L6256" s="65"/>
    </row>
    <row r="6257" spans="5:12">
      <c r="E6257" s="49">
        <v>45070.413194423571</v>
      </c>
      <c r="F6257" s="56">
        <v>4.7306648116431163</v>
      </c>
      <c r="G6257" s="48"/>
      <c r="H6257" s="48"/>
      <c r="I6257" s="48"/>
      <c r="J6257" s="48"/>
      <c r="L6257" s="65"/>
    </row>
    <row r="6258" spans="5:12">
      <c r="E6258" s="49">
        <v>45070.41666664579</v>
      </c>
      <c r="F6258" s="56">
        <v>4.7306648116431163</v>
      </c>
      <c r="G6258" s="48"/>
      <c r="H6258" s="48"/>
      <c r="I6258" s="48"/>
      <c r="J6258" s="48"/>
      <c r="L6258" s="65"/>
    </row>
    <row r="6259" spans="5:12">
      <c r="E6259" s="49">
        <v>45070.420138868009</v>
      </c>
      <c r="F6259" s="56">
        <v>4.7306648116431163</v>
      </c>
      <c r="G6259" s="48"/>
      <c r="H6259" s="48"/>
      <c r="I6259" s="48"/>
      <c r="J6259" s="48"/>
      <c r="L6259" s="65"/>
    </row>
    <row r="6260" spans="5:12">
      <c r="E6260" s="49">
        <v>45070.423611090227</v>
      </c>
      <c r="F6260" s="56">
        <v>4.7306648116431163</v>
      </c>
      <c r="G6260" s="48"/>
      <c r="H6260" s="48"/>
      <c r="I6260" s="48"/>
      <c r="J6260" s="48"/>
      <c r="L6260" s="65"/>
    </row>
    <row r="6261" spans="5:12">
      <c r="E6261" s="49">
        <v>45070.427083312446</v>
      </c>
      <c r="F6261" s="56">
        <v>4.7306648116431163</v>
      </c>
      <c r="G6261" s="48"/>
      <c r="H6261" s="48"/>
      <c r="I6261" s="48"/>
      <c r="J6261" s="48"/>
      <c r="L6261" s="65"/>
    </row>
    <row r="6262" spans="5:12">
      <c r="E6262" s="49">
        <v>45070.430555534665</v>
      </c>
      <c r="F6262" s="56">
        <v>28.257948505356854</v>
      </c>
      <c r="G6262" s="48"/>
      <c r="H6262" s="48"/>
      <c r="I6262" s="48"/>
      <c r="J6262" s="48"/>
      <c r="L6262" s="65"/>
    </row>
    <row r="6263" spans="5:12">
      <c r="E6263" s="49">
        <v>45070.434027756884</v>
      </c>
      <c r="F6263" s="56">
        <v>28.257948505356854</v>
      </c>
      <c r="G6263" s="48"/>
      <c r="H6263" s="48"/>
      <c r="I6263" s="48"/>
      <c r="J6263" s="48"/>
      <c r="L6263" s="65"/>
    </row>
    <row r="6264" spans="5:12">
      <c r="E6264" s="49">
        <v>45070.437499979103</v>
      </c>
      <c r="F6264" s="56">
        <v>28.257948505356854</v>
      </c>
      <c r="G6264" s="48"/>
      <c r="H6264" s="48"/>
      <c r="I6264" s="48"/>
      <c r="J6264" s="48"/>
      <c r="L6264" s="65"/>
    </row>
    <row r="6265" spans="5:12">
      <c r="E6265" s="49">
        <v>45070.440972201322</v>
      </c>
      <c r="F6265" s="56">
        <v>28.257948505356854</v>
      </c>
      <c r="G6265" s="48"/>
      <c r="H6265" s="48"/>
      <c r="I6265" s="48"/>
      <c r="J6265" s="48"/>
      <c r="L6265" s="65"/>
    </row>
    <row r="6266" spans="5:12">
      <c r="E6266" s="49">
        <v>45070.444444423541</v>
      </c>
      <c r="F6266" s="56">
        <v>28.257948505356854</v>
      </c>
      <c r="G6266" s="48"/>
      <c r="H6266" s="48"/>
      <c r="I6266" s="48"/>
      <c r="J6266" s="48"/>
      <c r="L6266" s="65"/>
    </row>
    <row r="6267" spans="5:12">
      <c r="E6267" s="49">
        <v>45070.44791664576</v>
      </c>
      <c r="F6267" s="56">
        <v>28.257948505356854</v>
      </c>
      <c r="G6267" s="48"/>
      <c r="H6267" s="48"/>
      <c r="I6267" s="48"/>
      <c r="J6267" s="48"/>
      <c r="L6267" s="65"/>
    </row>
    <row r="6268" spans="5:12">
      <c r="E6268" s="49">
        <v>45070.451388867979</v>
      </c>
      <c r="F6268" s="56">
        <v>28.257948505356854</v>
      </c>
      <c r="G6268" s="48"/>
      <c r="H6268" s="48"/>
      <c r="I6268" s="48"/>
      <c r="J6268" s="48"/>
      <c r="L6268" s="65"/>
    </row>
    <row r="6269" spans="5:12">
      <c r="E6269" s="49">
        <v>45070.454861090198</v>
      </c>
      <c r="F6269" s="56">
        <v>28.257948505356854</v>
      </c>
      <c r="G6269" s="48"/>
      <c r="H6269" s="48"/>
      <c r="I6269" s="48"/>
      <c r="J6269" s="48"/>
      <c r="L6269" s="65"/>
    </row>
    <row r="6270" spans="5:12">
      <c r="E6270" s="49">
        <v>45070.458333312417</v>
      </c>
      <c r="F6270" s="56">
        <v>28.257948505356854</v>
      </c>
      <c r="G6270" s="48"/>
      <c r="H6270" s="48"/>
      <c r="I6270" s="48"/>
      <c r="J6270" s="48"/>
      <c r="L6270" s="65"/>
    </row>
    <row r="6271" spans="5:12">
      <c r="E6271" s="49">
        <v>45070.461805534636</v>
      </c>
      <c r="F6271" s="56">
        <v>28.257948505356854</v>
      </c>
      <c r="G6271" s="48"/>
      <c r="H6271" s="48"/>
      <c r="I6271" s="48"/>
      <c r="J6271" s="48"/>
      <c r="L6271" s="65"/>
    </row>
    <row r="6272" spans="5:12">
      <c r="E6272" s="49">
        <v>45070.465277756855</v>
      </c>
      <c r="F6272" s="56">
        <v>28.257948505356854</v>
      </c>
      <c r="G6272" s="48"/>
      <c r="H6272" s="48"/>
      <c r="I6272" s="48"/>
      <c r="J6272" s="48"/>
      <c r="L6272" s="65"/>
    </row>
    <row r="6273" spans="5:12">
      <c r="E6273" s="49">
        <v>45070.468749979074</v>
      </c>
      <c r="F6273" s="56">
        <v>28.257948505356854</v>
      </c>
      <c r="G6273" s="48"/>
      <c r="H6273" s="48"/>
      <c r="I6273" s="48"/>
      <c r="J6273" s="48"/>
      <c r="L6273" s="65"/>
    </row>
    <row r="6274" spans="5:12">
      <c r="E6274" s="49">
        <v>45070.472222201293</v>
      </c>
      <c r="F6274" s="56">
        <v>28.257948505356854</v>
      </c>
      <c r="G6274" s="48"/>
      <c r="H6274" s="48"/>
      <c r="I6274" s="48"/>
      <c r="J6274" s="48"/>
      <c r="L6274" s="65"/>
    </row>
    <row r="6275" spans="5:12">
      <c r="E6275" s="49">
        <v>45070.475694423512</v>
      </c>
      <c r="F6275" s="56">
        <v>28.257948505356854</v>
      </c>
      <c r="G6275" s="48"/>
      <c r="H6275" s="48"/>
      <c r="I6275" s="48"/>
      <c r="J6275" s="48"/>
      <c r="L6275" s="65"/>
    </row>
    <row r="6276" spans="5:12">
      <c r="E6276" s="49">
        <v>45070.479166645731</v>
      </c>
      <c r="F6276" s="56">
        <v>28.257948505356854</v>
      </c>
      <c r="G6276" s="48"/>
      <c r="H6276" s="48"/>
      <c r="I6276" s="48"/>
      <c r="J6276" s="48"/>
      <c r="L6276" s="65"/>
    </row>
    <row r="6277" spans="5:12">
      <c r="E6277" s="49">
        <v>45070.48263886795</v>
      </c>
      <c r="F6277" s="56">
        <v>28.257948505356854</v>
      </c>
      <c r="G6277" s="48"/>
      <c r="H6277" s="48"/>
      <c r="I6277" s="48"/>
      <c r="J6277" s="48"/>
      <c r="L6277" s="65"/>
    </row>
    <row r="6278" spans="5:12">
      <c r="E6278" s="49">
        <v>45070.486111090169</v>
      </c>
      <c r="F6278" s="56">
        <v>28.257948505356854</v>
      </c>
      <c r="G6278" s="48"/>
      <c r="H6278" s="48"/>
      <c r="I6278" s="48"/>
      <c r="J6278" s="48"/>
      <c r="L6278" s="65"/>
    </row>
    <row r="6279" spans="5:12">
      <c r="E6279" s="49">
        <v>45070.489583312388</v>
      </c>
      <c r="F6279" s="56">
        <v>28.257948505356854</v>
      </c>
      <c r="G6279" s="48"/>
      <c r="H6279" s="48"/>
      <c r="I6279" s="48"/>
      <c r="J6279" s="48"/>
      <c r="L6279" s="65"/>
    </row>
    <row r="6280" spans="5:12">
      <c r="E6280" s="49">
        <v>45070.493055534607</v>
      </c>
      <c r="F6280" s="56">
        <v>28.257948505356854</v>
      </c>
      <c r="G6280" s="48"/>
      <c r="H6280" s="48"/>
      <c r="I6280" s="48"/>
      <c r="J6280" s="48"/>
      <c r="L6280" s="65"/>
    </row>
    <row r="6281" spans="5:12">
      <c r="E6281" s="49">
        <v>45070.496527756826</v>
      </c>
      <c r="F6281" s="56">
        <v>28.257948505356854</v>
      </c>
      <c r="G6281" s="48"/>
      <c r="H6281" s="48"/>
      <c r="I6281" s="48"/>
      <c r="J6281" s="48"/>
      <c r="L6281" s="65"/>
    </row>
    <row r="6282" spans="5:12">
      <c r="E6282" s="49">
        <v>45070.499999979045</v>
      </c>
      <c r="F6282" s="56">
        <v>28.257948505356854</v>
      </c>
      <c r="G6282" s="48"/>
      <c r="H6282" s="48"/>
      <c r="I6282" s="48"/>
      <c r="J6282" s="48"/>
      <c r="L6282" s="65"/>
    </row>
    <row r="6283" spans="5:12">
      <c r="E6283" s="49">
        <v>45070.503472201264</v>
      </c>
      <c r="F6283" s="56">
        <v>28.257948505356854</v>
      </c>
      <c r="G6283" s="48"/>
      <c r="H6283" s="48"/>
      <c r="I6283" s="48"/>
      <c r="J6283" s="48"/>
      <c r="L6283" s="65"/>
    </row>
    <row r="6284" spans="5:12">
      <c r="E6284" s="49">
        <v>45070.506944423483</v>
      </c>
      <c r="F6284" s="56">
        <v>28.257948505356854</v>
      </c>
      <c r="G6284" s="48"/>
      <c r="H6284" s="48"/>
      <c r="I6284" s="48"/>
      <c r="J6284" s="48"/>
      <c r="L6284" s="65"/>
    </row>
    <row r="6285" spans="5:12">
      <c r="E6285" s="49">
        <v>45070.510416645702</v>
      </c>
      <c r="F6285" s="56">
        <v>28.257948505356854</v>
      </c>
      <c r="G6285" s="48"/>
      <c r="H6285" s="48"/>
      <c r="I6285" s="48"/>
      <c r="J6285" s="48"/>
      <c r="L6285" s="65"/>
    </row>
    <row r="6286" spans="5:12">
      <c r="E6286" s="49">
        <v>45070.513888867921</v>
      </c>
      <c r="F6286" s="56">
        <v>28.257948505356854</v>
      </c>
      <c r="G6286" s="48"/>
      <c r="H6286" s="48"/>
      <c r="I6286" s="48"/>
      <c r="J6286" s="48"/>
      <c r="L6286" s="65"/>
    </row>
    <row r="6287" spans="5:12">
      <c r="E6287" s="49">
        <v>45070.51736109014</v>
      </c>
      <c r="F6287" s="56">
        <v>28.257948505356854</v>
      </c>
      <c r="G6287" s="48"/>
      <c r="H6287" s="48"/>
      <c r="I6287" s="48"/>
      <c r="J6287" s="48"/>
      <c r="L6287" s="65"/>
    </row>
    <row r="6288" spans="5:12">
      <c r="E6288" s="49">
        <v>45070.520833312359</v>
      </c>
      <c r="F6288" s="56">
        <v>28.257948505356854</v>
      </c>
      <c r="G6288" s="48"/>
      <c r="H6288" s="48"/>
      <c r="I6288" s="48"/>
      <c r="J6288" s="48"/>
      <c r="L6288" s="65"/>
    </row>
    <row r="6289" spans="5:12">
      <c r="E6289" s="49">
        <v>45070.524305534578</v>
      </c>
      <c r="F6289" s="56">
        <v>28.257948505356854</v>
      </c>
      <c r="G6289" s="48"/>
      <c r="H6289" s="48"/>
      <c r="I6289" s="48"/>
      <c r="J6289" s="48"/>
      <c r="L6289" s="65"/>
    </row>
    <row r="6290" spans="5:12">
      <c r="E6290" s="49">
        <v>45070.527777756797</v>
      </c>
      <c r="F6290" s="56">
        <v>28.257948505356854</v>
      </c>
      <c r="G6290" s="48"/>
      <c r="H6290" s="48"/>
      <c r="I6290" s="48"/>
      <c r="J6290" s="48"/>
      <c r="L6290" s="65"/>
    </row>
    <row r="6291" spans="5:12">
      <c r="E6291" s="49">
        <v>45070.531249979016</v>
      </c>
      <c r="F6291" s="56">
        <v>28.257948505356854</v>
      </c>
      <c r="G6291" s="48"/>
      <c r="H6291" s="48"/>
      <c r="I6291" s="48"/>
      <c r="J6291" s="48"/>
      <c r="L6291" s="65"/>
    </row>
    <row r="6292" spans="5:12">
      <c r="E6292" s="49">
        <v>45070.534722201235</v>
      </c>
      <c r="F6292" s="56">
        <v>28.257948505356854</v>
      </c>
      <c r="G6292" s="48"/>
      <c r="H6292" s="48"/>
      <c r="I6292" s="48"/>
      <c r="J6292" s="48"/>
      <c r="L6292" s="65"/>
    </row>
    <row r="6293" spans="5:12">
      <c r="E6293" s="49">
        <v>45070.538194423454</v>
      </c>
      <c r="F6293" s="56">
        <v>28.257948505356854</v>
      </c>
      <c r="G6293" s="48"/>
      <c r="H6293" s="48"/>
      <c r="I6293" s="48"/>
      <c r="J6293" s="48"/>
      <c r="L6293" s="65"/>
    </row>
    <row r="6294" spans="5:12">
      <c r="E6294" s="49">
        <v>45070.541666645673</v>
      </c>
      <c r="F6294" s="56">
        <v>28.257948505356854</v>
      </c>
      <c r="G6294" s="48"/>
      <c r="H6294" s="48"/>
      <c r="I6294" s="48"/>
      <c r="J6294" s="48"/>
      <c r="L6294" s="65"/>
    </row>
    <row r="6295" spans="5:12">
      <c r="E6295" s="49">
        <v>45070.545138867892</v>
      </c>
      <c r="F6295" s="56">
        <v>28.257948505356854</v>
      </c>
      <c r="G6295" s="48"/>
      <c r="H6295" s="48"/>
      <c r="I6295" s="48"/>
      <c r="J6295" s="48"/>
      <c r="L6295" s="65"/>
    </row>
    <row r="6296" spans="5:12">
      <c r="E6296" s="49">
        <v>45070.548611090111</v>
      </c>
      <c r="F6296" s="56">
        <v>28.257948505356854</v>
      </c>
      <c r="G6296" s="48"/>
      <c r="H6296" s="48"/>
      <c r="I6296" s="48"/>
      <c r="J6296" s="48"/>
      <c r="L6296" s="65"/>
    </row>
    <row r="6297" spans="5:12">
      <c r="E6297" s="49">
        <v>45070.55208331233</v>
      </c>
      <c r="F6297" s="56">
        <v>28.257948505356854</v>
      </c>
      <c r="G6297" s="48"/>
      <c r="H6297" s="48"/>
      <c r="I6297" s="48"/>
      <c r="J6297" s="48"/>
      <c r="L6297" s="65"/>
    </row>
    <row r="6298" spans="5:12">
      <c r="E6298" s="49">
        <v>45070.555555534549</v>
      </c>
      <c r="F6298" s="56">
        <v>28.257948505356854</v>
      </c>
      <c r="G6298" s="48"/>
      <c r="H6298" s="48"/>
      <c r="I6298" s="48"/>
      <c r="J6298" s="48"/>
      <c r="L6298" s="65"/>
    </row>
    <row r="6299" spans="5:12">
      <c r="E6299" s="49">
        <v>45070.559027756768</v>
      </c>
      <c r="F6299" s="56">
        <v>28.257948505356854</v>
      </c>
      <c r="G6299" s="48"/>
      <c r="H6299" s="48"/>
      <c r="I6299" s="48"/>
      <c r="J6299" s="48"/>
      <c r="L6299" s="65"/>
    </row>
    <row r="6300" spans="5:12">
      <c r="E6300" s="49">
        <v>45070.562499978987</v>
      </c>
      <c r="F6300" s="56">
        <v>28.257948505356854</v>
      </c>
      <c r="G6300" s="48"/>
      <c r="H6300" s="48"/>
      <c r="I6300" s="48"/>
      <c r="J6300" s="48"/>
      <c r="L6300" s="65"/>
    </row>
    <row r="6301" spans="5:12">
      <c r="E6301" s="49">
        <v>45070.565972201206</v>
      </c>
      <c r="F6301" s="56">
        <v>28.257948505356854</v>
      </c>
      <c r="G6301" s="48"/>
      <c r="H6301" s="48"/>
      <c r="I6301" s="48"/>
      <c r="J6301" s="48"/>
      <c r="L6301" s="65"/>
    </row>
    <row r="6302" spans="5:12">
      <c r="E6302" s="49">
        <v>45070.569444423425</v>
      </c>
      <c r="F6302" s="56">
        <v>28.257948505356854</v>
      </c>
      <c r="G6302" s="48"/>
      <c r="H6302" s="48"/>
      <c r="I6302" s="48"/>
      <c r="J6302" s="48"/>
      <c r="L6302" s="65"/>
    </row>
    <row r="6303" spans="5:12">
      <c r="E6303" s="49">
        <v>45070.572916645644</v>
      </c>
      <c r="F6303" s="56">
        <v>28.257948505356854</v>
      </c>
      <c r="G6303" s="48"/>
      <c r="H6303" s="48"/>
      <c r="I6303" s="48"/>
      <c r="J6303" s="48"/>
      <c r="L6303" s="65"/>
    </row>
    <row r="6304" spans="5:12">
      <c r="E6304" s="49">
        <v>45070.576388867863</v>
      </c>
      <c r="F6304" s="56">
        <v>28.257948505356854</v>
      </c>
      <c r="G6304" s="48"/>
      <c r="H6304" s="48"/>
      <c r="I6304" s="48"/>
      <c r="J6304" s="48"/>
      <c r="L6304" s="65"/>
    </row>
    <row r="6305" spans="5:12">
      <c r="E6305" s="49">
        <v>45070.579861090082</v>
      </c>
      <c r="F6305" s="56">
        <v>28.257948505356854</v>
      </c>
      <c r="G6305" s="48"/>
      <c r="H6305" s="48"/>
      <c r="I6305" s="48"/>
      <c r="J6305" s="48"/>
      <c r="L6305" s="65"/>
    </row>
    <row r="6306" spans="5:12">
      <c r="E6306" s="49">
        <v>45070.583333312301</v>
      </c>
      <c r="F6306" s="56">
        <v>28.257948505356854</v>
      </c>
      <c r="G6306" s="48"/>
      <c r="H6306" s="48"/>
      <c r="I6306" s="48"/>
      <c r="J6306" s="48"/>
      <c r="L6306" s="65"/>
    </row>
    <row r="6307" spans="5:12">
      <c r="E6307" s="49">
        <v>45070.58680553452</v>
      </c>
      <c r="F6307" s="56">
        <v>28.257948505356854</v>
      </c>
      <c r="G6307" s="48"/>
      <c r="H6307" s="48"/>
      <c r="I6307" s="48"/>
      <c r="J6307" s="48"/>
      <c r="L6307" s="65"/>
    </row>
    <row r="6308" spans="5:12">
      <c r="E6308" s="49">
        <v>45070.590277756739</v>
      </c>
      <c r="F6308" s="56">
        <v>28.257948505356854</v>
      </c>
      <c r="G6308" s="48"/>
      <c r="H6308" s="48"/>
      <c r="I6308" s="48"/>
      <c r="J6308" s="48"/>
      <c r="L6308" s="65"/>
    </row>
    <row r="6309" spans="5:12">
      <c r="E6309" s="49">
        <v>45070.593749978958</v>
      </c>
      <c r="F6309" s="56">
        <v>28.257948505356854</v>
      </c>
      <c r="G6309" s="48"/>
      <c r="H6309" s="48"/>
      <c r="I6309" s="48"/>
      <c r="J6309" s="48"/>
      <c r="L6309" s="65"/>
    </row>
    <row r="6310" spans="5:12">
      <c r="E6310" s="49">
        <v>45070.597222201177</v>
      </c>
      <c r="F6310" s="56">
        <v>28.257948505356854</v>
      </c>
      <c r="G6310" s="48"/>
      <c r="H6310" s="48"/>
      <c r="I6310" s="48"/>
      <c r="J6310" s="48"/>
      <c r="L6310" s="65"/>
    </row>
    <row r="6311" spans="5:12">
      <c r="E6311" s="49">
        <v>45070.600694423396</v>
      </c>
      <c r="F6311" s="56">
        <v>28.257948505356854</v>
      </c>
      <c r="G6311" s="48"/>
      <c r="H6311" s="48"/>
      <c r="I6311" s="48"/>
      <c r="J6311" s="48"/>
      <c r="L6311" s="65"/>
    </row>
    <row r="6312" spans="5:12">
      <c r="E6312" s="49">
        <v>45070.604166645615</v>
      </c>
      <c r="F6312" s="56">
        <v>28.257948505356854</v>
      </c>
      <c r="G6312" s="48"/>
      <c r="H6312" s="48"/>
      <c r="I6312" s="48"/>
      <c r="J6312" s="48"/>
      <c r="L6312" s="65"/>
    </row>
    <row r="6313" spans="5:12">
      <c r="E6313" s="49">
        <v>45070.607638867834</v>
      </c>
      <c r="F6313" s="56">
        <v>28.257948505356854</v>
      </c>
      <c r="G6313" s="48"/>
      <c r="H6313" s="48"/>
      <c r="I6313" s="48"/>
      <c r="J6313" s="48"/>
      <c r="L6313" s="65"/>
    </row>
    <row r="6314" spans="5:12">
      <c r="E6314" s="49">
        <v>45070.611111090053</v>
      </c>
      <c r="F6314" s="56">
        <v>28.257948505356854</v>
      </c>
      <c r="G6314" s="48"/>
      <c r="H6314" s="48"/>
      <c r="I6314" s="48"/>
      <c r="J6314" s="48"/>
      <c r="L6314" s="65"/>
    </row>
    <row r="6315" spans="5:12">
      <c r="E6315" s="49">
        <v>45070.614583312272</v>
      </c>
      <c r="F6315" s="56">
        <v>28.257948505356854</v>
      </c>
      <c r="G6315" s="48"/>
      <c r="H6315" s="48"/>
      <c r="I6315" s="48"/>
      <c r="J6315" s="48"/>
      <c r="L6315" s="65"/>
    </row>
    <row r="6316" spans="5:12">
      <c r="E6316" s="49">
        <v>45070.618055534491</v>
      </c>
      <c r="F6316" s="56">
        <v>28.257948505356854</v>
      </c>
      <c r="G6316" s="48"/>
      <c r="H6316" s="48"/>
      <c r="I6316" s="48"/>
      <c r="J6316" s="48"/>
      <c r="L6316" s="65"/>
    </row>
    <row r="6317" spans="5:12">
      <c r="E6317" s="49">
        <v>45070.62152775671</v>
      </c>
      <c r="F6317" s="56">
        <v>28.257948505356854</v>
      </c>
      <c r="G6317" s="48"/>
      <c r="H6317" s="48"/>
      <c r="I6317" s="48"/>
      <c r="J6317" s="48"/>
      <c r="L6317" s="65"/>
    </row>
    <row r="6318" spans="5:12">
      <c r="E6318" s="49">
        <v>45070.624999978929</v>
      </c>
      <c r="F6318" s="56">
        <v>28.257948505356854</v>
      </c>
      <c r="G6318" s="48"/>
      <c r="H6318" s="48"/>
      <c r="I6318" s="48"/>
      <c r="J6318" s="48"/>
      <c r="L6318" s="65"/>
    </row>
    <row r="6319" spans="5:12">
      <c r="E6319" s="49">
        <v>45070.628472201148</v>
      </c>
      <c r="F6319" s="56">
        <v>28.257948505356854</v>
      </c>
      <c r="G6319" s="48"/>
      <c r="H6319" s="48"/>
      <c r="I6319" s="48"/>
      <c r="J6319" s="48"/>
      <c r="L6319" s="65"/>
    </row>
    <row r="6320" spans="5:12">
      <c r="E6320" s="49">
        <v>45070.631944423367</v>
      </c>
      <c r="F6320" s="56">
        <v>28.257948505356854</v>
      </c>
      <c r="G6320" s="48"/>
      <c r="H6320" s="48"/>
      <c r="I6320" s="48"/>
      <c r="J6320" s="48"/>
      <c r="L6320" s="65"/>
    </row>
    <row r="6321" spans="5:12">
      <c r="E6321" s="49">
        <v>45070.635416645586</v>
      </c>
      <c r="F6321" s="56">
        <v>28.257948505356854</v>
      </c>
      <c r="G6321" s="48"/>
      <c r="H6321" s="48"/>
      <c r="I6321" s="48"/>
      <c r="J6321" s="48"/>
      <c r="L6321" s="65"/>
    </row>
    <row r="6322" spans="5:12">
      <c r="E6322" s="49">
        <v>45070.638888867805</v>
      </c>
      <c r="F6322" s="56">
        <v>28.257948505356854</v>
      </c>
      <c r="G6322" s="48"/>
      <c r="H6322" s="48"/>
      <c r="I6322" s="48"/>
      <c r="J6322" s="48"/>
      <c r="L6322" s="65"/>
    </row>
    <row r="6323" spans="5:12">
      <c r="E6323" s="49">
        <v>45070.642361090024</v>
      </c>
      <c r="F6323" s="56">
        <v>28.257948505356854</v>
      </c>
      <c r="G6323" s="48"/>
      <c r="H6323" s="48"/>
      <c r="I6323" s="48"/>
      <c r="J6323" s="48"/>
      <c r="L6323" s="65"/>
    </row>
    <row r="6324" spans="5:12">
      <c r="E6324" s="49">
        <v>45070.645833312243</v>
      </c>
      <c r="F6324" s="56">
        <v>28.257948505356854</v>
      </c>
      <c r="G6324" s="48"/>
      <c r="H6324" s="48"/>
      <c r="I6324" s="48"/>
      <c r="J6324" s="48"/>
      <c r="L6324" s="65"/>
    </row>
    <row r="6325" spans="5:12">
      <c r="E6325" s="49">
        <v>45070.649305534462</v>
      </c>
      <c r="F6325" s="56">
        <v>28.257948505356854</v>
      </c>
      <c r="G6325" s="48"/>
      <c r="H6325" s="48"/>
      <c r="I6325" s="48"/>
      <c r="J6325" s="48"/>
      <c r="L6325" s="65"/>
    </row>
    <row r="6326" spans="5:12">
      <c r="E6326" s="49">
        <v>45070.652777756681</v>
      </c>
      <c r="F6326" s="56">
        <v>28.257948505356854</v>
      </c>
      <c r="G6326" s="48"/>
      <c r="H6326" s="48"/>
      <c r="I6326" s="48"/>
      <c r="J6326" s="48"/>
      <c r="L6326" s="65"/>
    </row>
    <row r="6327" spans="5:12">
      <c r="E6327" s="49">
        <v>45070.6562499789</v>
      </c>
      <c r="F6327" s="56">
        <v>28.257948505356854</v>
      </c>
      <c r="G6327" s="48"/>
      <c r="H6327" s="48"/>
      <c r="I6327" s="48"/>
      <c r="J6327" s="48"/>
      <c r="L6327" s="65"/>
    </row>
    <row r="6328" spans="5:12">
      <c r="E6328" s="49">
        <v>45070.659722201119</v>
      </c>
      <c r="F6328" s="56">
        <v>28.257948505356854</v>
      </c>
      <c r="G6328" s="48"/>
      <c r="H6328" s="48"/>
      <c r="I6328" s="48"/>
      <c r="J6328" s="48"/>
      <c r="L6328" s="65"/>
    </row>
    <row r="6329" spans="5:12">
      <c r="E6329" s="49">
        <v>45070.663194423338</v>
      </c>
      <c r="F6329" s="56">
        <v>28.257948505356854</v>
      </c>
      <c r="G6329" s="48"/>
      <c r="H6329" s="48"/>
      <c r="I6329" s="48"/>
      <c r="J6329" s="48"/>
      <c r="L6329" s="65"/>
    </row>
    <row r="6330" spans="5:12">
      <c r="E6330" s="49">
        <v>45070.666666645557</v>
      </c>
      <c r="F6330" s="56">
        <v>28.257948505356854</v>
      </c>
      <c r="G6330" s="48"/>
      <c r="H6330" s="48"/>
      <c r="I6330" s="48"/>
      <c r="J6330" s="48"/>
      <c r="L6330" s="65"/>
    </row>
    <row r="6331" spans="5:12">
      <c r="E6331" s="49">
        <v>45070.670138867776</v>
      </c>
      <c r="F6331" s="56">
        <v>28.257948505356854</v>
      </c>
      <c r="G6331" s="48"/>
      <c r="H6331" s="48"/>
      <c r="I6331" s="48"/>
      <c r="J6331" s="48"/>
      <c r="L6331" s="65"/>
    </row>
    <row r="6332" spans="5:12">
      <c r="E6332" s="49">
        <v>45070.673611089995</v>
      </c>
      <c r="F6332" s="56">
        <v>28.257948505356854</v>
      </c>
      <c r="G6332" s="48"/>
      <c r="H6332" s="48"/>
      <c r="I6332" s="48"/>
      <c r="J6332" s="48"/>
      <c r="L6332" s="65"/>
    </row>
    <row r="6333" spans="5:12">
      <c r="E6333" s="49">
        <v>45070.677083312214</v>
      </c>
      <c r="F6333" s="56">
        <v>28.257948505356854</v>
      </c>
      <c r="G6333" s="48"/>
      <c r="H6333" s="48"/>
      <c r="I6333" s="48"/>
      <c r="J6333" s="48"/>
      <c r="L6333" s="65"/>
    </row>
    <row r="6334" spans="5:12">
      <c r="E6334" s="49">
        <v>45070.680555534433</v>
      </c>
      <c r="F6334" s="56">
        <v>28.257948505356854</v>
      </c>
      <c r="G6334" s="48"/>
      <c r="H6334" s="48"/>
      <c r="I6334" s="48"/>
      <c r="J6334" s="48"/>
      <c r="L6334" s="65"/>
    </row>
    <row r="6335" spans="5:12">
      <c r="E6335" s="49">
        <v>45070.684027756652</v>
      </c>
      <c r="F6335" s="56">
        <v>28.257948505356854</v>
      </c>
      <c r="G6335" s="48"/>
      <c r="H6335" s="48"/>
      <c r="I6335" s="48"/>
      <c r="J6335" s="48"/>
      <c r="L6335" s="65"/>
    </row>
    <row r="6336" spans="5:12">
      <c r="E6336" s="49">
        <v>45070.687499978871</v>
      </c>
      <c r="F6336" s="56">
        <v>37.714726057848729</v>
      </c>
      <c r="G6336" s="48"/>
      <c r="H6336" s="48"/>
      <c r="I6336" s="48"/>
      <c r="J6336" s="48"/>
      <c r="L6336" s="65"/>
    </row>
    <row r="6337" spans="5:12">
      <c r="E6337" s="49">
        <v>45070.69097220109</v>
      </c>
      <c r="F6337" s="56">
        <v>37.714726057848729</v>
      </c>
      <c r="G6337" s="48"/>
      <c r="H6337" s="48"/>
      <c r="I6337" s="48"/>
      <c r="J6337" s="48"/>
      <c r="L6337" s="65"/>
    </row>
    <row r="6338" spans="5:12">
      <c r="E6338" s="49">
        <v>45070.694444423309</v>
      </c>
      <c r="F6338" s="56">
        <v>37.714726057848729</v>
      </c>
      <c r="G6338" s="48"/>
      <c r="H6338" s="48"/>
      <c r="I6338" s="48"/>
      <c r="J6338" s="48"/>
      <c r="L6338" s="65"/>
    </row>
    <row r="6339" spans="5:12">
      <c r="E6339" s="49">
        <v>45070.697916645528</v>
      </c>
      <c r="F6339" s="56">
        <v>37.714726057848729</v>
      </c>
      <c r="G6339" s="48"/>
      <c r="H6339" s="48"/>
      <c r="I6339" s="48"/>
      <c r="J6339" s="48"/>
      <c r="L6339" s="65"/>
    </row>
    <row r="6340" spans="5:12">
      <c r="E6340" s="49">
        <v>45070.701388867747</v>
      </c>
      <c r="F6340" s="56">
        <v>37.714726057848729</v>
      </c>
      <c r="G6340" s="48"/>
      <c r="H6340" s="48"/>
      <c r="I6340" s="48"/>
      <c r="J6340" s="48"/>
      <c r="L6340" s="65"/>
    </row>
    <row r="6341" spans="5:12">
      <c r="E6341" s="49">
        <v>45070.704861089966</v>
      </c>
      <c r="F6341" s="56">
        <v>37.714726057848729</v>
      </c>
      <c r="G6341" s="48"/>
      <c r="H6341" s="48"/>
      <c r="I6341" s="48"/>
      <c r="J6341" s="48"/>
      <c r="L6341" s="65"/>
    </row>
    <row r="6342" spans="5:12">
      <c r="E6342" s="49">
        <v>45070.708333312185</v>
      </c>
      <c r="F6342" s="56">
        <v>37.714726057848729</v>
      </c>
      <c r="G6342" s="48"/>
      <c r="H6342" s="48"/>
      <c r="I6342" s="48"/>
      <c r="J6342" s="48"/>
      <c r="L6342" s="65"/>
    </row>
    <row r="6343" spans="5:12">
      <c r="E6343" s="49">
        <v>45070.711805534404</v>
      </c>
      <c r="F6343" s="56">
        <v>14.187442364134993</v>
      </c>
      <c r="G6343" s="48"/>
      <c r="H6343" s="48"/>
      <c r="I6343" s="48"/>
      <c r="J6343" s="48"/>
      <c r="L6343" s="65"/>
    </row>
    <row r="6344" spans="5:12">
      <c r="E6344" s="49">
        <v>45070.715277756623</v>
      </c>
      <c r="F6344" s="56">
        <v>14.187442364134993</v>
      </c>
      <c r="G6344" s="48"/>
      <c r="H6344" s="48"/>
      <c r="I6344" s="48"/>
      <c r="J6344" s="48"/>
      <c r="L6344" s="65"/>
    </row>
    <row r="6345" spans="5:12">
      <c r="E6345" s="49">
        <v>45070.718749978842</v>
      </c>
      <c r="F6345" s="56">
        <v>14.187442364134993</v>
      </c>
      <c r="G6345" s="48"/>
      <c r="H6345" s="48"/>
      <c r="I6345" s="48"/>
      <c r="J6345" s="48"/>
      <c r="L6345" s="65"/>
    </row>
    <row r="6346" spans="5:12">
      <c r="E6346" s="49">
        <v>45070.722222201061</v>
      </c>
      <c r="F6346" s="56">
        <v>14.187442364134993</v>
      </c>
      <c r="G6346" s="48"/>
      <c r="H6346" s="48"/>
      <c r="I6346" s="48"/>
      <c r="J6346" s="48"/>
      <c r="L6346" s="65"/>
    </row>
    <row r="6347" spans="5:12">
      <c r="E6347" s="49">
        <v>45070.725694423279</v>
      </c>
      <c r="F6347" s="56">
        <v>14.187442364134993</v>
      </c>
      <c r="G6347" s="48"/>
      <c r="H6347" s="48"/>
      <c r="I6347" s="48"/>
      <c r="J6347" s="48"/>
      <c r="L6347" s="65"/>
    </row>
    <row r="6348" spans="5:12">
      <c r="E6348" s="49">
        <v>45070.729166645498</v>
      </c>
      <c r="F6348" s="56">
        <v>14.187442364134993</v>
      </c>
      <c r="G6348" s="48"/>
      <c r="H6348" s="48"/>
      <c r="I6348" s="48"/>
      <c r="J6348" s="48"/>
      <c r="L6348" s="65"/>
    </row>
    <row r="6349" spans="5:12">
      <c r="E6349" s="49">
        <v>45070.732638867717</v>
      </c>
      <c r="F6349" s="56">
        <v>14.187442364134993</v>
      </c>
      <c r="G6349" s="48"/>
      <c r="H6349" s="48"/>
      <c r="I6349" s="48"/>
      <c r="J6349" s="48"/>
      <c r="L6349" s="65"/>
    </row>
    <row r="6350" spans="5:12">
      <c r="E6350" s="49">
        <v>45070.736111089936</v>
      </c>
      <c r="F6350" s="56">
        <v>14.187442364134993</v>
      </c>
      <c r="G6350" s="48"/>
      <c r="H6350" s="48"/>
      <c r="I6350" s="48"/>
      <c r="J6350" s="48"/>
      <c r="L6350" s="65"/>
    </row>
    <row r="6351" spans="5:12">
      <c r="E6351" s="49">
        <v>45070.739583312155</v>
      </c>
      <c r="F6351" s="56">
        <v>14.187442364134993</v>
      </c>
      <c r="G6351" s="48"/>
      <c r="H6351" s="48"/>
      <c r="I6351" s="48"/>
      <c r="J6351" s="48"/>
      <c r="L6351" s="65"/>
    </row>
    <row r="6352" spans="5:12">
      <c r="E6352" s="49">
        <v>45070.743055534374</v>
      </c>
      <c r="F6352" s="56">
        <v>14.187442364134993</v>
      </c>
      <c r="G6352" s="48"/>
      <c r="H6352" s="48"/>
      <c r="I6352" s="48"/>
      <c r="J6352" s="48"/>
      <c r="L6352" s="65"/>
    </row>
    <row r="6353" spans="5:12">
      <c r="E6353" s="49">
        <v>45070.746527756593</v>
      </c>
      <c r="F6353" s="56">
        <v>14.187442364134993</v>
      </c>
      <c r="G6353" s="48"/>
      <c r="H6353" s="48"/>
      <c r="I6353" s="48"/>
      <c r="J6353" s="48"/>
      <c r="L6353" s="65"/>
    </row>
    <row r="6354" spans="5:12">
      <c r="E6354" s="49">
        <v>45070.749999978812</v>
      </c>
      <c r="F6354" s="56">
        <v>14.187442364134993</v>
      </c>
      <c r="G6354" s="48"/>
      <c r="H6354" s="48"/>
      <c r="I6354" s="48"/>
      <c r="J6354" s="48"/>
      <c r="L6354" s="65"/>
    </row>
    <row r="6355" spans="5:12">
      <c r="E6355" s="49">
        <v>45070.753472201031</v>
      </c>
      <c r="F6355" s="56">
        <v>14.187442364134993</v>
      </c>
      <c r="G6355" s="48"/>
      <c r="H6355" s="48"/>
      <c r="I6355" s="48"/>
      <c r="J6355" s="48"/>
      <c r="L6355" s="65"/>
    </row>
    <row r="6356" spans="5:12">
      <c r="E6356" s="49">
        <v>45070.75694442325</v>
      </c>
      <c r="F6356" s="56">
        <v>14.187442364134993</v>
      </c>
      <c r="G6356" s="48"/>
      <c r="H6356" s="48"/>
      <c r="I6356" s="48"/>
      <c r="J6356" s="48"/>
      <c r="L6356" s="65"/>
    </row>
    <row r="6357" spans="5:12">
      <c r="E6357" s="49">
        <v>45070.760416645469</v>
      </c>
      <c r="F6357" s="56">
        <v>14.187442364134993</v>
      </c>
      <c r="G6357" s="48"/>
      <c r="H6357" s="48"/>
      <c r="I6357" s="48"/>
      <c r="J6357" s="48"/>
      <c r="L6357" s="65"/>
    </row>
    <row r="6358" spans="5:12">
      <c r="E6358" s="49">
        <v>45070.763888867688</v>
      </c>
      <c r="F6358" s="56">
        <v>14.187442364134993</v>
      </c>
      <c r="G6358" s="48"/>
      <c r="H6358" s="48"/>
      <c r="I6358" s="48"/>
      <c r="J6358" s="48"/>
      <c r="L6358" s="65"/>
    </row>
    <row r="6359" spans="5:12">
      <c r="E6359" s="49">
        <v>45070.767361089907</v>
      </c>
      <c r="F6359" s="56">
        <v>14.187442364134993</v>
      </c>
      <c r="G6359" s="48"/>
      <c r="H6359" s="48"/>
      <c r="I6359" s="48"/>
      <c r="J6359" s="48"/>
      <c r="L6359" s="65"/>
    </row>
    <row r="6360" spans="5:12">
      <c r="E6360" s="49">
        <v>45070.770833312126</v>
      </c>
      <c r="F6360" s="56">
        <v>14.187442364134993</v>
      </c>
      <c r="G6360" s="48"/>
      <c r="H6360" s="48"/>
      <c r="I6360" s="48"/>
      <c r="J6360" s="48"/>
      <c r="L6360" s="65"/>
    </row>
    <row r="6361" spans="5:12">
      <c r="E6361" s="49">
        <v>45070.774305534345</v>
      </c>
      <c r="F6361" s="56">
        <v>14.187442364134993</v>
      </c>
      <c r="G6361" s="48"/>
      <c r="H6361" s="48"/>
      <c r="I6361" s="48"/>
      <c r="J6361" s="48"/>
      <c r="L6361" s="65"/>
    </row>
    <row r="6362" spans="5:12">
      <c r="E6362" s="49">
        <v>45070.777777756564</v>
      </c>
      <c r="F6362" s="56">
        <v>14.187442364134993</v>
      </c>
      <c r="G6362" s="48"/>
      <c r="H6362" s="48"/>
      <c r="I6362" s="48"/>
      <c r="J6362" s="48"/>
      <c r="L6362" s="65"/>
    </row>
    <row r="6363" spans="5:12">
      <c r="E6363" s="49">
        <v>45070.781249978783</v>
      </c>
      <c r="F6363" s="56">
        <v>14.187442364134993</v>
      </c>
      <c r="G6363" s="48"/>
      <c r="H6363" s="48"/>
      <c r="I6363" s="48"/>
      <c r="J6363" s="48"/>
      <c r="L6363" s="65"/>
    </row>
    <row r="6364" spans="5:12">
      <c r="E6364" s="49">
        <v>45070.784722201002</v>
      </c>
      <c r="F6364" s="56">
        <v>14.187442364134993</v>
      </c>
      <c r="G6364" s="48"/>
      <c r="H6364" s="48"/>
      <c r="I6364" s="48"/>
      <c r="J6364" s="48"/>
      <c r="L6364" s="65"/>
    </row>
    <row r="6365" spans="5:12">
      <c r="E6365" s="49">
        <v>45070.788194423221</v>
      </c>
      <c r="F6365" s="56">
        <v>14.187442364134993</v>
      </c>
      <c r="G6365" s="48"/>
      <c r="H6365" s="48"/>
      <c r="I6365" s="48"/>
      <c r="J6365" s="48"/>
      <c r="L6365" s="65"/>
    </row>
    <row r="6366" spans="5:12">
      <c r="E6366" s="49">
        <v>45070.79166664544</v>
      </c>
      <c r="F6366" s="56">
        <v>14.187442364134993</v>
      </c>
      <c r="G6366" s="48"/>
      <c r="H6366" s="48"/>
      <c r="I6366" s="48"/>
      <c r="J6366" s="48"/>
      <c r="L6366" s="65"/>
    </row>
    <row r="6367" spans="5:12">
      <c r="E6367" s="49">
        <v>45070.795138867659</v>
      </c>
      <c r="F6367" s="56">
        <v>14.187442364134993</v>
      </c>
      <c r="G6367" s="48"/>
      <c r="H6367" s="48"/>
      <c r="I6367" s="48"/>
      <c r="J6367" s="48"/>
      <c r="L6367" s="65"/>
    </row>
    <row r="6368" spans="5:12">
      <c r="E6368" s="49">
        <v>45070.798611089878</v>
      </c>
      <c r="F6368" s="56">
        <v>14.187442364134993</v>
      </c>
      <c r="G6368" s="48"/>
      <c r="H6368" s="48"/>
      <c r="I6368" s="48"/>
      <c r="J6368" s="48"/>
      <c r="L6368" s="65"/>
    </row>
    <row r="6369" spans="5:12">
      <c r="E6369" s="49">
        <v>45070.802083312097</v>
      </c>
      <c r="F6369" s="56">
        <v>14.187442364134993</v>
      </c>
      <c r="G6369" s="48"/>
      <c r="H6369" s="48"/>
      <c r="I6369" s="48"/>
      <c r="J6369" s="48"/>
      <c r="L6369" s="65"/>
    </row>
    <row r="6370" spans="5:12">
      <c r="E6370" s="49">
        <v>45070.805555534316</v>
      </c>
      <c r="F6370" s="56">
        <v>14.187442364134993</v>
      </c>
      <c r="G6370" s="48"/>
      <c r="H6370" s="48"/>
      <c r="I6370" s="48"/>
      <c r="J6370" s="48"/>
      <c r="L6370" s="65"/>
    </row>
    <row r="6371" spans="5:12">
      <c r="E6371" s="49">
        <v>45070.809027756535</v>
      </c>
      <c r="F6371" s="56">
        <v>14.187442364134993</v>
      </c>
      <c r="G6371" s="48"/>
      <c r="H6371" s="48"/>
      <c r="I6371" s="48"/>
      <c r="J6371" s="48"/>
      <c r="L6371" s="65"/>
    </row>
    <row r="6372" spans="5:12">
      <c r="E6372" s="49">
        <v>45070.812499978754</v>
      </c>
      <c r="F6372" s="56">
        <v>14.187442364134993</v>
      </c>
      <c r="G6372" s="48"/>
      <c r="H6372" s="48"/>
      <c r="I6372" s="48"/>
      <c r="J6372" s="48"/>
      <c r="L6372" s="65"/>
    </row>
    <row r="6373" spans="5:12">
      <c r="E6373" s="49">
        <v>45070.815972200973</v>
      </c>
      <c r="F6373" s="56">
        <v>14.187442364134993</v>
      </c>
      <c r="G6373" s="48"/>
      <c r="H6373" s="48"/>
      <c r="I6373" s="48"/>
      <c r="J6373" s="48"/>
      <c r="L6373" s="65"/>
    </row>
    <row r="6374" spans="5:12">
      <c r="E6374" s="49">
        <v>45070.819444423192</v>
      </c>
      <c r="F6374" s="56">
        <v>14.187442364134993</v>
      </c>
      <c r="G6374" s="48"/>
      <c r="H6374" s="48"/>
      <c r="I6374" s="48"/>
      <c r="J6374" s="48"/>
      <c r="L6374" s="65"/>
    </row>
    <row r="6375" spans="5:12">
      <c r="E6375" s="49">
        <v>45070.822916645411</v>
      </c>
      <c r="F6375" s="56">
        <v>14.187442364134993</v>
      </c>
      <c r="G6375" s="48"/>
      <c r="H6375" s="48"/>
      <c r="I6375" s="48"/>
      <c r="J6375" s="48"/>
      <c r="L6375" s="65"/>
    </row>
    <row r="6376" spans="5:12">
      <c r="E6376" s="49">
        <v>45070.82638886763</v>
      </c>
      <c r="F6376" s="56">
        <v>14.187442364134993</v>
      </c>
      <c r="G6376" s="48"/>
      <c r="H6376" s="48"/>
      <c r="I6376" s="48"/>
      <c r="J6376" s="48"/>
      <c r="L6376" s="65"/>
    </row>
    <row r="6377" spans="5:12">
      <c r="E6377" s="49">
        <v>45070.829861089849</v>
      </c>
      <c r="F6377" s="56">
        <v>14.187442364134993</v>
      </c>
      <c r="G6377" s="48"/>
      <c r="H6377" s="48"/>
      <c r="I6377" s="48"/>
      <c r="J6377" s="48"/>
      <c r="L6377" s="65"/>
    </row>
    <row r="6378" spans="5:12">
      <c r="E6378" s="49">
        <v>45070.833333312068</v>
      </c>
      <c r="F6378" s="56">
        <v>14.187442364134993</v>
      </c>
      <c r="G6378" s="48"/>
      <c r="H6378" s="48"/>
      <c r="I6378" s="48"/>
      <c r="J6378" s="48"/>
      <c r="L6378" s="65"/>
    </row>
    <row r="6379" spans="5:12">
      <c r="E6379" s="49">
        <v>45070.836805534287</v>
      </c>
      <c r="F6379" s="56">
        <v>14.187442364134993</v>
      </c>
      <c r="G6379" s="48"/>
      <c r="H6379" s="48"/>
      <c r="I6379" s="48"/>
      <c r="J6379" s="48"/>
      <c r="L6379" s="65"/>
    </row>
    <row r="6380" spans="5:12">
      <c r="E6380" s="49">
        <v>45070.840277756506</v>
      </c>
      <c r="F6380" s="56">
        <v>14.187442364134993</v>
      </c>
      <c r="G6380" s="48"/>
      <c r="H6380" s="48"/>
      <c r="I6380" s="48"/>
      <c r="J6380" s="48"/>
      <c r="L6380" s="65"/>
    </row>
    <row r="6381" spans="5:12">
      <c r="E6381" s="49">
        <v>45070.843749978725</v>
      </c>
      <c r="F6381" s="56">
        <v>14.187442364134993</v>
      </c>
      <c r="G6381" s="48"/>
      <c r="H6381" s="48"/>
      <c r="I6381" s="48"/>
      <c r="J6381" s="48"/>
      <c r="L6381" s="65"/>
    </row>
    <row r="6382" spans="5:12">
      <c r="E6382" s="49">
        <v>45070.847222200944</v>
      </c>
      <c r="F6382" s="56">
        <v>14.187442364134993</v>
      </c>
      <c r="G6382" s="48"/>
      <c r="H6382" s="48"/>
      <c r="I6382" s="48"/>
      <c r="J6382" s="48"/>
      <c r="L6382" s="65"/>
    </row>
    <row r="6383" spans="5:12">
      <c r="E6383" s="49">
        <v>45070.850694423163</v>
      </c>
      <c r="F6383" s="56">
        <v>14.187442364134993</v>
      </c>
      <c r="G6383" s="48"/>
      <c r="H6383" s="48"/>
      <c r="I6383" s="48"/>
      <c r="J6383" s="48"/>
      <c r="L6383" s="65"/>
    </row>
    <row r="6384" spans="5:12">
      <c r="E6384" s="49">
        <v>45070.854166645382</v>
      </c>
      <c r="F6384" s="56">
        <v>14.187442364134993</v>
      </c>
      <c r="G6384" s="48"/>
      <c r="H6384" s="48"/>
      <c r="I6384" s="48"/>
      <c r="J6384" s="48"/>
      <c r="L6384" s="65"/>
    </row>
    <row r="6385" spans="5:12">
      <c r="E6385" s="49">
        <v>45070.857638867601</v>
      </c>
      <c r="F6385" s="56">
        <v>14.187442364134993</v>
      </c>
      <c r="G6385" s="48"/>
      <c r="H6385" s="48"/>
      <c r="I6385" s="48"/>
      <c r="J6385" s="48"/>
      <c r="L6385" s="65"/>
    </row>
    <row r="6386" spans="5:12">
      <c r="E6386" s="49">
        <v>45070.86111108982</v>
      </c>
      <c r="F6386" s="56">
        <v>14.187442364134993</v>
      </c>
      <c r="G6386" s="48"/>
      <c r="H6386" s="48"/>
      <c r="I6386" s="48"/>
      <c r="J6386" s="48"/>
      <c r="L6386" s="65"/>
    </row>
    <row r="6387" spans="5:12">
      <c r="E6387" s="49">
        <v>45070.864583312039</v>
      </c>
      <c r="F6387" s="56">
        <v>14.187442364134993</v>
      </c>
      <c r="G6387" s="48"/>
      <c r="H6387" s="48"/>
      <c r="I6387" s="48"/>
      <c r="J6387" s="48"/>
      <c r="L6387" s="65"/>
    </row>
    <row r="6388" spans="5:12">
      <c r="E6388" s="49">
        <v>45070.868055534258</v>
      </c>
      <c r="F6388" s="56">
        <v>14.187442364134993</v>
      </c>
      <c r="G6388" s="48"/>
      <c r="H6388" s="48"/>
      <c r="I6388" s="48"/>
      <c r="J6388" s="48"/>
      <c r="L6388" s="65"/>
    </row>
    <row r="6389" spans="5:12">
      <c r="E6389" s="49">
        <v>45070.871527756477</v>
      </c>
      <c r="F6389" s="56">
        <v>14.187442364134993</v>
      </c>
      <c r="G6389" s="48"/>
      <c r="H6389" s="48"/>
      <c r="I6389" s="48"/>
      <c r="J6389" s="48"/>
      <c r="L6389" s="65"/>
    </row>
    <row r="6390" spans="5:12">
      <c r="E6390" s="49">
        <v>45070.874999978696</v>
      </c>
      <c r="F6390" s="56">
        <v>14.187442364134993</v>
      </c>
      <c r="G6390" s="48"/>
      <c r="H6390" s="48"/>
      <c r="I6390" s="48"/>
      <c r="J6390" s="48"/>
      <c r="L6390" s="65"/>
    </row>
    <row r="6391" spans="5:12">
      <c r="E6391" s="49">
        <v>45070.878472200915</v>
      </c>
      <c r="F6391" s="56">
        <v>14.187442364134993</v>
      </c>
      <c r="G6391" s="48"/>
      <c r="H6391" s="48"/>
      <c r="I6391" s="48"/>
      <c r="J6391" s="48"/>
      <c r="L6391" s="65"/>
    </row>
    <row r="6392" spans="5:12">
      <c r="E6392" s="49">
        <v>45070.881944423134</v>
      </c>
      <c r="F6392" s="56">
        <v>14.187442364134993</v>
      </c>
      <c r="G6392" s="48"/>
      <c r="H6392" s="48"/>
      <c r="I6392" s="48"/>
      <c r="J6392" s="48"/>
      <c r="L6392" s="65"/>
    </row>
    <row r="6393" spans="5:12">
      <c r="E6393" s="49">
        <v>45070.885416645353</v>
      </c>
      <c r="F6393" s="56">
        <v>14.187442364134993</v>
      </c>
      <c r="G6393" s="48"/>
      <c r="H6393" s="48"/>
      <c r="I6393" s="48"/>
      <c r="J6393" s="48"/>
      <c r="L6393" s="65"/>
    </row>
    <row r="6394" spans="5:12">
      <c r="E6394" s="49">
        <v>45070.888888867572</v>
      </c>
      <c r="F6394" s="56">
        <v>14.187442364134993</v>
      </c>
      <c r="G6394" s="48"/>
      <c r="H6394" s="48"/>
      <c r="I6394" s="48"/>
      <c r="J6394" s="48"/>
      <c r="L6394" s="65"/>
    </row>
    <row r="6395" spans="5:12">
      <c r="E6395" s="49">
        <v>45070.892361089791</v>
      </c>
      <c r="F6395" s="56">
        <v>14.187442364134993</v>
      </c>
      <c r="G6395" s="48"/>
      <c r="H6395" s="48"/>
      <c r="I6395" s="48"/>
      <c r="J6395" s="48"/>
      <c r="L6395" s="65"/>
    </row>
    <row r="6396" spans="5:12">
      <c r="E6396" s="49">
        <v>45070.89583331201</v>
      </c>
      <c r="F6396" s="56">
        <v>14.187442364134993</v>
      </c>
      <c r="G6396" s="48"/>
      <c r="H6396" s="48"/>
      <c r="I6396" s="48"/>
      <c r="J6396" s="48"/>
      <c r="L6396" s="65"/>
    </row>
    <row r="6397" spans="5:12">
      <c r="E6397" s="49">
        <v>45070.899305534229</v>
      </c>
      <c r="F6397" s="56">
        <v>14.187442364134993</v>
      </c>
      <c r="G6397" s="48"/>
      <c r="H6397" s="48"/>
      <c r="I6397" s="48"/>
      <c r="J6397" s="48"/>
      <c r="L6397" s="65"/>
    </row>
    <row r="6398" spans="5:12">
      <c r="E6398" s="49">
        <v>45070.902777756448</v>
      </c>
      <c r="F6398" s="56">
        <v>14.187442364134993</v>
      </c>
      <c r="G6398" s="48"/>
      <c r="H6398" s="48"/>
      <c r="I6398" s="48"/>
      <c r="J6398" s="48"/>
      <c r="L6398" s="65"/>
    </row>
    <row r="6399" spans="5:12">
      <c r="E6399" s="49">
        <v>45070.906249978667</v>
      </c>
      <c r="F6399" s="56">
        <v>14.187442364134993</v>
      </c>
      <c r="G6399" s="48"/>
      <c r="H6399" s="48"/>
      <c r="I6399" s="48"/>
      <c r="J6399" s="48"/>
      <c r="L6399" s="65"/>
    </row>
    <row r="6400" spans="5:12">
      <c r="E6400" s="49">
        <v>45070.909722200886</v>
      </c>
      <c r="F6400" s="56">
        <v>14.187442364134993</v>
      </c>
      <c r="G6400" s="48"/>
      <c r="H6400" s="48"/>
      <c r="I6400" s="48"/>
      <c r="J6400" s="48"/>
      <c r="L6400" s="65"/>
    </row>
    <row r="6401" spans="5:12">
      <c r="E6401" s="49">
        <v>45070.913194423105</v>
      </c>
      <c r="F6401" s="56">
        <v>14.187442364134993</v>
      </c>
      <c r="G6401" s="48"/>
      <c r="H6401" s="48"/>
      <c r="I6401" s="48"/>
      <c r="J6401" s="48"/>
      <c r="L6401" s="65"/>
    </row>
    <row r="6402" spans="5:12">
      <c r="E6402" s="49">
        <v>45070.916666645324</v>
      </c>
      <c r="F6402" s="56">
        <v>14.187442364134993</v>
      </c>
      <c r="G6402" s="48"/>
      <c r="H6402" s="48"/>
      <c r="I6402" s="48"/>
      <c r="J6402" s="48"/>
      <c r="L6402" s="65"/>
    </row>
    <row r="6403" spans="5:12">
      <c r="E6403" s="49">
        <v>45070.920138867543</v>
      </c>
      <c r="F6403" s="56">
        <v>14.187442364134993</v>
      </c>
      <c r="G6403" s="48"/>
      <c r="H6403" s="48"/>
      <c r="I6403" s="48"/>
      <c r="J6403" s="48"/>
      <c r="L6403" s="65"/>
    </row>
    <row r="6404" spans="5:12">
      <c r="E6404" s="49">
        <v>45070.923611089762</v>
      </c>
      <c r="F6404" s="56">
        <v>14.187442364134993</v>
      </c>
      <c r="G6404" s="48"/>
      <c r="H6404" s="48"/>
      <c r="I6404" s="48"/>
      <c r="J6404" s="48"/>
      <c r="L6404" s="65"/>
    </row>
    <row r="6405" spans="5:12">
      <c r="E6405" s="49">
        <v>45070.927083311981</v>
      </c>
      <c r="F6405" s="56">
        <v>14.187442364134993</v>
      </c>
      <c r="G6405" s="48"/>
      <c r="H6405" s="48"/>
      <c r="I6405" s="48"/>
      <c r="J6405" s="48"/>
      <c r="L6405" s="65"/>
    </row>
    <row r="6406" spans="5:12">
      <c r="E6406" s="49">
        <v>45070.9305555342</v>
      </c>
      <c r="F6406" s="56">
        <v>14.187442364134993</v>
      </c>
      <c r="G6406" s="48"/>
      <c r="H6406" s="48"/>
      <c r="I6406" s="48"/>
      <c r="J6406" s="48"/>
      <c r="L6406" s="65"/>
    </row>
    <row r="6407" spans="5:12">
      <c r="E6407" s="49">
        <v>45070.934027756419</v>
      </c>
      <c r="F6407" s="56">
        <v>14.187442364134993</v>
      </c>
      <c r="G6407" s="48"/>
      <c r="H6407" s="48"/>
      <c r="I6407" s="48"/>
      <c r="J6407" s="48"/>
      <c r="L6407" s="65"/>
    </row>
    <row r="6408" spans="5:12">
      <c r="E6408" s="49">
        <v>45070.937499978638</v>
      </c>
      <c r="F6408" s="56">
        <v>14.187442364134993</v>
      </c>
      <c r="G6408" s="48"/>
      <c r="H6408" s="48"/>
      <c r="I6408" s="48"/>
      <c r="J6408" s="48"/>
      <c r="L6408" s="65"/>
    </row>
    <row r="6409" spans="5:12">
      <c r="E6409" s="49">
        <v>45070.940972200857</v>
      </c>
      <c r="F6409" s="56">
        <v>14.187442364134993</v>
      </c>
      <c r="G6409" s="48"/>
      <c r="H6409" s="48"/>
      <c r="I6409" s="48"/>
      <c r="J6409" s="48"/>
      <c r="L6409" s="65"/>
    </row>
    <row r="6410" spans="5:12">
      <c r="E6410" s="49">
        <v>45070.944444423076</v>
      </c>
      <c r="F6410" s="56">
        <v>14.187442364134993</v>
      </c>
      <c r="G6410" s="48"/>
      <c r="H6410" s="48"/>
      <c r="I6410" s="48"/>
      <c r="J6410" s="48"/>
      <c r="L6410" s="65"/>
    </row>
    <row r="6411" spans="5:12">
      <c r="E6411" s="49">
        <v>45070.947916645295</v>
      </c>
      <c r="F6411" s="56">
        <v>14.187442364134993</v>
      </c>
      <c r="G6411" s="48"/>
      <c r="H6411" s="48"/>
      <c r="I6411" s="48"/>
      <c r="J6411" s="48"/>
      <c r="L6411" s="65"/>
    </row>
    <row r="6412" spans="5:12">
      <c r="E6412" s="49">
        <v>45070.951388867514</v>
      </c>
      <c r="F6412" s="56">
        <v>14.187442364134993</v>
      </c>
      <c r="G6412" s="48"/>
      <c r="H6412" s="48"/>
      <c r="I6412" s="48"/>
      <c r="J6412" s="48"/>
      <c r="L6412" s="65"/>
    </row>
    <row r="6413" spans="5:12">
      <c r="E6413" s="49">
        <v>45070.954861089733</v>
      </c>
      <c r="F6413" s="56">
        <v>14.187442364134993</v>
      </c>
      <c r="G6413" s="48"/>
      <c r="H6413" s="48"/>
      <c r="I6413" s="48"/>
      <c r="J6413" s="48"/>
      <c r="L6413" s="65"/>
    </row>
    <row r="6414" spans="5:12">
      <c r="E6414" s="49">
        <v>45070.958333311952</v>
      </c>
      <c r="F6414" s="56">
        <v>14.187442364134993</v>
      </c>
      <c r="G6414" s="48"/>
      <c r="H6414" s="48"/>
      <c r="I6414" s="48"/>
      <c r="J6414" s="48"/>
      <c r="L6414" s="65"/>
    </row>
    <row r="6415" spans="5:12">
      <c r="E6415" s="49">
        <v>45070.961805534171</v>
      </c>
      <c r="F6415" s="56">
        <v>14.187442364134993</v>
      </c>
      <c r="G6415" s="48"/>
      <c r="H6415" s="48"/>
      <c r="I6415" s="48"/>
      <c r="J6415" s="48"/>
      <c r="L6415" s="65"/>
    </row>
    <row r="6416" spans="5:12">
      <c r="E6416" s="49">
        <v>45070.96527775639</v>
      </c>
      <c r="F6416" s="56">
        <v>14.187442364134993</v>
      </c>
      <c r="G6416" s="48"/>
      <c r="H6416" s="48"/>
      <c r="I6416" s="48"/>
      <c r="J6416" s="48"/>
      <c r="L6416" s="65"/>
    </row>
    <row r="6417" spans="5:12">
      <c r="E6417" s="49">
        <v>45070.968749978609</v>
      </c>
      <c r="F6417" s="56">
        <v>14.187442364134993</v>
      </c>
      <c r="G6417" s="48"/>
      <c r="H6417" s="48"/>
      <c r="I6417" s="48"/>
      <c r="J6417" s="48"/>
      <c r="L6417" s="65"/>
    </row>
    <row r="6418" spans="5:12">
      <c r="E6418" s="49">
        <v>45070.972222200828</v>
      </c>
      <c r="F6418" s="56">
        <v>14.187442364134993</v>
      </c>
      <c r="G6418" s="48"/>
      <c r="H6418" s="48"/>
      <c r="I6418" s="48"/>
      <c r="J6418" s="48"/>
      <c r="L6418" s="65"/>
    </row>
    <row r="6419" spans="5:12">
      <c r="E6419" s="49">
        <v>45070.975694423047</v>
      </c>
      <c r="F6419" s="56">
        <v>14.187442364134993</v>
      </c>
      <c r="G6419" s="48"/>
      <c r="H6419" s="48"/>
      <c r="I6419" s="48"/>
      <c r="J6419" s="48"/>
      <c r="L6419" s="65"/>
    </row>
    <row r="6420" spans="5:12">
      <c r="E6420" s="49">
        <v>45070.979166645266</v>
      </c>
      <c r="F6420" s="56">
        <v>14.187442364134993</v>
      </c>
      <c r="G6420" s="48"/>
      <c r="H6420" s="48"/>
      <c r="I6420" s="48"/>
      <c r="J6420" s="48"/>
      <c r="L6420" s="65"/>
    </row>
    <row r="6421" spans="5:12">
      <c r="E6421" s="49">
        <v>45070.982638867485</v>
      </c>
      <c r="F6421" s="56">
        <v>14.187442364134993</v>
      </c>
      <c r="G6421" s="48"/>
      <c r="H6421" s="48"/>
      <c r="I6421" s="48"/>
      <c r="J6421" s="48"/>
      <c r="L6421" s="65"/>
    </row>
    <row r="6422" spans="5:12">
      <c r="E6422" s="49">
        <v>45070.986111089704</v>
      </c>
      <c r="F6422" s="56">
        <v>14.187442364134993</v>
      </c>
      <c r="G6422" s="48"/>
      <c r="H6422" s="48"/>
      <c r="I6422" s="48"/>
      <c r="J6422" s="48"/>
      <c r="L6422" s="65"/>
    </row>
    <row r="6423" spans="5:12">
      <c r="E6423" s="49">
        <v>45070.989583311923</v>
      </c>
      <c r="F6423" s="56">
        <v>14.187442364134993</v>
      </c>
      <c r="G6423" s="48"/>
      <c r="H6423" s="48"/>
      <c r="I6423" s="48"/>
      <c r="J6423" s="48"/>
      <c r="L6423" s="65"/>
    </row>
    <row r="6424" spans="5:12">
      <c r="E6424" s="49">
        <v>45070.993055534142</v>
      </c>
      <c r="F6424" s="56">
        <v>14.187442364134993</v>
      </c>
      <c r="G6424" s="48"/>
      <c r="H6424" s="48"/>
      <c r="I6424" s="48"/>
      <c r="J6424" s="48"/>
      <c r="L6424" s="65"/>
    </row>
    <row r="6425" spans="5:12">
      <c r="E6425" s="49">
        <v>45070.996527756361</v>
      </c>
      <c r="F6425" s="56">
        <v>14.187442364134993</v>
      </c>
      <c r="G6425" s="48"/>
      <c r="H6425" s="48"/>
      <c r="I6425" s="48"/>
      <c r="J6425" s="48"/>
      <c r="L6425" s="65"/>
    </row>
    <row r="6426" spans="5:12">
      <c r="E6426" s="49">
        <v>45070.99999997858</v>
      </c>
      <c r="F6426" s="56">
        <v>14.187442364134993</v>
      </c>
      <c r="G6426" s="48"/>
      <c r="H6426" s="48"/>
      <c r="I6426" s="48"/>
      <c r="J6426" s="48"/>
      <c r="L6426" s="65"/>
    </row>
    <row r="6427" spans="5:12">
      <c r="E6427" s="49">
        <v>45071.003472200799</v>
      </c>
      <c r="F6427" s="56">
        <v>14.187442364134993</v>
      </c>
      <c r="G6427" s="48"/>
      <c r="H6427" s="48"/>
      <c r="I6427" s="48"/>
      <c r="J6427" s="48"/>
      <c r="L6427" s="65"/>
    </row>
    <row r="6428" spans="5:12">
      <c r="E6428" s="49">
        <v>45071.006944423018</v>
      </c>
      <c r="F6428" s="56">
        <v>14.187442364134993</v>
      </c>
      <c r="G6428" s="48"/>
      <c r="H6428" s="48"/>
      <c r="I6428" s="48"/>
      <c r="J6428" s="48"/>
      <c r="L6428" s="65"/>
    </row>
    <row r="6429" spans="5:12">
      <c r="E6429" s="49">
        <v>45071.010416645237</v>
      </c>
      <c r="F6429" s="56">
        <v>14.187442364134993</v>
      </c>
      <c r="G6429" s="48"/>
      <c r="H6429" s="48"/>
      <c r="I6429" s="48"/>
      <c r="J6429" s="48"/>
      <c r="L6429" s="65"/>
    </row>
    <row r="6430" spans="5:12">
      <c r="E6430" s="49">
        <v>45071.013888867456</v>
      </c>
      <c r="F6430" s="56">
        <v>14.187442364134993</v>
      </c>
      <c r="G6430" s="48"/>
      <c r="H6430" s="48"/>
      <c r="I6430" s="48"/>
      <c r="J6430" s="48"/>
      <c r="L6430" s="65"/>
    </row>
    <row r="6431" spans="5:12">
      <c r="E6431" s="49">
        <v>45071.017361089675</v>
      </c>
      <c r="F6431" s="56">
        <v>14.187442364134993</v>
      </c>
      <c r="G6431" s="48"/>
      <c r="H6431" s="48"/>
      <c r="I6431" s="48"/>
      <c r="J6431" s="48"/>
      <c r="L6431" s="65"/>
    </row>
    <row r="6432" spans="5:12">
      <c r="E6432" s="49">
        <v>45071.020833311894</v>
      </c>
      <c r="F6432" s="56">
        <v>14.187442364134993</v>
      </c>
      <c r="G6432" s="48"/>
      <c r="H6432" s="48"/>
      <c r="I6432" s="48"/>
      <c r="J6432" s="48"/>
      <c r="L6432" s="65"/>
    </row>
    <row r="6433" spans="5:12">
      <c r="E6433" s="49">
        <v>45071.024305534113</v>
      </c>
      <c r="F6433" s="56">
        <v>14.187442364134993</v>
      </c>
      <c r="G6433" s="48"/>
      <c r="H6433" s="48"/>
      <c r="I6433" s="48"/>
      <c r="J6433" s="48"/>
      <c r="L6433" s="65"/>
    </row>
    <row r="6434" spans="5:12">
      <c r="E6434" s="49">
        <v>45071.027777756331</v>
      </c>
      <c r="F6434" s="56">
        <v>14.187442364134993</v>
      </c>
      <c r="G6434" s="48"/>
      <c r="H6434" s="48"/>
      <c r="I6434" s="48"/>
      <c r="J6434" s="48"/>
      <c r="L6434" s="65"/>
    </row>
    <row r="6435" spans="5:12">
      <c r="E6435" s="49">
        <v>45071.03124997855</v>
      </c>
      <c r="F6435" s="56">
        <v>14.187442364134993</v>
      </c>
      <c r="G6435" s="48"/>
      <c r="H6435" s="48"/>
      <c r="I6435" s="48"/>
      <c r="J6435" s="48"/>
      <c r="L6435" s="65"/>
    </row>
    <row r="6436" spans="5:12">
      <c r="E6436" s="49">
        <v>45071.034722200769</v>
      </c>
      <c r="F6436" s="56">
        <v>14.187442364134993</v>
      </c>
      <c r="G6436" s="48"/>
      <c r="H6436" s="48"/>
      <c r="I6436" s="48"/>
      <c r="J6436" s="48"/>
      <c r="L6436" s="65"/>
    </row>
    <row r="6437" spans="5:12">
      <c r="E6437" s="49">
        <v>45071.038194422988</v>
      </c>
      <c r="F6437" s="56">
        <v>14.187442364134993</v>
      </c>
      <c r="G6437" s="48"/>
      <c r="H6437" s="48"/>
      <c r="I6437" s="48"/>
      <c r="J6437" s="48"/>
      <c r="L6437" s="65"/>
    </row>
    <row r="6438" spans="5:12">
      <c r="E6438" s="49">
        <v>45071.041666645207</v>
      </c>
      <c r="F6438" s="56">
        <v>14.187442364134993</v>
      </c>
      <c r="G6438" s="48"/>
      <c r="H6438" s="48"/>
      <c r="I6438" s="48"/>
      <c r="J6438" s="48"/>
      <c r="L6438" s="65"/>
    </row>
    <row r="6439" spans="5:12">
      <c r="E6439" s="49">
        <v>45071.045138867426</v>
      </c>
      <c r="F6439" s="56">
        <v>14.187442364134993</v>
      </c>
      <c r="G6439" s="48"/>
      <c r="H6439" s="48"/>
      <c r="I6439" s="48"/>
      <c r="J6439" s="48"/>
      <c r="L6439" s="65"/>
    </row>
    <row r="6440" spans="5:12">
      <c r="E6440" s="49">
        <v>45071.048611089645</v>
      </c>
      <c r="F6440" s="56">
        <v>14.187442364134993</v>
      </c>
      <c r="G6440" s="48"/>
      <c r="H6440" s="48"/>
      <c r="I6440" s="48"/>
      <c r="J6440" s="48"/>
      <c r="L6440" s="65"/>
    </row>
    <row r="6441" spans="5:12">
      <c r="E6441" s="49">
        <v>45071.052083311864</v>
      </c>
      <c r="F6441" s="56">
        <v>14.187442364134993</v>
      </c>
      <c r="G6441" s="48"/>
      <c r="H6441" s="48"/>
      <c r="I6441" s="48"/>
      <c r="J6441" s="48"/>
      <c r="L6441" s="65"/>
    </row>
    <row r="6442" spans="5:12">
      <c r="E6442" s="49">
        <v>45071.055555534083</v>
      </c>
      <c r="F6442" s="56">
        <v>14.187442364134993</v>
      </c>
      <c r="G6442" s="48"/>
      <c r="H6442" s="48"/>
      <c r="I6442" s="48"/>
      <c r="J6442" s="48"/>
      <c r="L6442" s="65"/>
    </row>
    <row r="6443" spans="5:12">
      <c r="E6443" s="49">
        <v>45071.059027756302</v>
      </c>
      <c r="F6443" s="56">
        <v>14.187442364134993</v>
      </c>
      <c r="G6443" s="48"/>
      <c r="H6443" s="48"/>
      <c r="I6443" s="48"/>
      <c r="J6443" s="48"/>
      <c r="L6443" s="65"/>
    </row>
    <row r="6444" spans="5:12">
      <c r="E6444" s="49">
        <v>45071.062499978521</v>
      </c>
      <c r="F6444" s="56">
        <v>14.187442364134993</v>
      </c>
      <c r="G6444" s="48"/>
      <c r="H6444" s="48"/>
      <c r="I6444" s="48"/>
      <c r="J6444" s="48"/>
      <c r="L6444" s="65"/>
    </row>
    <row r="6445" spans="5:12">
      <c r="E6445" s="49">
        <v>45071.06597220074</v>
      </c>
      <c r="F6445" s="56">
        <v>14.187442364134993</v>
      </c>
      <c r="G6445" s="48"/>
      <c r="H6445" s="48"/>
      <c r="I6445" s="48"/>
      <c r="J6445" s="48"/>
      <c r="L6445" s="65"/>
    </row>
    <row r="6446" spans="5:12">
      <c r="E6446" s="49">
        <v>45071.069444422959</v>
      </c>
      <c r="F6446" s="56">
        <v>14.187442364134993</v>
      </c>
      <c r="G6446" s="48"/>
      <c r="H6446" s="48"/>
      <c r="I6446" s="48"/>
      <c r="J6446" s="48"/>
      <c r="L6446" s="65"/>
    </row>
    <row r="6447" spans="5:12">
      <c r="E6447" s="49">
        <v>45071.072916645178</v>
      </c>
      <c r="F6447" s="56">
        <v>14.187442364134993</v>
      </c>
      <c r="G6447" s="48"/>
      <c r="H6447" s="48"/>
      <c r="I6447" s="48"/>
      <c r="J6447" s="48"/>
      <c r="L6447" s="65"/>
    </row>
    <row r="6448" spans="5:12">
      <c r="E6448" s="49">
        <v>45071.076388867397</v>
      </c>
      <c r="F6448" s="56">
        <v>14.187442364134993</v>
      </c>
      <c r="G6448" s="48"/>
      <c r="H6448" s="48"/>
      <c r="I6448" s="48"/>
      <c r="J6448" s="48"/>
      <c r="L6448" s="65"/>
    </row>
    <row r="6449" spans="5:12">
      <c r="E6449" s="49">
        <v>45071.079861089616</v>
      </c>
      <c r="F6449" s="56">
        <v>14.187442364134993</v>
      </c>
      <c r="G6449" s="48"/>
      <c r="H6449" s="48"/>
      <c r="I6449" s="48"/>
      <c r="J6449" s="48"/>
      <c r="L6449" s="65"/>
    </row>
    <row r="6450" spans="5:12">
      <c r="E6450" s="49">
        <v>45071.083333311835</v>
      </c>
      <c r="F6450" s="56">
        <v>14.187442364134993</v>
      </c>
      <c r="G6450" s="48"/>
      <c r="H6450" s="48"/>
      <c r="I6450" s="48"/>
      <c r="J6450" s="48"/>
      <c r="L6450" s="65"/>
    </row>
    <row r="6451" spans="5:12">
      <c r="E6451" s="49">
        <v>45071.086805534054</v>
      </c>
      <c r="F6451" s="56">
        <v>14.187442364134993</v>
      </c>
      <c r="G6451" s="48"/>
      <c r="H6451" s="48"/>
      <c r="I6451" s="48"/>
      <c r="J6451" s="48"/>
      <c r="L6451" s="65"/>
    </row>
    <row r="6452" spans="5:12">
      <c r="E6452" s="49">
        <v>45071.090277756273</v>
      </c>
      <c r="F6452" s="56">
        <v>14.187442364134993</v>
      </c>
      <c r="G6452" s="48"/>
      <c r="H6452" s="48"/>
      <c r="I6452" s="48"/>
      <c r="J6452" s="48"/>
      <c r="L6452" s="65"/>
    </row>
    <row r="6453" spans="5:12">
      <c r="E6453" s="49">
        <v>45071.093749978492</v>
      </c>
      <c r="F6453" s="56">
        <v>14.187442364134993</v>
      </c>
      <c r="G6453" s="48"/>
      <c r="H6453" s="48"/>
      <c r="I6453" s="48"/>
      <c r="J6453" s="48"/>
      <c r="L6453" s="65"/>
    </row>
    <row r="6454" spans="5:12">
      <c r="E6454" s="49">
        <v>45071.097222200711</v>
      </c>
      <c r="F6454" s="56">
        <v>14.187442364134993</v>
      </c>
      <c r="G6454" s="48"/>
      <c r="H6454" s="48"/>
      <c r="I6454" s="48"/>
      <c r="J6454" s="48"/>
      <c r="L6454" s="65"/>
    </row>
    <row r="6455" spans="5:12">
      <c r="E6455" s="49">
        <v>45071.10069442293</v>
      </c>
      <c r="F6455" s="56">
        <v>14.187442364134993</v>
      </c>
      <c r="G6455" s="48"/>
      <c r="H6455" s="48"/>
      <c r="I6455" s="48"/>
      <c r="J6455" s="48"/>
      <c r="L6455" s="65"/>
    </row>
    <row r="6456" spans="5:12">
      <c r="E6456" s="49">
        <v>45071.104166645149</v>
      </c>
      <c r="F6456" s="56">
        <v>14.187442364134993</v>
      </c>
      <c r="G6456" s="48"/>
      <c r="H6456" s="48"/>
      <c r="I6456" s="48"/>
      <c r="J6456" s="48"/>
      <c r="L6456" s="65"/>
    </row>
    <row r="6457" spans="5:12">
      <c r="E6457" s="49">
        <v>45071.107638867368</v>
      </c>
      <c r="F6457" s="56">
        <v>14.187442364134993</v>
      </c>
      <c r="G6457" s="48"/>
      <c r="H6457" s="48"/>
      <c r="I6457" s="48"/>
      <c r="J6457" s="48"/>
      <c r="L6457" s="65"/>
    </row>
    <row r="6458" spans="5:12">
      <c r="E6458" s="49">
        <v>45071.111111089587</v>
      </c>
      <c r="F6458" s="56">
        <v>14.187442364134993</v>
      </c>
      <c r="G6458" s="48"/>
      <c r="H6458" s="48"/>
      <c r="I6458" s="48"/>
      <c r="J6458" s="48"/>
      <c r="L6458" s="65"/>
    </row>
    <row r="6459" spans="5:12">
      <c r="E6459" s="49">
        <v>45071.114583311806</v>
      </c>
      <c r="F6459" s="56">
        <v>14.187442364134993</v>
      </c>
      <c r="G6459" s="48"/>
      <c r="H6459" s="48"/>
      <c r="I6459" s="48"/>
      <c r="J6459" s="48"/>
      <c r="L6459" s="65"/>
    </row>
    <row r="6460" spans="5:12">
      <c r="E6460" s="49">
        <v>45071.118055534025</v>
      </c>
      <c r="F6460" s="56">
        <v>14.187442364134993</v>
      </c>
      <c r="G6460" s="48"/>
      <c r="H6460" s="48"/>
      <c r="I6460" s="48"/>
      <c r="J6460" s="48"/>
      <c r="L6460" s="65"/>
    </row>
    <row r="6461" spans="5:12">
      <c r="E6461" s="49">
        <v>45071.121527756244</v>
      </c>
      <c r="F6461" s="56">
        <v>14.187442364134993</v>
      </c>
      <c r="G6461" s="48"/>
      <c r="H6461" s="48"/>
      <c r="I6461" s="48"/>
      <c r="J6461" s="48"/>
      <c r="L6461" s="65"/>
    </row>
    <row r="6462" spans="5:12">
      <c r="E6462" s="49">
        <v>45071.124999978463</v>
      </c>
      <c r="F6462" s="56">
        <v>14.187442364134993</v>
      </c>
      <c r="G6462" s="48"/>
      <c r="H6462" s="48"/>
      <c r="I6462" s="48"/>
      <c r="J6462" s="48"/>
      <c r="L6462" s="65"/>
    </row>
    <row r="6463" spans="5:12">
      <c r="E6463" s="49">
        <v>45071.128472200682</v>
      </c>
      <c r="F6463" s="56">
        <v>14.187442364134993</v>
      </c>
      <c r="G6463" s="48"/>
      <c r="H6463" s="48"/>
      <c r="I6463" s="48"/>
      <c r="J6463" s="48"/>
      <c r="L6463" s="65"/>
    </row>
    <row r="6464" spans="5:12">
      <c r="E6464" s="49">
        <v>45071.131944422901</v>
      </c>
      <c r="F6464" s="56">
        <v>14.187442364134993</v>
      </c>
      <c r="G6464" s="48"/>
      <c r="H6464" s="48"/>
      <c r="I6464" s="48"/>
      <c r="J6464" s="48"/>
      <c r="L6464" s="65"/>
    </row>
    <row r="6465" spans="5:12">
      <c r="E6465" s="49">
        <v>45071.13541664512</v>
      </c>
      <c r="F6465" s="56">
        <v>14.187442364134993</v>
      </c>
      <c r="G6465" s="48"/>
      <c r="H6465" s="48"/>
      <c r="I6465" s="48"/>
      <c r="J6465" s="48"/>
      <c r="L6465" s="65"/>
    </row>
    <row r="6466" spans="5:12">
      <c r="E6466" s="49">
        <v>45071.138888867339</v>
      </c>
      <c r="F6466" s="56">
        <v>14.187442364134993</v>
      </c>
      <c r="G6466" s="48"/>
      <c r="H6466" s="48"/>
      <c r="I6466" s="48"/>
      <c r="J6466" s="48"/>
      <c r="L6466" s="65"/>
    </row>
    <row r="6467" spans="5:12">
      <c r="E6467" s="49">
        <v>45071.142361089558</v>
      </c>
      <c r="F6467" s="56">
        <v>14.187442364134993</v>
      </c>
      <c r="G6467" s="48"/>
      <c r="H6467" s="48"/>
      <c r="I6467" s="48"/>
      <c r="J6467" s="48"/>
      <c r="L6467" s="65"/>
    </row>
    <row r="6468" spans="5:12">
      <c r="E6468" s="49">
        <v>45071.145833311777</v>
      </c>
      <c r="F6468" s="56">
        <v>14.187442364134993</v>
      </c>
      <c r="G6468" s="48"/>
      <c r="H6468" s="48"/>
      <c r="I6468" s="48"/>
      <c r="J6468" s="48"/>
      <c r="L6468" s="65"/>
    </row>
    <row r="6469" spans="5:12">
      <c r="E6469" s="49">
        <v>45071.149305533996</v>
      </c>
      <c r="F6469" s="56">
        <v>14.187442364134993</v>
      </c>
      <c r="G6469" s="48"/>
      <c r="H6469" s="48"/>
      <c r="I6469" s="48"/>
      <c r="J6469" s="48"/>
      <c r="L6469" s="65"/>
    </row>
    <row r="6470" spans="5:12">
      <c r="E6470" s="49">
        <v>45071.152777756215</v>
      </c>
      <c r="F6470" s="56">
        <v>14.187442364134993</v>
      </c>
      <c r="G6470" s="48"/>
      <c r="H6470" s="48"/>
      <c r="I6470" s="48"/>
      <c r="J6470" s="48"/>
      <c r="L6470" s="65"/>
    </row>
    <row r="6471" spans="5:12">
      <c r="E6471" s="49">
        <v>45071.156249978434</v>
      </c>
      <c r="F6471" s="56">
        <v>14.187442364134993</v>
      </c>
      <c r="G6471" s="48"/>
      <c r="H6471" s="48"/>
      <c r="I6471" s="48"/>
      <c r="J6471" s="48"/>
      <c r="L6471" s="65"/>
    </row>
    <row r="6472" spans="5:12">
      <c r="E6472" s="49">
        <v>45071.159722200653</v>
      </c>
      <c r="F6472" s="56">
        <v>14.187442364134993</v>
      </c>
      <c r="G6472" s="48"/>
      <c r="H6472" s="48"/>
      <c r="I6472" s="48"/>
      <c r="J6472" s="48"/>
      <c r="L6472" s="65"/>
    </row>
    <row r="6473" spans="5:12">
      <c r="E6473" s="49">
        <v>45071.163194422872</v>
      </c>
      <c r="F6473" s="56">
        <v>14.187442364134993</v>
      </c>
      <c r="G6473" s="48"/>
      <c r="H6473" s="48"/>
      <c r="I6473" s="48"/>
      <c r="J6473" s="48"/>
      <c r="L6473" s="65"/>
    </row>
    <row r="6474" spans="5:12">
      <c r="E6474" s="49">
        <v>45071.166666645091</v>
      </c>
      <c r="F6474" s="56">
        <v>14.187442364134993</v>
      </c>
      <c r="G6474" s="48"/>
      <c r="H6474" s="48"/>
      <c r="I6474" s="48"/>
      <c r="J6474" s="48"/>
      <c r="L6474" s="65"/>
    </row>
    <row r="6475" spans="5:12">
      <c r="E6475" s="49">
        <v>45071.17013886731</v>
      </c>
      <c r="F6475" s="56">
        <v>14.187442364134993</v>
      </c>
      <c r="G6475" s="48"/>
      <c r="H6475" s="48"/>
      <c r="I6475" s="48"/>
      <c r="J6475" s="48"/>
      <c r="L6475" s="65"/>
    </row>
    <row r="6476" spans="5:12">
      <c r="E6476" s="49">
        <v>45071.173611089529</v>
      </c>
      <c r="F6476" s="56">
        <v>14.187442364134993</v>
      </c>
      <c r="G6476" s="48"/>
      <c r="H6476" s="48"/>
      <c r="I6476" s="48"/>
      <c r="J6476" s="48"/>
      <c r="L6476" s="65"/>
    </row>
    <row r="6477" spans="5:12">
      <c r="E6477" s="49">
        <v>45071.177083311748</v>
      </c>
      <c r="F6477" s="56">
        <v>14.187442364134993</v>
      </c>
      <c r="G6477" s="48"/>
      <c r="H6477" s="48"/>
      <c r="I6477" s="48"/>
      <c r="J6477" s="48"/>
      <c r="L6477" s="65"/>
    </row>
    <row r="6478" spans="5:12">
      <c r="E6478" s="49">
        <v>45071.180555533967</v>
      </c>
      <c r="F6478" s="56">
        <v>14.187442364134993</v>
      </c>
      <c r="G6478" s="48"/>
      <c r="H6478" s="48"/>
      <c r="I6478" s="48"/>
      <c r="J6478" s="48"/>
      <c r="L6478" s="65"/>
    </row>
    <row r="6479" spans="5:12">
      <c r="E6479" s="49">
        <v>45071.184027756186</v>
      </c>
      <c r="F6479" s="56">
        <v>14.187442364134993</v>
      </c>
      <c r="G6479" s="48"/>
      <c r="H6479" s="48"/>
      <c r="I6479" s="48"/>
      <c r="J6479" s="48"/>
      <c r="L6479" s="65"/>
    </row>
    <row r="6480" spans="5:12">
      <c r="E6480" s="49">
        <v>45071.187499978405</v>
      </c>
      <c r="F6480" s="56">
        <v>14.187442364134993</v>
      </c>
      <c r="G6480" s="48"/>
      <c r="H6480" s="48"/>
      <c r="I6480" s="48"/>
      <c r="J6480" s="48"/>
      <c r="L6480" s="65"/>
    </row>
    <row r="6481" spans="5:12">
      <c r="E6481" s="49">
        <v>45071.190972200624</v>
      </c>
      <c r="F6481" s="56">
        <v>14.187442364134993</v>
      </c>
      <c r="G6481" s="48"/>
      <c r="H6481" s="48"/>
      <c r="I6481" s="48"/>
      <c r="J6481" s="48"/>
      <c r="L6481" s="65"/>
    </row>
    <row r="6482" spans="5:12">
      <c r="E6482" s="49">
        <v>45071.194444422843</v>
      </c>
      <c r="F6482" s="56">
        <v>14.187442364134993</v>
      </c>
      <c r="G6482" s="48"/>
      <c r="H6482" s="48"/>
      <c r="I6482" s="48"/>
      <c r="J6482" s="48"/>
      <c r="L6482" s="65"/>
    </row>
    <row r="6483" spans="5:12">
      <c r="E6483" s="49">
        <v>45071.197916645062</v>
      </c>
      <c r="F6483" s="56">
        <v>14.187442364134993</v>
      </c>
      <c r="G6483" s="48"/>
      <c r="H6483" s="48"/>
      <c r="I6483" s="48"/>
      <c r="J6483" s="48"/>
      <c r="L6483" s="65"/>
    </row>
    <row r="6484" spans="5:12">
      <c r="E6484" s="49">
        <v>45071.201388867281</v>
      </c>
      <c r="F6484" s="56">
        <v>14.187442364134993</v>
      </c>
      <c r="G6484" s="48"/>
      <c r="H6484" s="48"/>
      <c r="I6484" s="48"/>
      <c r="J6484" s="48"/>
      <c r="L6484" s="65"/>
    </row>
    <row r="6485" spans="5:12">
      <c r="E6485" s="49">
        <v>45071.2048610895</v>
      </c>
      <c r="F6485" s="56">
        <v>14.187442364134993</v>
      </c>
      <c r="G6485" s="48"/>
      <c r="H6485" s="48"/>
      <c r="I6485" s="48"/>
      <c r="J6485" s="48"/>
      <c r="L6485" s="65"/>
    </row>
    <row r="6486" spans="5:12">
      <c r="E6486" s="49">
        <v>45071.208333311719</v>
      </c>
      <c r="F6486" s="56">
        <v>14.187442364134993</v>
      </c>
      <c r="G6486" s="48"/>
      <c r="H6486" s="48"/>
      <c r="I6486" s="48"/>
      <c r="J6486" s="48"/>
      <c r="L6486" s="65"/>
    </row>
    <row r="6487" spans="5:12">
      <c r="E6487" s="49">
        <v>45071.211805533938</v>
      </c>
      <c r="F6487" s="56">
        <v>14.187442364134993</v>
      </c>
      <c r="G6487" s="48"/>
      <c r="H6487" s="48"/>
      <c r="I6487" s="48"/>
      <c r="J6487" s="48"/>
      <c r="L6487" s="65"/>
    </row>
    <row r="6488" spans="5:12">
      <c r="E6488" s="49">
        <v>45071.215277756157</v>
      </c>
      <c r="F6488" s="56">
        <v>14.187442364134993</v>
      </c>
      <c r="G6488" s="48"/>
      <c r="H6488" s="48"/>
      <c r="I6488" s="48"/>
      <c r="J6488" s="48"/>
      <c r="L6488" s="65"/>
    </row>
    <row r="6489" spans="5:12">
      <c r="E6489" s="49">
        <v>45071.218749978376</v>
      </c>
      <c r="F6489" s="56">
        <v>14.187442364134993</v>
      </c>
      <c r="G6489" s="48"/>
      <c r="H6489" s="48"/>
      <c r="I6489" s="48"/>
      <c r="J6489" s="48"/>
      <c r="L6489" s="65"/>
    </row>
    <row r="6490" spans="5:12">
      <c r="E6490" s="49">
        <v>45071.222222200595</v>
      </c>
      <c r="F6490" s="56">
        <v>14.187442364134993</v>
      </c>
      <c r="G6490" s="48"/>
      <c r="H6490" s="48"/>
      <c r="I6490" s="48"/>
      <c r="J6490" s="48"/>
      <c r="L6490" s="65"/>
    </row>
    <row r="6491" spans="5:12">
      <c r="E6491" s="49">
        <v>45071.225694422814</v>
      </c>
      <c r="F6491" s="56">
        <v>14.187442364134993</v>
      </c>
      <c r="G6491" s="48"/>
      <c r="H6491" s="48"/>
      <c r="I6491" s="48"/>
      <c r="J6491" s="48"/>
      <c r="L6491" s="65"/>
    </row>
    <row r="6492" spans="5:12">
      <c r="E6492" s="49">
        <v>45071.229166645033</v>
      </c>
      <c r="F6492" s="56">
        <v>14.187442364134993</v>
      </c>
      <c r="G6492" s="48"/>
      <c r="H6492" s="48"/>
      <c r="I6492" s="48"/>
      <c r="J6492" s="48"/>
      <c r="L6492" s="65"/>
    </row>
    <row r="6493" spans="5:12">
      <c r="E6493" s="49">
        <v>45071.232638867252</v>
      </c>
      <c r="F6493" s="56">
        <v>14.187442364134993</v>
      </c>
      <c r="G6493" s="48"/>
      <c r="H6493" s="48"/>
      <c r="I6493" s="48"/>
      <c r="J6493" s="48"/>
      <c r="L6493" s="65"/>
    </row>
    <row r="6494" spans="5:12">
      <c r="E6494" s="49">
        <v>45071.236111089471</v>
      </c>
      <c r="F6494" s="56">
        <v>14.187442364134993</v>
      </c>
      <c r="G6494" s="48"/>
      <c r="H6494" s="48"/>
      <c r="I6494" s="48"/>
      <c r="J6494" s="48"/>
      <c r="L6494" s="65"/>
    </row>
    <row r="6495" spans="5:12">
      <c r="E6495" s="49">
        <v>45071.23958331169</v>
      </c>
      <c r="F6495" s="56">
        <v>14.187442364134993</v>
      </c>
      <c r="G6495" s="48"/>
      <c r="H6495" s="48"/>
      <c r="I6495" s="48"/>
      <c r="J6495" s="48"/>
      <c r="L6495" s="65"/>
    </row>
    <row r="6496" spans="5:12">
      <c r="E6496" s="49">
        <v>45071.243055533909</v>
      </c>
      <c r="F6496" s="56">
        <v>14.187442364134993</v>
      </c>
      <c r="G6496" s="48"/>
      <c r="H6496" s="48"/>
      <c r="I6496" s="48"/>
      <c r="J6496" s="48"/>
      <c r="L6496" s="65"/>
    </row>
    <row r="6497" spans="5:12">
      <c r="E6497" s="49">
        <v>45071.246527756128</v>
      </c>
      <c r="F6497" s="56">
        <v>14.187442364134993</v>
      </c>
      <c r="G6497" s="48"/>
      <c r="H6497" s="48"/>
      <c r="I6497" s="48"/>
      <c r="J6497" s="48"/>
      <c r="L6497" s="65"/>
    </row>
    <row r="6498" spans="5:12">
      <c r="E6498" s="49">
        <v>45071.249999978347</v>
      </c>
      <c r="F6498" s="56">
        <v>14.187442364134993</v>
      </c>
      <c r="G6498" s="48"/>
      <c r="H6498" s="48"/>
      <c r="I6498" s="48"/>
      <c r="J6498" s="48"/>
      <c r="L6498" s="65"/>
    </row>
    <row r="6499" spans="5:12">
      <c r="E6499" s="49">
        <v>45071.253472200566</v>
      </c>
      <c r="F6499" s="56">
        <v>14.187442364134993</v>
      </c>
      <c r="G6499" s="48"/>
      <c r="H6499" s="48"/>
      <c r="I6499" s="48"/>
      <c r="J6499" s="48"/>
      <c r="L6499" s="65"/>
    </row>
    <row r="6500" spans="5:12">
      <c r="E6500" s="49">
        <v>45071.256944422785</v>
      </c>
      <c r="F6500" s="56">
        <v>14.187442364134993</v>
      </c>
      <c r="G6500" s="48"/>
      <c r="H6500" s="48"/>
      <c r="I6500" s="48"/>
      <c r="J6500" s="48"/>
      <c r="L6500" s="65"/>
    </row>
    <row r="6501" spans="5:12">
      <c r="E6501" s="49">
        <v>45071.260416645004</v>
      </c>
      <c r="F6501" s="56">
        <v>14.187442364134993</v>
      </c>
      <c r="G6501" s="48"/>
      <c r="H6501" s="48"/>
      <c r="I6501" s="48"/>
      <c r="J6501" s="48"/>
      <c r="L6501" s="65"/>
    </row>
    <row r="6502" spans="5:12">
      <c r="E6502" s="49">
        <v>45071.263888867223</v>
      </c>
      <c r="F6502" s="56">
        <v>14.187442364134993</v>
      </c>
      <c r="G6502" s="48"/>
      <c r="H6502" s="48"/>
      <c r="I6502" s="48"/>
      <c r="J6502" s="48"/>
      <c r="L6502" s="65"/>
    </row>
    <row r="6503" spans="5:12">
      <c r="E6503" s="49">
        <v>45071.267361089442</v>
      </c>
      <c r="F6503" s="56">
        <v>14.187442364134993</v>
      </c>
      <c r="G6503" s="48"/>
      <c r="H6503" s="48"/>
      <c r="I6503" s="48"/>
      <c r="J6503" s="48"/>
      <c r="L6503" s="65"/>
    </row>
    <row r="6504" spans="5:12">
      <c r="E6504" s="49">
        <v>45071.270833311661</v>
      </c>
      <c r="F6504" s="56">
        <v>14.187442364134993</v>
      </c>
      <c r="G6504" s="48"/>
      <c r="H6504" s="48"/>
      <c r="I6504" s="48"/>
      <c r="J6504" s="48"/>
      <c r="L6504" s="65"/>
    </row>
    <row r="6505" spans="5:12">
      <c r="E6505" s="49">
        <v>45071.27430553388</v>
      </c>
      <c r="F6505" s="56">
        <v>14.187442364134993</v>
      </c>
      <c r="G6505" s="48"/>
      <c r="H6505" s="48"/>
      <c r="I6505" s="48"/>
      <c r="J6505" s="48"/>
      <c r="L6505" s="65"/>
    </row>
    <row r="6506" spans="5:12">
      <c r="E6506" s="49">
        <v>45071.277777756099</v>
      </c>
      <c r="F6506" s="56">
        <v>14.187442364134993</v>
      </c>
      <c r="G6506" s="48"/>
      <c r="H6506" s="48"/>
      <c r="I6506" s="48"/>
      <c r="J6506" s="48"/>
      <c r="L6506" s="65"/>
    </row>
    <row r="6507" spans="5:12">
      <c r="E6507" s="49">
        <v>45071.281249978318</v>
      </c>
      <c r="F6507" s="56">
        <v>14.187442364134993</v>
      </c>
      <c r="G6507" s="48"/>
      <c r="H6507" s="48"/>
      <c r="I6507" s="48"/>
      <c r="J6507" s="48"/>
      <c r="L6507" s="65"/>
    </row>
    <row r="6508" spans="5:12">
      <c r="E6508" s="49">
        <v>45071.284722200537</v>
      </c>
      <c r="F6508" s="56">
        <v>14.187442364134993</v>
      </c>
      <c r="G6508" s="48"/>
      <c r="H6508" s="48"/>
      <c r="I6508" s="48"/>
      <c r="J6508" s="48"/>
      <c r="L6508" s="65"/>
    </row>
    <row r="6509" spans="5:12">
      <c r="E6509" s="49">
        <v>45071.288194422756</v>
      </c>
      <c r="F6509" s="56">
        <v>14.187442364134993</v>
      </c>
      <c r="G6509" s="48"/>
      <c r="H6509" s="48"/>
      <c r="I6509" s="48"/>
      <c r="J6509" s="48"/>
      <c r="L6509" s="65"/>
    </row>
    <row r="6510" spans="5:12">
      <c r="E6510" s="49">
        <v>45071.291666644975</v>
      </c>
      <c r="F6510" s="56">
        <v>14.187442364134993</v>
      </c>
      <c r="G6510" s="48"/>
      <c r="H6510" s="48"/>
      <c r="I6510" s="48"/>
      <c r="J6510" s="48"/>
      <c r="L6510" s="65"/>
    </row>
    <row r="6511" spans="5:12">
      <c r="E6511" s="49">
        <v>45071.295138867194</v>
      </c>
      <c r="F6511" s="56">
        <v>14.187442364134993</v>
      </c>
      <c r="G6511" s="48"/>
      <c r="H6511" s="48"/>
      <c r="I6511" s="48"/>
      <c r="J6511" s="48"/>
      <c r="L6511" s="65"/>
    </row>
    <row r="6512" spans="5:12">
      <c r="E6512" s="49">
        <v>45071.298611089413</v>
      </c>
      <c r="F6512" s="56">
        <v>14.187442364134993</v>
      </c>
      <c r="G6512" s="48"/>
      <c r="H6512" s="48"/>
      <c r="I6512" s="48"/>
      <c r="J6512" s="48"/>
      <c r="L6512" s="65"/>
    </row>
    <row r="6513" spans="5:12">
      <c r="E6513" s="49">
        <v>45071.302083311632</v>
      </c>
      <c r="F6513" s="56">
        <v>14.187442364134993</v>
      </c>
      <c r="G6513" s="48"/>
      <c r="H6513" s="48"/>
      <c r="I6513" s="48"/>
      <c r="J6513" s="48"/>
      <c r="L6513" s="65"/>
    </row>
    <row r="6514" spans="5:12">
      <c r="E6514" s="49">
        <v>45071.305555533851</v>
      </c>
      <c r="F6514" s="56">
        <v>14.187442364134993</v>
      </c>
      <c r="G6514" s="48"/>
      <c r="H6514" s="48"/>
      <c r="I6514" s="48"/>
      <c r="J6514" s="48"/>
      <c r="L6514" s="65"/>
    </row>
    <row r="6515" spans="5:12">
      <c r="E6515" s="49">
        <v>45071.30902775607</v>
      </c>
      <c r="F6515" s="56">
        <v>14.187442364134993</v>
      </c>
      <c r="G6515" s="48"/>
      <c r="H6515" s="48"/>
      <c r="I6515" s="48"/>
      <c r="J6515" s="48"/>
      <c r="L6515" s="65"/>
    </row>
    <row r="6516" spans="5:12">
      <c r="E6516" s="49">
        <v>45071.312499978289</v>
      </c>
      <c r="F6516" s="56">
        <v>14.187442364134993</v>
      </c>
      <c r="G6516" s="48"/>
      <c r="H6516" s="48"/>
      <c r="I6516" s="48"/>
      <c r="J6516" s="48"/>
      <c r="L6516" s="65"/>
    </row>
    <row r="6517" spans="5:12">
      <c r="E6517" s="49">
        <v>45071.315972200508</v>
      </c>
      <c r="F6517" s="56">
        <v>14.187442364134993</v>
      </c>
      <c r="G6517" s="48"/>
      <c r="H6517" s="48"/>
      <c r="I6517" s="48"/>
      <c r="J6517" s="48"/>
      <c r="L6517" s="65"/>
    </row>
    <row r="6518" spans="5:12">
      <c r="E6518" s="49">
        <v>45071.319444422727</v>
      </c>
      <c r="F6518" s="56">
        <v>14.187442364134993</v>
      </c>
      <c r="G6518" s="48"/>
      <c r="H6518" s="48"/>
      <c r="I6518" s="48"/>
      <c r="J6518" s="48"/>
      <c r="L6518" s="65"/>
    </row>
    <row r="6519" spans="5:12">
      <c r="E6519" s="49">
        <v>45071.322916644946</v>
      </c>
      <c r="F6519" s="56">
        <v>14.187442364134993</v>
      </c>
      <c r="G6519" s="48"/>
      <c r="H6519" s="48"/>
      <c r="I6519" s="48"/>
      <c r="J6519" s="48"/>
      <c r="L6519" s="65"/>
    </row>
    <row r="6520" spans="5:12">
      <c r="E6520" s="49">
        <v>45071.326388867164</v>
      </c>
      <c r="F6520" s="56">
        <v>14.187442364134993</v>
      </c>
      <c r="G6520" s="48"/>
      <c r="H6520" s="48"/>
      <c r="I6520" s="48"/>
      <c r="J6520" s="48"/>
      <c r="L6520" s="65"/>
    </row>
    <row r="6521" spans="5:12">
      <c r="E6521" s="49">
        <v>45071.329861089383</v>
      </c>
      <c r="F6521" s="56">
        <v>14.187442364134993</v>
      </c>
      <c r="G6521" s="48"/>
      <c r="H6521" s="48"/>
      <c r="I6521" s="48"/>
      <c r="J6521" s="48"/>
      <c r="L6521" s="65"/>
    </row>
    <row r="6522" spans="5:12">
      <c r="E6522" s="49">
        <v>45071.333333311602</v>
      </c>
      <c r="F6522" s="56">
        <v>14.187442364134993</v>
      </c>
      <c r="G6522" s="48"/>
      <c r="H6522" s="48"/>
      <c r="I6522" s="48"/>
      <c r="J6522" s="48"/>
      <c r="L6522" s="65"/>
    </row>
    <row r="6523" spans="5:12">
      <c r="E6523" s="49">
        <v>45071.336805533821</v>
      </c>
      <c r="F6523" s="56">
        <v>14.187442364134993</v>
      </c>
      <c r="G6523" s="48"/>
      <c r="H6523" s="48"/>
      <c r="I6523" s="48"/>
      <c r="J6523" s="48"/>
      <c r="L6523" s="65"/>
    </row>
    <row r="6524" spans="5:12">
      <c r="E6524" s="49">
        <v>45071.34027775604</v>
      </c>
      <c r="F6524" s="56">
        <v>14.187442364134993</v>
      </c>
      <c r="G6524" s="48"/>
      <c r="H6524" s="48"/>
      <c r="I6524" s="48"/>
      <c r="J6524" s="48"/>
      <c r="L6524" s="65"/>
    </row>
    <row r="6525" spans="5:12">
      <c r="E6525" s="49">
        <v>45071.343749978259</v>
      </c>
      <c r="F6525" s="56">
        <v>14.187442364134993</v>
      </c>
      <c r="G6525" s="48"/>
      <c r="H6525" s="48"/>
      <c r="I6525" s="48"/>
      <c r="J6525" s="48"/>
      <c r="L6525" s="65"/>
    </row>
    <row r="6526" spans="5:12">
      <c r="E6526" s="49">
        <v>45071.347222200478</v>
      </c>
      <c r="F6526" s="56">
        <v>14.187442364134993</v>
      </c>
      <c r="G6526" s="48"/>
      <c r="H6526" s="48"/>
      <c r="I6526" s="48"/>
      <c r="J6526" s="48"/>
      <c r="L6526" s="65"/>
    </row>
    <row r="6527" spans="5:12">
      <c r="E6527" s="49">
        <v>45071.350694422697</v>
      </c>
      <c r="F6527" s="56">
        <v>14.187442364134993</v>
      </c>
      <c r="G6527" s="48"/>
      <c r="H6527" s="48"/>
      <c r="I6527" s="48"/>
      <c r="J6527" s="48"/>
      <c r="L6527" s="65"/>
    </row>
    <row r="6528" spans="5:12">
      <c r="E6528" s="49">
        <v>45071.354166644916</v>
      </c>
      <c r="F6528" s="56">
        <v>14.187442364134993</v>
      </c>
      <c r="G6528" s="48"/>
      <c r="H6528" s="48"/>
      <c r="I6528" s="48"/>
      <c r="J6528" s="48"/>
      <c r="L6528" s="65"/>
    </row>
    <row r="6529" spans="5:12">
      <c r="E6529" s="49">
        <v>45071.357638867135</v>
      </c>
      <c r="F6529" s="56">
        <v>14.187442364134993</v>
      </c>
      <c r="G6529" s="48"/>
      <c r="H6529" s="48"/>
      <c r="I6529" s="48"/>
      <c r="J6529" s="48"/>
      <c r="L6529" s="65"/>
    </row>
    <row r="6530" spans="5:12">
      <c r="E6530" s="49">
        <v>45071.361111089354</v>
      </c>
      <c r="F6530" s="56">
        <v>14.187442364134993</v>
      </c>
      <c r="G6530" s="48"/>
      <c r="H6530" s="48"/>
      <c r="I6530" s="48"/>
      <c r="J6530" s="48"/>
      <c r="L6530" s="65"/>
    </row>
    <row r="6531" spans="5:12">
      <c r="E6531" s="49">
        <v>45071.364583311573</v>
      </c>
      <c r="F6531" s="56">
        <v>14.187442364134993</v>
      </c>
      <c r="G6531" s="48"/>
      <c r="H6531" s="48"/>
      <c r="I6531" s="48"/>
      <c r="J6531" s="48"/>
      <c r="L6531" s="65"/>
    </row>
    <row r="6532" spans="5:12">
      <c r="E6532" s="49">
        <v>45071.368055533792</v>
      </c>
      <c r="F6532" s="56">
        <v>14.187442364134993</v>
      </c>
      <c r="G6532" s="48"/>
      <c r="H6532" s="48"/>
      <c r="I6532" s="48"/>
      <c r="J6532" s="48"/>
      <c r="L6532" s="65"/>
    </row>
    <row r="6533" spans="5:12">
      <c r="E6533" s="49">
        <v>45071.371527756011</v>
      </c>
      <c r="F6533" s="56">
        <v>14.187442364134993</v>
      </c>
      <c r="G6533" s="48"/>
      <c r="H6533" s="48"/>
      <c r="I6533" s="48"/>
      <c r="J6533" s="48"/>
      <c r="L6533" s="65"/>
    </row>
    <row r="6534" spans="5:12">
      <c r="E6534" s="49">
        <v>45071.37499997823</v>
      </c>
      <c r="F6534" s="56">
        <v>14.187442364134993</v>
      </c>
      <c r="G6534" s="48"/>
      <c r="H6534" s="48"/>
      <c r="I6534" s="48"/>
      <c r="J6534" s="48"/>
      <c r="L6534" s="65"/>
    </row>
    <row r="6535" spans="5:12">
      <c r="E6535" s="49">
        <v>45071.378472200449</v>
      </c>
      <c r="F6535" s="56">
        <v>14.187442364134993</v>
      </c>
      <c r="G6535" s="48"/>
      <c r="H6535" s="48"/>
      <c r="I6535" s="48"/>
      <c r="J6535" s="48"/>
      <c r="L6535" s="65"/>
    </row>
    <row r="6536" spans="5:12">
      <c r="E6536" s="49">
        <v>45071.381944422668</v>
      </c>
      <c r="F6536" s="56">
        <v>14.187442364134993</v>
      </c>
      <c r="G6536" s="48"/>
      <c r="H6536" s="48"/>
      <c r="I6536" s="48"/>
      <c r="J6536" s="48"/>
      <c r="L6536" s="65"/>
    </row>
    <row r="6537" spans="5:12">
      <c r="E6537" s="49">
        <v>45071.385416644887</v>
      </c>
      <c r="F6537" s="56">
        <v>14.187442364134993</v>
      </c>
      <c r="G6537" s="48"/>
      <c r="H6537" s="48"/>
      <c r="I6537" s="48"/>
      <c r="J6537" s="48"/>
      <c r="L6537" s="65"/>
    </row>
    <row r="6538" spans="5:12">
      <c r="E6538" s="49">
        <v>45071.388888867106</v>
      </c>
      <c r="F6538" s="56">
        <v>14.187442364134993</v>
      </c>
      <c r="G6538" s="48"/>
      <c r="H6538" s="48"/>
      <c r="I6538" s="48"/>
      <c r="J6538" s="48"/>
      <c r="L6538" s="65"/>
    </row>
    <row r="6539" spans="5:12">
      <c r="E6539" s="49">
        <v>45071.392361089325</v>
      </c>
      <c r="F6539" s="56">
        <v>14.187442364134993</v>
      </c>
      <c r="G6539" s="48"/>
      <c r="H6539" s="48"/>
      <c r="I6539" s="48"/>
      <c r="J6539" s="48"/>
      <c r="L6539" s="65"/>
    </row>
    <row r="6540" spans="5:12">
      <c r="E6540" s="49">
        <v>45071.395833311544</v>
      </c>
      <c r="F6540" s="56">
        <v>14.187442364134993</v>
      </c>
      <c r="G6540" s="48"/>
      <c r="H6540" s="48"/>
      <c r="I6540" s="48"/>
      <c r="J6540" s="48"/>
      <c r="L6540" s="65"/>
    </row>
    <row r="6541" spans="5:12">
      <c r="E6541" s="49">
        <v>45071.399305533763</v>
      </c>
      <c r="F6541" s="56">
        <v>14.187442364134993</v>
      </c>
      <c r="G6541" s="48"/>
      <c r="H6541" s="48"/>
      <c r="I6541" s="48"/>
      <c r="J6541" s="48"/>
      <c r="L6541" s="65"/>
    </row>
    <row r="6542" spans="5:12">
      <c r="E6542" s="49">
        <v>45071.402777755982</v>
      </c>
      <c r="F6542" s="56">
        <v>14.187442364134993</v>
      </c>
      <c r="G6542" s="48"/>
      <c r="H6542" s="48"/>
      <c r="I6542" s="48"/>
      <c r="J6542" s="48"/>
      <c r="L6542" s="65"/>
    </row>
    <row r="6543" spans="5:12">
      <c r="E6543" s="49">
        <v>45071.406249978201</v>
      </c>
      <c r="F6543" s="56">
        <v>14.187442364134993</v>
      </c>
      <c r="G6543" s="48"/>
      <c r="H6543" s="48"/>
      <c r="I6543" s="48"/>
      <c r="J6543" s="48"/>
      <c r="L6543" s="65"/>
    </row>
    <row r="6544" spans="5:12">
      <c r="E6544" s="49">
        <v>45071.40972220042</v>
      </c>
      <c r="F6544" s="56">
        <v>14.187442364134993</v>
      </c>
      <c r="G6544" s="48"/>
      <c r="H6544" s="48"/>
      <c r="I6544" s="48"/>
      <c r="J6544" s="48"/>
      <c r="L6544" s="65"/>
    </row>
    <row r="6545" spans="5:12">
      <c r="E6545" s="49">
        <v>45071.413194422639</v>
      </c>
      <c r="F6545" s="56">
        <v>14.187442364134993</v>
      </c>
      <c r="G6545" s="48"/>
      <c r="H6545" s="48"/>
      <c r="I6545" s="48"/>
      <c r="J6545" s="48"/>
      <c r="L6545" s="65"/>
    </row>
    <row r="6546" spans="5:12">
      <c r="E6546" s="49">
        <v>45071.416666644858</v>
      </c>
      <c r="F6546" s="56">
        <v>14.187442364134993</v>
      </c>
      <c r="G6546" s="48"/>
      <c r="H6546" s="48"/>
      <c r="I6546" s="48"/>
      <c r="J6546" s="48"/>
      <c r="L6546" s="65"/>
    </row>
    <row r="6547" spans="5:12">
      <c r="E6547" s="49">
        <v>45071.420138867077</v>
      </c>
      <c r="F6547" s="56">
        <v>14.187442364134993</v>
      </c>
      <c r="G6547" s="48"/>
      <c r="H6547" s="48"/>
      <c r="I6547" s="48"/>
      <c r="J6547" s="48"/>
      <c r="L6547" s="65"/>
    </row>
    <row r="6548" spans="5:12">
      <c r="E6548" s="49">
        <v>45071.423611089296</v>
      </c>
      <c r="F6548" s="56">
        <v>14.187442364134993</v>
      </c>
      <c r="G6548" s="48"/>
      <c r="H6548" s="48"/>
      <c r="I6548" s="48"/>
      <c r="J6548" s="48"/>
      <c r="L6548" s="65"/>
    </row>
    <row r="6549" spans="5:12">
      <c r="E6549" s="49">
        <v>45071.427083311515</v>
      </c>
      <c r="F6549" s="56">
        <v>14.187442364134993</v>
      </c>
      <c r="G6549" s="48"/>
      <c r="H6549" s="48"/>
      <c r="I6549" s="48"/>
      <c r="J6549" s="48"/>
      <c r="L6549" s="65"/>
    </row>
    <row r="6550" spans="5:12">
      <c r="E6550" s="49">
        <v>45071.430555533734</v>
      </c>
      <c r="F6550" s="56">
        <v>14.187442364134993</v>
      </c>
      <c r="G6550" s="48"/>
      <c r="H6550" s="48"/>
      <c r="I6550" s="48"/>
      <c r="J6550" s="48"/>
      <c r="L6550" s="65"/>
    </row>
    <row r="6551" spans="5:12">
      <c r="E6551" s="49">
        <v>45071.434027755953</v>
      </c>
      <c r="F6551" s="56">
        <v>14.187442364134993</v>
      </c>
      <c r="G6551" s="48"/>
      <c r="H6551" s="48"/>
      <c r="I6551" s="48"/>
      <c r="J6551" s="48"/>
      <c r="L6551" s="65"/>
    </row>
    <row r="6552" spans="5:12">
      <c r="E6552" s="49">
        <v>45071.437499978172</v>
      </c>
      <c r="F6552" s="56">
        <v>14.187442364134993</v>
      </c>
      <c r="G6552" s="48"/>
      <c r="H6552" s="48"/>
      <c r="I6552" s="48"/>
      <c r="J6552" s="48"/>
      <c r="L6552" s="65"/>
    </row>
    <row r="6553" spans="5:12">
      <c r="E6553" s="49">
        <v>45071.440972200391</v>
      </c>
      <c r="F6553" s="56">
        <v>14.187442364134993</v>
      </c>
      <c r="G6553" s="48"/>
      <c r="H6553" s="48"/>
      <c r="I6553" s="48"/>
      <c r="J6553" s="48"/>
      <c r="L6553" s="65"/>
    </row>
    <row r="6554" spans="5:12">
      <c r="E6554" s="49">
        <v>45071.44444442261</v>
      </c>
      <c r="F6554" s="56">
        <v>14.187442364134993</v>
      </c>
      <c r="G6554" s="48"/>
      <c r="H6554" s="48"/>
      <c r="I6554" s="48"/>
      <c r="J6554" s="48"/>
      <c r="L6554" s="65"/>
    </row>
    <row r="6555" spans="5:12">
      <c r="E6555" s="49">
        <v>45071.447916644829</v>
      </c>
      <c r="F6555" s="56">
        <v>14.187442364134993</v>
      </c>
      <c r="G6555" s="48"/>
      <c r="H6555" s="48"/>
      <c r="I6555" s="48"/>
      <c r="J6555" s="48"/>
      <c r="L6555" s="65"/>
    </row>
    <row r="6556" spans="5:12">
      <c r="E6556" s="49">
        <v>45071.451388867048</v>
      </c>
      <c r="F6556" s="56">
        <v>14.187442364134993</v>
      </c>
      <c r="G6556" s="48"/>
      <c r="H6556" s="48"/>
      <c r="I6556" s="48"/>
      <c r="J6556" s="48"/>
      <c r="L6556" s="65"/>
    </row>
    <row r="6557" spans="5:12">
      <c r="E6557" s="49">
        <v>45071.454861089267</v>
      </c>
      <c r="F6557" s="56">
        <v>14.187442364134993</v>
      </c>
      <c r="G6557" s="48"/>
      <c r="H6557" s="48"/>
      <c r="I6557" s="48"/>
      <c r="J6557" s="48"/>
      <c r="L6557" s="65"/>
    </row>
    <row r="6558" spans="5:12">
      <c r="E6558" s="49">
        <v>45071.458333311486</v>
      </c>
      <c r="F6558" s="56">
        <v>14.187442364134993</v>
      </c>
      <c r="G6558" s="48"/>
      <c r="H6558" s="48"/>
      <c r="I6558" s="48"/>
      <c r="J6558" s="48"/>
      <c r="L6558" s="65"/>
    </row>
    <row r="6559" spans="5:12">
      <c r="E6559" s="49">
        <v>45071.461805533705</v>
      </c>
      <c r="F6559" s="56">
        <v>14.187442364134993</v>
      </c>
      <c r="G6559" s="48"/>
      <c r="H6559" s="48"/>
      <c r="I6559" s="48"/>
      <c r="J6559" s="48"/>
      <c r="L6559" s="65"/>
    </row>
    <row r="6560" spans="5:12">
      <c r="E6560" s="49">
        <v>45071.465277755924</v>
      </c>
      <c r="F6560" s="56">
        <v>14.187442364134993</v>
      </c>
      <c r="G6560" s="48"/>
      <c r="H6560" s="48"/>
      <c r="I6560" s="48"/>
      <c r="J6560" s="48"/>
      <c r="L6560" s="65"/>
    </row>
    <row r="6561" spans="5:12">
      <c r="E6561" s="49">
        <v>45071.468749978143</v>
      </c>
      <c r="F6561" s="56">
        <v>14.187442364134993</v>
      </c>
      <c r="G6561" s="48"/>
      <c r="H6561" s="48"/>
      <c r="I6561" s="48"/>
      <c r="J6561" s="48"/>
      <c r="L6561" s="65"/>
    </row>
    <row r="6562" spans="5:12">
      <c r="E6562" s="49">
        <v>45071.472222200362</v>
      </c>
      <c r="F6562" s="56">
        <v>14.187442364134993</v>
      </c>
      <c r="G6562" s="48"/>
      <c r="H6562" s="48"/>
      <c r="I6562" s="48"/>
      <c r="J6562" s="48"/>
      <c r="L6562" s="65"/>
    </row>
    <row r="6563" spans="5:12">
      <c r="E6563" s="49">
        <v>45071.475694422581</v>
      </c>
      <c r="F6563" s="56">
        <v>14.187442364134993</v>
      </c>
      <c r="G6563" s="48"/>
      <c r="H6563" s="48"/>
      <c r="I6563" s="48"/>
      <c r="J6563" s="48"/>
      <c r="L6563" s="65"/>
    </row>
    <row r="6564" spans="5:12">
      <c r="E6564" s="49">
        <v>45071.4791666448</v>
      </c>
      <c r="F6564" s="56">
        <v>14.187442364134993</v>
      </c>
      <c r="G6564" s="48"/>
      <c r="H6564" s="48"/>
      <c r="I6564" s="48"/>
      <c r="J6564" s="48"/>
      <c r="L6564" s="65"/>
    </row>
    <row r="6565" spans="5:12">
      <c r="E6565" s="49">
        <v>45071.482638867019</v>
      </c>
      <c r="F6565" s="56">
        <v>14.187442364134993</v>
      </c>
      <c r="G6565" s="48"/>
      <c r="H6565" s="48"/>
      <c r="I6565" s="48"/>
      <c r="J6565" s="48"/>
      <c r="L6565" s="65"/>
    </row>
    <row r="6566" spans="5:12">
      <c r="E6566" s="49">
        <v>45071.486111089238</v>
      </c>
      <c r="F6566" s="56">
        <v>14.187442364134993</v>
      </c>
      <c r="G6566" s="48"/>
      <c r="H6566" s="48"/>
      <c r="I6566" s="48"/>
      <c r="J6566" s="48"/>
      <c r="L6566" s="65"/>
    </row>
    <row r="6567" spans="5:12">
      <c r="E6567" s="49">
        <v>45071.489583311457</v>
      </c>
      <c r="F6567" s="56">
        <v>14.187442364134993</v>
      </c>
      <c r="G6567" s="48"/>
      <c r="H6567" s="48"/>
      <c r="I6567" s="48"/>
      <c r="J6567" s="48"/>
      <c r="L6567" s="65"/>
    </row>
    <row r="6568" spans="5:12">
      <c r="E6568" s="49">
        <v>45071.493055533676</v>
      </c>
      <c r="F6568" s="56">
        <v>14.187442364134993</v>
      </c>
      <c r="G6568" s="48"/>
      <c r="H6568" s="48"/>
      <c r="I6568" s="48"/>
      <c r="J6568" s="48"/>
      <c r="L6568" s="65"/>
    </row>
    <row r="6569" spans="5:12">
      <c r="E6569" s="49">
        <v>45071.496527755895</v>
      </c>
      <c r="F6569" s="56">
        <v>14.187442364134993</v>
      </c>
      <c r="G6569" s="48"/>
      <c r="H6569" s="48"/>
      <c r="I6569" s="48"/>
      <c r="J6569" s="48"/>
      <c r="L6569" s="65"/>
    </row>
    <row r="6570" spans="5:12">
      <c r="E6570" s="49">
        <v>45071.499999978114</v>
      </c>
      <c r="F6570" s="56">
        <v>14.187442364134993</v>
      </c>
      <c r="G6570" s="48"/>
      <c r="H6570" s="48"/>
      <c r="I6570" s="48"/>
      <c r="J6570" s="48"/>
      <c r="L6570" s="65"/>
    </row>
    <row r="6571" spans="5:12">
      <c r="E6571" s="49">
        <v>45071.503472200333</v>
      </c>
      <c r="F6571" s="56">
        <v>14.187442364134993</v>
      </c>
      <c r="G6571" s="48"/>
      <c r="H6571" s="48"/>
      <c r="I6571" s="48"/>
      <c r="J6571" s="48"/>
      <c r="L6571" s="65"/>
    </row>
    <row r="6572" spans="5:12">
      <c r="E6572" s="49">
        <v>45071.506944422552</v>
      </c>
      <c r="F6572" s="56">
        <v>14.187442364134993</v>
      </c>
      <c r="G6572" s="48"/>
      <c r="H6572" s="48"/>
      <c r="I6572" s="48"/>
      <c r="J6572" s="48"/>
      <c r="L6572" s="65"/>
    </row>
    <row r="6573" spans="5:12">
      <c r="E6573" s="49">
        <v>45071.510416644771</v>
      </c>
      <c r="F6573" s="56">
        <v>14.187442364134993</v>
      </c>
      <c r="G6573" s="48"/>
      <c r="H6573" s="48"/>
      <c r="I6573" s="48"/>
      <c r="J6573" s="48"/>
      <c r="L6573" s="65"/>
    </row>
    <row r="6574" spans="5:12">
      <c r="E6574" s="49">
        <v>45071.51388886699</v>
      </c>
      <c r="F6574" s="56">
        <v>14.187442364134993</v>
      </c>
      <c r="G6574" s="48"/>
      <c r="H6574" s="48"/>
      <c r="I6574" s="48"/>
      <c r="J6574" s="48"/>
      <c r="L6574" s="65"/>
    </row>
    <row r="6575" spans="5:12">
      <c r="E6575" s="49">
        <v>45071.517361089209</v>
      </c>
      <c r="F6575" s="56">
        <v>14.187442364134993</v>
      </c>
      <c r="G6575" s="48"/>
      <c r="H6575" s="48"/>
      <c r="I6575" s="48"/>
      <c r="J6575" s="48"/>
      <c r="L6575" s="65"/>
    </row>
    <row r="6576" spans="5:12">
      <c r="E6576" s="49">
        <v>45071.520833311428</v>
      </c>
      <c r="F6576" s="56">
        <v>14.187442364134993</v>
      </c>
      <c r="G6576" s="48"/>
      <c r="H6576" s="48"/>
      <c r="I6576" s="48"/>
      <c r="J6576" s="48"/>
      <c r="L6576" s="65"/>
    </row>
    <row r="6577" spans="5:12">
      <c r="E6577" s="49">
        <v>45071.524305533647</v>
      </c>
      <c r="F6577" s="56">
        <v>14.187442364134993</v>
      </c>
      <c r="G6577" s="48"/>
      <c r="H6577" s="48"/>
      <c r="I6577" s="48"/>
      <c r="J6577" s="48"/>
      <c r="L6577" s="65"/>
    </row>
    <row r="6578" spans="5:12">
      <c r="E6578" s="49">
        <v>45071.527777755866</v>
      </c>
      <c r="F6578" s="56">
        <v>14.187442364134993</v>
      </c>
      <c r="G6578" s="48"/>
      <c r="H6578" s="48"/>
      <c r="I6578" s="48"/>
      <c r="J6578" s="48"/>
      <c r="L6578" s="65"/>
    </row>
    <row r="6579" spans="5:12">
      <c r="E6579" s="49">
        <v>45071.531249978085</v>
      </c>
      <c r="F6579" s="56">
        <v>14.187442364134993</v>
      </c>
      <c r="G6579" s="48"/>
      <c r="H6579" s="48"/>
      <c r="I6579" s="48"/>
      <c r="J6579" s="48"/>
      <c r="L6579" s="65"/>
    </row>
    <row r="6580" spans="5:12">
      <c r="E6580" s="49">
        <v>45071.534722200304</v>
      </c>
      <c r="F6580" s="56">
        <v>14.187442364134993</v>
      </c>
      <c r="G6580" s="48"/>
      <c r="H6580" s="48"/>
      <c r="I6580" s="48"/>
      <c r="J6580" s="48"/>
      <c r="L6580" s="65"/>
    </row>
    <row r="6581" spans="5:12">
      <c r="E6581" s="49">
        <v>45071.538194422523</v>
      </c>
      <c r="F6581" s="56">
        <v>14.187442364134993</v>
      </c>
      <c r="G6581" s="48"/>
      <c r="H6581" s="48"/>
      <c r="I6581" s="48"/>
      <c r="J6581" s="48"/>
      <c r="L6581" s="65"/>
    </row>
    <row r="6582" spans="5:12">
      <c r="E6582" s="49">
        <v>45071.541666644742</v>
      </c>
      <c r="F6582" s="56">
        <v>14.187442364134993</v>
      </c>
      <c r="G6582" s="48"/>
      <c r="H6582" s="48"/>
      <c r="I6582" s="48"/>
      <c r="J6582" s="48"/>
      <c r="L6582" s="65"/>
    </row>
    <row r="6583" spans="5:12">
      <c r="E6583" s="49">
        <v>45071.545138866961</v>
      </c>
      <c r="F6583" s="56">
        <v>14.187442364134993</v>
      </c>
      <c r="G6583" s="48"/>
      <c r="H6583" s="48"/>
      <c r="I6583" s="48"/>
      <c r="J6583" s="48"/>
      <c r="L6583" s="65"/>
    </row>
    <row r="6584" spans="5:12">
      <c r="E6584" s="49">
        <v>45071.54861108918</v>
      </c>
      <c r="F6584" s="56">
        <v>14.187442364134993</v>
      </c>
      <c r="G6584" s="48"/>
      <c r="H6584" s="48"/>
      <c r="I6584" s="48"/>
      <c r="J6584" s="48"/>
      <c r="L6584" s="65"/>
    </row>
    <row r="6585" spans="5:12">
      <c r="E6585" s="49">
        <v>45071.552083311399</v>
      </c>
      <c r="F6585" s="56">
        <v>14.187442364134993</v>
      </c>
      <c r="G6585" s="48"/>
      <c r="H6585" s="48"/>
      <c r="I6585" s="48"/>
      <c r="J6585" s="48"/>
      <c r="L6585" s="65"/>
    </row>
    <row r="6586" spans="5:12">
      <c r="E6586" s="49">
        <v>45071.555555533618</v>
      </c>
      <c r="F6586" s="56">
        <v>14.187442364134993</v>
      </c>
      <c r="G6586" s="48"/>
      <c r="H6586" s="48"/>
      <c r="I6586" s="48"/>
      <c r="J6586" s="48"/>
      <c r="L6586" s="65"/>
    </row>
    <row r="6587" spans="5:12">
      <c r="E6587" s="49">
        <v>45071.559027755837</v>
      </c>
      <c r="F6587" s="56">
        <v>14.187442364134993</v>
      </c>
      <c r="G6587" s="48"/>
      <c r="H6587" s="48"/>
      <c r="I6587" s="48"/>
      <c r="J6587" s="48"/>
      <c r="L6587" s="65"/>
    </row>
    <row r="6588" spans="5:12">
      <c r="E6588" s="49">
        <v>45071.562499978056</v>
      </c>
      <c r="F6588" s="56">
        <v>14.187442364134993</v>
      </c>
      <c r="G6588" s="48"/>
      <c r="H6588" s="48"/>
      <c r="I6588" s="48"/>
      <c r="J6588" s="48"/>
      <c r="L6588" s="65"/>
    </row>
    <row r="6589" spans="5:12">
      <c r="E6589" s="49">
        <v>45071.565972200275</v>
      </c>
      <c r="F6589" s="56">
        <v>14.187442364134993</v>
      </c>
      <c r="G6589" s="48"/>
      <c r="H6589" s="48"/>
      <c r="I6589" s="48"/>
      <c r="J6589" s="48"/>
      <c r="L6589" s="65"/>
    </row>
    <row r="6590" spans="5:12">
      <c r="E6590" s="49">
        <v>45071.569444422494</v>
      </c>
      <c r="F6590" s="56">
        <v>14.187442364134993</v>
      </c>
      <c r="G6590" s="48"/>
      <c r="H6590" s="48"/>
      <c r="I6590" s="48"/>
      <c r="J6590" s="48"/>
      <c r="L6590" s="65"/>
    </row>
    <row r="6591" spans="5:12">
      <c r="E6591" s="49">
        <v>45071.572916644713</v>
      </c>
      <c r="F6591" s="56">
        <v>14.187442364134993</v>
      </c>
      <c r="G6591" s="48"/>
      <c r="H6591" s="48"/>
      <c r="I6591" s="48"/>
      <c r="J6591" s="48"/>
      <c r="L6591" s="65"/>
    </row>
    <row r="6592" spans="5:12">
      <c r="E6592" s="49">
        <v>45071.576388866932</v>
      </c>
      <c r="F6592" s="56">
        <v>14.187442364134993</v>
      </c>
      <c r="G6592" s="48"/>
      <c r="H6592" s="48"/>
      <c r="I6592" s="48"/>
      <c r="J6592" s="48"/>
      <c r="L6592" s="65"/>
    </row>
    <row r="6593" spans="5:12">
      <c r="E6593" s="49">
        <v>45071.579861089151</v>
      </c>
      <c r="F6593" s="56">
        <v>14.187442364134993</v>
      </c>
      <c r="G6593" s="48"/>
      <c r="H6593" s="48"/>
      <c r="I6593" s="48"/>
      <c r="J6593" s="48"/>
      <c r="L6593" s="65"/>
    </row>
    <row r="6594" spans="5:12">
      <c r="E6594" s="49">
        <v>45071.58333331137</v>
      </c>
      <c r="F6594" s="56">
        <v>14.187442364134993</v>
      </c>
      <c r="G6594" s="48"/>
      <c r="H6594" s="48"/>
      <c r="I6594" s="48"/>
      <c r="J6594" s="48"/>
      <c r="L6594" s="65"/>
    </row>
    <row r="6595" spans="5:12">
      <c r="E6595" s="49">
        <v>45071.586805533589</v>
      </c>
      <c r="F6595" s="56">
        <v>14.187442364134993</v>
      </c>
      <c r="G6595" s="48"/>
      <c r="H6595" s="48"/>
      <c r="I6595" s="48"/>
      <c r="J6595" s="48"/>
      <c r="L6595" s="65"/>
    </row>
    <row r="6596" spans="5:12">
      <c r="E6596" s="49">
        <v>45071.590277755808</v>
      </c>
      <c r="F6596" s="56">
        <v>14.187442364134993</v>
      </c>
      <c r="G6596" s="48"/>
      <c r="H6596" s="48"/>
      <c r="I6596" s="48"/>
      <c r="J6596" s="48"/>
      <c r="L6596" s="65"/>
    </row>
    <row r="6597" spans="5:12">
      <c r="E6597" s="49">
        <v>45071.593749978027</v>
      </c>
      <c r="F6597" s="56">
        <v>14.187442364134993</v>
      </c>
      <c r="G6597" s="48"/>
      <c r="H6597" s="48"/>
      <c r="I6597" s="48"/>
      <c r="J6597" s="48"/>
      <c r="L6597" s="65"/>
    </row>
    <row r="6598" spans="5:12">
      <c r="E6598" s="49">
        <v>45071.597222200246</v>
      </c>
      <c r="F6598" s="56">
        <v>14.187442364134993</v>
      </c>
      <c r="G6598" s="48"/>
      <c r="H6598" s="48"/>
      <c r="I6598" s="48"/>
      <c r="J6598" s="48"/>
      <c r="L6598" s="65"/>
    </row>
    <row r="6599" spans="5:12">
      <c r="E6599" s="49">
        <v>45071.600694422465</v>
      </c>
      <c r="F6599" s="56">
        <v>14.187442364134993</v>
      </c>
      <c r="G6599" s="48"/>
      <c r="H6599" s="48"/>
      <c r="I6599" s="48"/>
      <c r="J6599" s="48"/>
      <c r="L6599" s="65"/>
    </row>
    <row r="6600" spans="5:12">
      <c r="E6600" s="49">
        <v>45071.604166644684</v>
      </c>
      <c r="F6600" s="56">
        <v>14.187442364134993</v>
      </c>
      <c r="G6600" s="48"/>
      <c r="H6600" s="48"/>
      <c r="I6600" s="48"/>
      <c r="J6600" s="48"/>
      <c r="L6600" s="65"/>
    </row>
    <row r="6601" spans="5:12">
      <c r="E6601" s="49">
        <v>45071.607638866903</v>
      </c>
      <c r="F6601" s="56">
        <v>0</v>
      </c>
      <c r="G6601" s="48"/>
      <c r="H6601" s="48"/>
      <c r="I6601" s="48"/>
      <c r="J6601" s="48"/>
      <c r="L6601" s="65"/>
    </row>
    <row r="6602" spans="5:12">
      <c r="E6602" s="49">
        <v>45071.611111089122</v>
      </c>
      <c r="F6602" s="56">
        <v>0</v>
      </c>
      <c r="G6602" s="48"/>
      <c r="H6602" s="48"/>
      <c r="I6602" s="48"/>
      <c r="J6602" s="48"/>
      <c r="L6602" s="65"/>
    </row>
    <row r="6603" spans="5:12">
      <c r="E6603" s="49">
        <v>45071.614583311341</v>
      </c>
      <c r="F6603" s="56">
        <v>0</v>
      </c>
      <c r="G6603" s="48"/>
      <c r="H6603" s="48"/>
      <c r="I6603" s="48"/>
      <c r="J6603" s="48"/>
      <c r="L6603" s="65"/>
    </row>
    <row r="6604" spans="5:12">
      <c r="E6604" s="49">
        <v>45071.61805553356</v>
      </c>
      <c r="F6604" s="56">
        <v>0</v>
      </c>
      <c r="G6604" s="48"/>
      <c r="H6604" s="48"/>
      <c r="I6604" s="48"/>
      <c r="J6604" s="48"/>
      <c r="L6604" s="65"/>
    </row>
    <row r="6605" spans="5:12">
      <c r="E6605" s="49">
        <v>45071.621527755779</v>
      </c>
      <c r="F6605" s="56">
        <v>0</v>
      </c>
      <c r="G6605" s="48"/>
      <c r="H6605" s="48"/>
      <c r="I6605" s="48"/>
      <c r="J6605" s="48"/>
      <c r="L6605" s="65"/>
    </row>
    <row r="6606" spans="5:12">
      <c r="E6606" s="49">
        <v>45071.624999977998</v>
      </c>
      <c r="F6606" s="56">
        <v>0</v>
      </c>
      <c r="G6606" s="48"/>
      <c r="H6606" s="48"/>
      <c r="I6606" s="48"/>
      <c r="J6606" s="48"/>
      <c r="L6606" s="65"/>
    </row>
    <row r="6607" spans="5:12">
      <c r="E6607" s="49">
        <v>45071.628472200216</v>
      </c>
      <c r="F6607" s="56">
        <v>0</v>
      </c>
      <c r="G6607" s="48"/>
      <c r="H6607" s="48"/>
      <c r="I6607" s="48"/>
      <c r="J6607" s="48"/>
      <c r="L6607" s="65"/>
    </row>
    <row r="6608" spans="5:12">
      <c r="E6608" s="49">
        <v>45071.631944422435</v>
      </c>
      <c r="F6608" s="56">
        <v>0</v>
      </c>
      <c r="G6608" s="48"/>
      <c r="H6608" s="48"/>
      <c r="I6608" s="48"/>
      <c r="J6608" s="48"/>
      <c r="L6608" s="65"/>
    </row>
    <row r="6609" spans="5:12">
      <c r="E6609" s="49">
        <v>45071.635416644654</v>
      </c>
      <c r="F6609" s="56">
        <v>0</v>
      </c>
      <c r="G6609" s="48"/>
      <c r="H6609" s="48"/>
      <c r="I6609" s="48"/>
      <c r="J6609" s="48"/>
      <c r="L6609" s="65"/>
    </row>
    <row r="6610" spans="5:12">
      <c r="E6610" s="49">
        <v>45071.638888866873</v>
      </c>
      <c r="F6610" s="56">
        <v>0</v>
      </c>
      <c r="G6610" s="48"/>
      <c r="H6610" s="48"/>
      <c r="I6610" s="48"/>
      <c r="J6610" s="48"/>
      <c r="L6610" s="65"/>
    </row>
    <row r="6611" spans="5:12">
      <c r="E6611" s="49">
        <v>45071.642361089092</v>
      </c>
      <c r="F6611" s="56">
        <v>0</v>
      </c>
      <c r="G6611" s="48"/>
      <c r="H6611" s="48"/>
      <c r="I6611" s="48"/>
      <c r="J6611" s="48"/>
      <c r="L6611" s="65"/>
    </row>
    <row r="6612" spans="5:12">
      <c r="E6612" s="49">
        <v>45071.645833311311</v>
      </c>
      <c r="F6612" s="56">
        <v>0</v>
      </c>
      <c r="G6612" s="48"/>
      <c r="H6612" s="48"/>
      <c r="I6612" s="48"/>
      <c r="J6612" s="48"/>
      <c r="L6612" s="65"/>
    </row>
    <row r="6613" spans="5:12">
      <c r="E6613" s="49">
        <v>45071.64930553353</v>
      </c>
      <c r="F6613" s="56">
        <v>0</v>
      </c>
      <c r="G6613" s="48"/>
      <c r="H6613" s="48"/>
      <c r="I6613" s="48"/>
      <c r="J6613" s="48"/>
      <c r="L6613" s="65"/>
    </row>
    <row r="6614" spans="5:12">
      <c r="E6614" s="49">
        <v>45071.652777755749</v>
      </c>
      <c r="F6614" s="56">
        <v>0</v>
      </c>
      <c r="G6614" s="48"/>
      <c r="H6614" s="48"/>
      <c r="I6614" s="48"/>
      <c r="J6614" s="48"/>
      <c r="L6614" s="65"/>
    </row>
    <row r="6615" spans="5:12">
      <c r="E6615" s="49">
        <v>45071.656249977968</v>
      </c>
      <c r="F6615" s="56">
        <v>0</v>
      </c>
      <c r="G6615" s="48"/>
      <c r="H6615" s="48"/>
      <c r="I6615" s="48"/>
      <c r="J6615" s="48"/>
      <c r="L6615" s="65"/>
    </row>
    <row r="6616" spans="5:12">
      <c r="E6616" s="49">
        <v>45071.659722200187</v>
      </c>
      <c r="F6616" s="56">
        <v>0</v>
      </c>
      <c r="G6616" s="48"/>
      <c r="H6616" s="48"/>
      <c r="I6616" s="48"/>
      <c r="J6616" s="48"/>
      <c r="L6616" s="65"/>
    </row>
    <row r="6617" spans="5:12">
      <c r="E6617" s="49">
        <v>45071.663194422406</v>
      </c>
      <c r="F6617" s="56">
        <v>0</v>
      </c>
      <c r="G6617" s="48"/>
      <c r="H6617" s="48"/>
      <c r="I6617" s="48"/>
      <c r="J6617" s="48"/>
      <c r="L6617" s="65"/>
    </row>
    <row r="6618" spans="5:12">
      <c r="E6618" s="49">
        <v>45071.666666644625</v>
      </c>
      <c r="F6618" s="56">
        <v>0</v>
      </c>
      <c r="G6618" s="48"/>
      <c r="H6618" s="48"/>
      <c r="I6618" s="48"/>
      <c r="J6618" s="48"/>
      <c r="L6618" s="65"/>
    </row>
    <row r="6619" spans="5:12">
      <c r="E6619" s="49">
        <v>45071.670138866844</v>
      </c>
      <c r="F6619" s="56">
        <v>0</v>
      </c>
      <c r="G6619" s="48"/>
      <c r="H6619" s="48"/>
      <c r="I6619" s="48"/>
      <c r="J6619" s="48"/>
      <c r="L6619" s="65"/>
    </row>
    <row r="6620" spans="5:12">
      <c r="E6620" s="49">
        <v>45071.673611089063</v>
      </c>
      <c r="F6620" s="56">
        <v>0</v>
      </c>
      <c r="G6620" s="48"/>
      <c r="H6620" s="48"/>
      <c r="I6620" s="48"/>
      <c r="J6620" s="48"/>
      <c r="L6620" s="65"/>
    </row>
    <row r="6621" spans="5:12">
      <c r="E6621" s="49">
        <v>45071.677083311282</v>
      </c>
      <c r="F6621" s="56">
        <v>0</v>
      </c>
      <c r="G6621" s="48"/>
      <c r="H6621" s="48"/>
      <c r="I6621" s="48"/>
      <c r="J6621" s="48"/>
      <c r="L6621" s="65"/>
    </row>
    <row r="6622" spans="5:12">
      <c r="E6622" s="49">
        <v>45071.680555533501</v>
      </c>
      <c r="F6622" s="56">
        <v>0</v>
      </c>
      <c r="G6622" s="48"/>
      <c r="H6622" s="48"/>
      <c r="I6622" s="48"/>
      <c r="J6622" s="48"/>
      <c r="L6622" s="65"/>
    </row>
    <row r="6623" spans="5:12">
      <c r="E6623" s="49">
        <v>45071.68402775572</v>
      </c>
      <c r="F6623" s="56">
        <v>0</v>
      </c>
      <c r="G6623" s="48"/>
      <c r="H6623" s="48"/>
      <c r="I6623" s="48"/>
      <c r="J6623" s="48"/>
      <c r="L6623" s="65"/>
    </row>
    <row r="6624" spans="5:12">
      <c r="E6624" s="49">
        <v>45071.687499977939</v>
      </c>
      <c r="F6624" s="56">
        <v>0</v>
      </c>
      <c r="G6624" s="48"/>
      <c r="H6624" s="48"/>
      <c r="I6624" s="48"/>
      <c r="J6624" s="48"/>
      <c r="L6624" s="65"/>
    </row>
    <row r="6625" spans="5:12">
      <c r="E6625" s="49">
        <v>45071.690972200158</v>
      </c>
      <c r="F6625" s="56">
        <v>0</v>
      </c>
      <c r="G6625" s="48"/>
      <c r="H6625" s="48"/>
      <c r="I6625" s="48"/>
      <c r="J6625" s="48"/>
      <c r="L6625" s="65"/>
    </row>
    <row r="6626" spans="5:12">
      <c r="E6626" s="49">
        <v>45071.694444422377</v>
      </c>
      <c r="F6626" s="56">
        <v>0</v>
      </c>
      <c r="G6626" s="48"/>
      <c r="H6626" s="48"/>
      <c r="I6626" s="48"/>
      <c r="J6626" s="48"/>
      <c r="L6626" s="65"/>
    </row>
    <row r="6627" spans="5:12">
      <c r="E6627" s="49">
        <v>45071.697916644596</v>
      </c>
      <c r="F6627" s="56">
        <v>0</v>
      </c>
      <c r="G6627" s="48"/>
      <c r="H6627" s="48"/>
      <c r="I6627" s="48"/>
      <c r="J6627" s="48"/>
      <c r="L6627" s="65"/>
    </row>
    <row r="6628" spans="5:12">
      <c r="E6628" s="49">
        <v>45071.701388866815</v>
      </c>
      <c r="F6628" s="56">
        <v>0</v>
      </c>
      <c r="G6628" s="48"/>
      <c r="H6628" s="48"/>
      <c r="I6628" s="48"/>
      <c r="J6628" s="48"/>
      <c r="L6628" s="65"/>
    </row>
    <row r="6629" spans="5:12">
      <c r="E6629" s="49">
        <v>45071.704861089034</v>
      </c>
      <c r="F6629" s="56">
        <v>0</v>
      </c>
      <c r="G6629" s="48"/>
      <c r="H6629" s="48"/>
      <c r="I6629" s="48"/>
      <c r="J6629" s="48"/>
      <c r="L6629" s="65"/>
    </row>
    <row r="6630" spans="5:12">
      <c r="E6630" s="49">
        <v>45071.708333311253</v>
      </c>
      <c r="F6630" s="56">
        <v>0</v>
      </c>
      <c r="G6630" s="48"/>
      <c r="H6630" s="48"/>
      <c r="I6630" s="48"/>
      <c r="J6630" s="48"/>
      <c r="L6630" s="65"/>
    </row>
    <row r="6631" spans="5:12">
      <c r="E6631" s="49">
        <v>45071.711805533472</v>
      </c>
      <c r="F6631" s="56">
        <v>0</v>
      </c>
      <c r="G6631" s="48"/>
      <c r="H6631" s="48"/>
      <c r="I6631" s="48"/>
      <c r="J6631" s="48"/>
      <c r="L6631" s="65"/>
    </row>
    <row r="6632" spans="5:12">
      <c r="E6632" s="49">
        <v>45071.715277755691</v>
      </c>
      <c r="F6632" s="56">
        <v>0</v>
      </c>
      <c r="G6632" s="48"/>
      <c r="H6632" s="48"/>
      <c r="I6632" s="48"/>
      <c r="J6632" s="48"/>
      <c r="L6632" s="65"/>
    </row>
    <row r="6633" spans="5:12">
      <c r="E6633" s="49">
        <v>45071.71874997791</v>
      </c>
      <c r="F6633" s="56">
        <v>0</v>
      </c>
      <c r="G6633" s="48"/>
      <c r="H6633" s="48"/>
      <c r="I6633" s="48"/>
      <c r="J6633" s="48"/>
      <c r="L6633" s="65"/>
    </row>
    <row r="6634" spans="5:12">
      <c r="E6634" s="49">
        <v>45071.722222200129</v>
      </c>
      <c r="F6634" s="56">
        <v>0</v>
      </c>
      <c r="G6634" s="48"/>
      <c r="H6634" s="48"/>
      <c r="I6634" s="48"/>
      <c r="J6634" s="48"/>
      <c r="L6634" s="65"/>
    </row>
    <row r="6635" spans="5:12">
      <c r="E6635" s="49">
        <v>45071.725694422348</v>
      </c>
      <c r="F6635" s="56">
        <v>0</v>
      </c>
      <c r="G6635" s="48"/>
      <c r="H6635" s="48"/>
      <c r="I6635" s="48"/>
      <c r="J6635" s="48"/>
      <c r="L6635" s="65"/>
    </row>
    <row r="6636" spans="5:12">
      <c r="E6636" s="49">
        <v>45071.729166644567</v>
      </c>
      <c r="F6636" s="56">
        <v>0</v>
      </c>
      <c r="G6636" s="48"/>
      <c r="H6636" s="48"/>
      <c r="I6636" s="48"/>
      <c r="J6636" s="48"/>
      <c r="L6636" s="65"/>
    </row>
    <row r="6637" spans="5:12">
      <c r="E6637" s="49">
        <v>45071.732638866786</v>
      </c>
      <c r="F6637" s="56">
        <v>0</v>
      </c>
      <c r="G6637" s="48"/>
      <c r="H6637" s="48"/>
      <c r="I6637" s="48"/>
      <c r="J6637" s="48"/>
      <c r="L6637" s="65"/>
    </row>
    <row r="6638" spans="5:12">
      <c r="E6638" s="49">
        <v>45071.736111089005</v>
      </c>
      <c r="F6638" s="56">
        <v>0</v>
      </c>
      <c r="G6638" s="48"/>
      <c r="H6638" s="48"/>
      <c r="I6638" s="48"/>
      <c r="J6638" s="48"/>
      <c r="L6638" s="65"/>
    </row>
    <row r="6639" spans="5:12">
      <c r="E6639" s="49">
        <v>45071.739583311224</v>
      </c>
      <c r="F6639" s="56">
        <v>0</v>
      </c>
      <c r="G6639" s="48"/>
      <c r="H6639" s="48"/>
      <c r="I6639" s="48"/>
      <c r="J6639" s="48"/>
      <c r="L6639" s="65"/>
    </row>
    <row r="6640" spans="5:12">
      <c r="E6640" s="49">
        <v>45071.743055533443</v>
      </c>
      <c r="F6640" s="56">
        <v>0</v>
      </c>
      <c r="G6640" s="48"/>
      <c r="H6640" s="48"/>
      <c r="I6640" s="48"/>
      <c r="J6640" s="48"/>
      <c r="L6640" s="65"/>
    </row>
    <row r="6641" spans="5:12">
      <c r="E6641" s="49">
        <v>45071.746527755662</v>
      </c>
      <c r="F6641" s="56">
        <v>0</v>
      </c>
      <c r="G6641" s="48"/>
      <c r="H6641" s="48"/>
      <c r="I6641" s="48"/>
      <c r="J6641" s="48"/>
      <c r="L6641" s="65"/>
    </row>
    <row r="6642" spans="5:12">
      <c r="E6642" s="49">
        <v>45071.749999977881</v>
      </c>
      <c r="F6642" s="56">
        <v>0</v>
      </c>
      <c r="G6642" s="48"/>
      <c r="H6642" s="48"/>
      <c r="I6642" s="48"/>
      <c r="J6642" s="48"/>
      <c r="L6642" s="65"/>
    </row>
    <row r="6643" spans="5:12">
      <c r="E6643" s="49">
        <v>45071.7534722001</v>
      </c>
      <c r="F6643" s="56">
        <v>0</v>
      </c>
      <c r="G6643" s="48"/>
      <c r="H6643" s="48"/>
      <c r="I6643" s="48"/>
      <c r="J6643" s="48"/>
      <c r="L6643" s="65"/>
    </row>
    <row r="6644" spans="5:12">
      <c r="E6644" s="49">
        <v>45071.756944422319</v>
      </c>
      <c r="F6644" s="56">
        <v>0</v>
      </c>
      <c r="G6644" s="48"/>
      <c r="H6644" s="48"/>
      <c r="I6644" s="48"/>
      <c r="J6644" s="48"/>
      <c r="L6644" s="65"/>
    </row>
    <row r="6645" spans="5:12">
      <c r="E6645" s="49">
        <v>45071.760416644538</v>
      </c>
      <c r="F6645" s="56">
        <v>0</v>
      </c>
      <c r="G6645" s="48"/>
      <c r="H6645" s="48"/>
      <c r="I6645" s="48"/>
      <c r="J6645" s="48"/>
      <c r="L6645" s="65"/>
    </row>
    <row r="6646" spans="5:12">
      <c r="E6646" s="49">
        <v>45071.763888866757</v>
      </c>
      <c r="F6646" s="56">
        <v>0</v>
      </c>
      <c r="G6646" s="48"/>
      <c r="H6646" s="48"/>
      <c r="I6646" s="48"/>
      <c r="J6646" s="48"/>
      <c r="L6646" s="65"/>
    </row>
    <row r="6647" spans="5:12">
      <c r="E6647" s="49">
        <v>45071.767361088976</v>
      </c>
      <c r="F6647" s="56">
        <v>0</v>
      </c>
      <c r="G6647" s="48"/>
      <c r="H6647" s="48"/>
      <c r="I6647" s="48"/>
      <c r="J6647" s="48"/>
      <c r="L6647" s="65"/>
    </row>
    <row r="6648" spans="5:12">
      <c r="E6648" s="49">
        <v>45071.770833311195</v>
      </c>
      <c r="F6648" s="56">
        <v>0</v>
      </c>
      <c r="G6648" s="48"/>
      <c r="H6648" s="48"/>
      <c r="I6648" s="48"/>
      <c r="J6648" s="48"/>
      <c r="L6648" s="65"/>
    </row>
    <row r="6649" spans="5:12">
      <c r="E6649" s="49">
        <v>45071.774305533414</v>
      </c>
      <c r="F6649" s="56">
        <v>0</v>
      </c>
      <c r="G6649" s="48"/>
      <c r="H6649" s="48"/>
      <c r="I6649" s="48"/>
      <c r="J6649" s="48"/>
      <c r="L6649" s="65"/>
    </row>
    <row r="6650" spans="5:12">
      <c r="E6650" s="49">
        <v>45071.777777755633</v>
      </c>
      <c r="F6650" s="56">
        <v>0</v>
      </c>
      <c r="G6650" s="48"/>
      <c r="H6650" s="48"/>
      <c r="I6650" s="48"/>
      <c r="J6650" s="48"/>
      <c r="L6650" s="65"/>
    </row>
    <row r="6651" spans="5:12">
      <c r="E6651" s="49">
        <v>45071.781249977852</v>
      </c>
      <c r="F6651" s="56">
        <v>0</v>
      </c>
      <c r="G6651" s="48"/>
      <c r="H6651" s="48"/>
      <c r="I6651" s="48"/>
      <c r="J6651" s="48"/>
      <c r="L6651" s="65"/>
    </row>
    <row r="6652" spans="5:12">
      <c r="E6652" s="49">
        <v>45071.784722200071</v>
      </c>
      <c r="F6652" s="56">
        <v>0</v>
      </c>
      <c r="G6652" s="48"/>
      <c r="H6652" s="48"/>
      <c r="I6652" s="48"/>
      <c r="J6652" s="48"/>
      <c r="L6652" s="65"/>
    </row>
    <row r="6653" spans="5:12">
      <c r="E6653" s="49">
        <v>45071.78819442229</v>
      </c>
      <c r="F6653" s="56">
        <v>0</v>
      </c>
      <c r="G6653" s="48"/>
      <c r="H6653" s="48"/>
      <c r="I6653" s="48"/>
      <c r="J6653" s="48"/>
      <c r="L6653" s="65"/>
    </row>
    <row r="6654" spans="5:12">
      <c r="E6654" s="49">
        <v>45071.791666644509</v>
      </c>
      <c r="F6654" s="56">
        <v>0</v>
      </c>
      <c r="G6654" s="48"/>
      <c r="H6654" s="48"/>
      <c r="I6654" s="48"/>
      <c r="J6654" s="48"/>
      <c r="L6654" s="65"/>
    </row>
    <row r="6655" spans="5:12">
      <c r="E6655" s="49">
        <v>45071.795138866728</v>
      </c>
      <c r="F6655" s="56">
        <v>0</v>
      </c>
      <c r="G6655" s="48"/>
      <c r="H6655" s="48"/>
      <c r="I6655" s="48"/>
      <c r="J6655" s="48"/>
      <c r="L6655" s="65"/>
    </row>
    <row r="6656" spans="5:12">
      <c r="E6656" s="49">
        <v>45071.798611088947</v>
      </c>
      <c r="F6656" s="56">
        <v>0</v>
      </c>
      <c r="G6656" s="48"/>
      <c r="H6656" s="48"/>
      <c r="I6656" s="48"/>
      <c r="J6656" s="48"/>
      <c r="L6656" s="65"/>
    </row>
    <row r="6657" spans="5:12">
      <c r="E6657" s="49">
        <v>45071.802083311166</v>
      </c>
      <c r="F6657" s="56">
        <v>0</v>
      </c>
      <c r="G6657" s="48"/>
      <c r="H6657" s="48"/>
      <c r="I6657" s="48"/>
      <c r="J6657" s="48"/>
      <c r="L6657" s="65"/>
    </row>
    <row r="6658" spans="5:12">
      <c r="E6658" s="49">
        <v>45071.805555533385</v>
      </c>
      <c r="F6658" s="56">
        <v>0</v>
      </c>
      <c r="G6658" s="48"/>
      <c r="H6658" s="48"/>
      <c r="I6658" s="48"/>
      <c r="J6658" s="48"/>
      <c r="L6658" s="65"/>
    </row>
    <row r="6659" spans="5:12">
      <c r="E6659" s="49">
        <v>45071.809027755604</v>
      </c>
      <c r="F6659" s="56">
        <v>0</v>
      </c>
      <c r="G6659" s="48"/>
      <c r="H6659" s="48"/>
      <c r="I6659" s="48"/>
      <c r="J6659" s="48"/>
      <c r="L6659" s="65"/>
    </row>
    <row r="6660" spans="5:12">
      <c r="E6660" s="49">
        <v>45071.812499977823</v>
      </c>
      <c r="F6660" s="56">
        <v>0</v>
      </c>
      <c r="G6660" s="48"/>
      <c r="H6660" s="48"/>
      <c r="I6660" s="48"/>
      <c r="J6660" s="48"/>
      <c r="L6660" s="65"/>
    </row>
    <row r="6661" spans="5:12">
      <c r="E6661" s="49">
        <v>45071.815972200042</v>
      </c>
      <c r="F6661" s="56">
        <v>0</v>
      </c>
      <c r="G6661" s="48"/>
      <c r="H6661" s="48"/>
      <c r="I6661" s="48"/>
      <c r="J6661" s="48"/>
      <c r="L6661" s="65"/>
    </row>
    <row r="6662" spans="5:12">
      <c r="E6662" s="49">
        <v>45071.819444422261</v>
      </c>
      <c r="F6662" s="56">
        <v>0</v>
      </c>
      <c r="G6662" s="48"/>
      <c r="H6662" s="48"/>
      <c r="I6662" s="48"/>
      <c r="J6662" s="48"/>
      <c r="L6662" s="65"/>
    </row>
    <row r="6663" spans="5:12">
      <c r="E6663" s="49">
        <v>45071.82291664448</v>
      </c>
      <c r="F6663" s="56">
        <v>0</v>
      </c>
      <c r="G6663" s="48"/>
      <c r="H6663" s="48"/>
      <c r="I6663" s="48"/>
      <c r="J6663" s="48"/>
      <c r="L6663" s="65"/>
    </row>
    <row r="6664" spans="5:12">
      <c r="E6664" s="49">
        <v>45071.826388866699</v>
      </c>
      <c r="F6664" s="56">
        <v>0</v>
      </c>
      <c r="G6664" s="48"/>
      <c r="H6664" s="48"/>
      <c r="I6664" s="48"/>
      <c r="J6664" s="48"/>
      <c r="L6664" s="65"/>
    </row>
    <row r="6665" spans="5:12">
      <c r="E6665" s="49">
        <v>45071.829861088918</v>
      </c>
      <c r="F6665" s="56">
        <v>0</v>
      </c>
      <c r="G6665" s="48"/>
      <c r="H6665" s="48"/>
      <c r="I6665" s="48"/>
      <c r="J6665" s="48"/>
      <c r="L6665" s="65"/>
    </row>
    <row r="6666" spans="5:12">
      <c r="E6666" s="49">
        <v>45071.833333311137</v>
      </c>
      <c r="F6666" s="56">
        <v>0</v>
      </c>
      <c r="G6666" s="48"/>
      <c r="H6666" s="48"/>
      <c r="I6666" s="48"/>
      <c r="J6666" s="48"/>
      <c r="L6666" s="65"/>
    </row>
    <row r="6667" spans="5:12">
      <c r="E6667" s="49">
        <v>45071.836805533356</v>
      </c>
      <c r="F6667" s="56">
        <v>0</v>
      </c>
      <c r="G6667" s="48"/>
      <c r="H6667" s="48"/>
      <c r="I6667" s="48"/>
      <c r="J6667" s="48"/>
      <c r="L6667" s="65"/>
    </row>
    <row r="6668" spans="5:12">
      <c r="E6668" s="49">
        <v>45071.840277755575</v>
      </c>
      <c r="F6668" s="56">
        <v>0</v>
      </c>
      <c r="G6668" s="48"/>
      <c r="H6668" s="48"/>
      <c r="I6668" s="48"/>
      <c r="J6668" s="48"/>
      <c r="L6668" s="65"/>
    </row>
    <row r="6669" spans="5:12">
      <c r="E6669" s="49">
        <v>45071.843749977794</v>
      </c>
      <c r="F6669" s="56">
        <v>0</v>
      </c>
      <c r="G6669" s="48"/>
      <c r="H6669" s="48"/>
      <c r="I6669" s="48"/>
      <c r="J6669" s="48"/>
      <c r="L6669" s="65"/>
    </row>
    <row r="6670" spans="5:12">
      <c r="E6670" s="49">
        <v>45071.847222200013</v>
      </c>
      <c r="F6670" s="56">
        <v>0</v>
      </c>
      <c r="G6670" s="48"/>
      <c r="H6670" s="48"/>
      <c r="I6670" s="48"/>
      <c r="J6670" s="48"/>
      <c r="L6670" s="65"/>
    </row>
    <row r="6671" spans="5:12">
      <c r="E6671" s="49">
        <v>45071.850694422232</v>
      </c>
      <c r="F6671" s="56">
        <v>0</v>
      </c>
      <c r="G6671" s="48"/>
      <c r="H6671" s="48"/>
      <c r="I6671" s="48"/>
      <c r="J6671" s="48"/>
      <c r="L6671" s="65"/>
    </row>
    <row r="6672" spans="5:12">
      <c r="E6672" s="49">
        <v>45071.854166644451</v>
      </c>
      <c r="F6672" s="56">
        <v>0</v>
      </c>
      <c r="G6672" s="48"/>
      <c r="H6672" s="48"/>
      <c r="I6672" s="48"/>
      <c r="J6672" s="48"/>
      <c r="L6672" s="65"/>
    </row>
    <row r="6673" spans="5:12">
      <c r="E6673" s="49">
        <v>45071.85763886667</v>
      </c>
      <c r="F6673" s="56">
        <v>0</v>
      </c>
      <c r="G6673" s="48"/>
      <c r="H6673" s="48"/>
      <c r="I6673" s="48"/>
      <c r="J6673" s="48"/>
      <c r="L6673" s="65"/>
    </row>
    <row r="6674" spans="5:12">
      <c r="E6674" s="49">
        <v>45071.861111088889</v>
      </c>
      <c r="F6674" s="56">
        <v>0</v>
      </c>
      <c r="G6674" s="48"/>
      <c r="H6674" s="48"/>
      <c r="I6674" s="48"/>
      <c r="J6674" s="48"/>
      <c r="L6674" s="65"/>
    </row>
    <row r="6675" spans="5:12">
      <c r="E6675" s="49">
        <v>45071.864583311108</v>
      </c>
      <c r="F6675" s="56">
        <v>0</v>
      </c>
      <c r="G6675" s="48"/>
      <c r="H6675" s="48"/>
      <c r="I6675" s="48"/>
      <c r="J6675" s="48"/>
      <c r="L6675" s="65"/>
    </row>
    <row r="6676" spans="5:12">
      <c r="E6676" s="49">
        <v>45071.868055533327</v>
      </c>
      <c r="F6676" s="56">
        <v>0</v>
      </c>
      <c r="G6676" s="48"/>
      <c r="H6676" s="48"/>
      <c r="I6676" s="48"/>
      <c r="J6676" s="48"/>
      <c r="L6676" s="65"/>
    </row>
    <row r="6677" spans="5:12">
      <c r="E6677" s="49">
        <v>45071.871527755546</v>
      </c>
      <c r="F6677" s="56">
        <v>0</v>
      </c>
      <c r="G6677" s="48"/>
      <c r="H6677" s="48"/>
      <c r="I6677" s="48"/>
      <c r="J6677" s="48"/>
      <c r="L6677" s="65"/>
    </row>
    <row r="6678" spans="5:12">
      <c r="E6678" s="49">
        <v>45071.874999977765</v>
      </c>
      <c r="F6678" s="56">
        <v>0</v>
      </c>
      <c r="G6678" s="48"/>
      <c r="H6678" s="48"/>
      <c r="I6678" s="48"/>
      <c r="J6678" s="48"/>
      <c r="L6678" s="65"/>
    </row>
    <row r="6679" spans="5:12">
      <c r="E6679" s="49">
        <v>45071.878472199984</v>
      </c>
      <c r="F6679" s="56">
        <v>0</v>
      </c>
      <c r="G6679" s="48"/>
      <c r="H6679" s="48"/>
      <c r="I6679" s="48"/>
      <c r="J6679" s="48"/>
      <c r="L6679" s="65"/>
    </row>
    <row r="6680" spans="5:12">
      <c r="E6680" s="49">
        <v>45071.881944422203</v>
      </c>
      <c r="F6680" s="56">
        <v>0</v>
      </c>
      <c r="G6680" s="48"/>
      <c r="H6680" s="48"/>
      <c r="I6680" s="48"/>
      <c r="J6680" s="48"/>
      <c r="L6680" s="65"/>
    </row>
    <row r="6681" spans="5:12">
      <c r="E6681" s="49">
        <v>45071.885416644422</v>
      </c>
      <c r="F6681" s="56">
        <v>0</v>
      </c>
      <c r="G6681" s="48"/>
      <c r="H6681" s="48"/>
      <c r="I6681" s="48"/>
      <c r="J6681" s="48"/>
      <c r="L6681" s="65"/>
    </row>
    <row r="6682" spans="5:12">
      <c r="E6682" s="49">
        <v>45071.888888866641</v>
      </c>
      <c r="F6682" s="56">
        <v>0</v>
      </c>
      <c r="G6682" s="48"/>
      <c r="H6682" s="48"/>
      <c r="I6682" s="48"/>
      <c r="J6682" s="48"/>
      <c r="L6682" s="65"/>
    </row>
    <row r="6683" spans="5:12">
      <c r="E6683" s="49">
        <v>45071.89236108886</v>
      </c>
      <c r="F6683" s="56">
        <v>0</v>
      </c>
      <c r="G6683" s="48"/>
      <c r="H6683" s="48"/>
      <c r="I6683" s="48"/>
      <c r="J6683" s="48"/>
      <c r="L6683" s="65"/>
    </row>
    <row r="6684" spans="5:12">
      <c r="E6684" s="49">
        <v>45071.895833311079</v>
      </c>
      <c r="F6684" s="56">
        <v>0</v>
      </c>
      <c r="G6684" s="48"/>
      <c r="H6684" s="48"/>
      <c r="I6684" s="48"/>
      <c r="J6684" s="48"/>
      <c r="L6684" s="65"/>
    </row>
    <row r="6685" spans="5:12">
      <c r="E6685" s="49">
        <v>45071.899305533298</v>
      </c>
      <c r="F6685" s="56">
        <v>0</v>
      </c>
      <c r="G6685" s="48"/>
      <c r="H6685" s="48"/>
      <c r="I6685" s="48"/>
      <c r="J6685" s="48"/>
      <c r="L6685" s="65"/>
    </row>
    <row r="6686" spans="5:12">
      <c r="E6686" s="49">
        <v>45071.902777755517</v>
      </c>
      <c r="F6686" s="56">
        <v>0</v>
      </c>
      <c r="G6686" s="48"/>
      <c r="H6686" s="48"/>
      <c r="I6686" s="48"/>
      <c r="J6686" s="48"/>
      <c r="L6686" s="65"/>
    </row>
    <row r="6687" spans="5:12">
      <c r="E6687" s="49">
        <v>45071.906249977736</v>
      </c>
      <c r="F6687" s="56">
        <v>0</v>
      </c>
      <c r="G6687" s="48"/>
      <c r="H6687" s="48"/>
      <c r="I6687" s="48"/>
      <c r="J6687" s="48"/>
      <c r="L6687" s="65"/>
    </row>
    <row r="6688" spans="5:12">
      <c r="E6688" s="49">
        <v>45071.909722199955</v>
      </c>
      <c r="F6688" s="56">
        <v>0</v>
      </c>
      <c r="G6688" s="48"/>
      <c r="H6688" s="48"/>
      <c r="I6688" s="48"/>
      <c r="J6688" s="48"/>
      <c r="L6688" s="65"/>
    </row>
    <row r="6689" spans="5:12">
      <c r="E6689" s="49">
        <v>45071.913194422174</v>
      </c>
      <c r="F6689" s="56">
        <v>0</v>
      </c>
      <c r="G6689" s="48"/>
      <c r="H6689" s="48"/>
      <c r="I6689" s="48"/>
      <c r="J6689" s="48"/>
      <c r="L6689" s="65"/>
    </row>
    <row r="6690" spans="5:12">
      <c r="E6690" s="49">
        <v>45071.916666644393</v>
      </c>
      <c r="F6690" s="56">
        <v>0</v>
      </c>
      <c r="G6690" s="48"/>
      <c r="H6690" s="48"/>
      <c r="I6690" s="48"/>
      <c r="J6690" s="48"/>
      <c r="L6690" s="65"/>
    </row>
    <row r="6691" spans="5:12">
      <c r="E6691" s="49">
        <v>45071.920138866612</v>
      </c>
      <c r="F6691" s="56">
        <v>0</v>
      </c>
      <c r="G6691" s="48"/>
      <c r="H6691" s="48"/>
      <c r="I6691" s="48"/>
      <c r="J6691" s="48"/>
      <c r="L6691" s="65"/>
    </row>
    <row r="6692" spans="5:12">
      <c r="E6692" s="49">
        <v>45071.923611088831</v>
      </c>
      <c r="F6692" s="56">
        <v>0</v>
      </c>
      <c r="G6692" s="48"/>
      <c r="H6692" s="48"/>
      <c r="I6692" s="48"/>
      <c r="J6692" s="48"/>
      <c r="L6692" s="65"/>
    </row>
    <row r="6693" spans="5:12">
      <c r="E6693" s="49">
        <v>45071.92708331105</v>
      </c>
      <c r="F6693" s="56">
        <v>0</v>
      </c>
      <c r="G6693" s="48"/>
      <c r="H6693" s="48"/>
      <c r="I6693" s="48"/>
      <c r="J6693" s="48"/>
      <c r="L6693" s="65"/>
    </row>
    <row r="6694" spans="5:12">
      <c r="E6694" s="49">
        <v>45071.930555533268</v>
      </c>
      <c r="F6694" s="56">
        <v>0</v>
      </c>
      <c r="G6694" s="48"/>
      <c r="H6694" s="48"/>
      <c r="I6694" s="48"/>
      <c r="J6694" s="48"/>
      <c r="L6694" s="65"/>
    </row>
    <row r="6695" spans="5:12">
      <c r="E6695" s="49">
        <v>45071.934027755487</v>
      </c>
      <c r="F6695" s="56">
        <v>0</v>
      </c>
      <c r="G6695" s="48"/>
      <c r="H6695" s="48"/>
      <c r="I6695" s="48"/>
      <c r="J6695" s="48"/>
      <c r="L6695" s="65"/>
    </row>
    <row r="6696" spans="5:12">
      <c r="E6696" s="49">
        <v>45071.937499977706</v>
      </c>
      <c r="F6696" s="56">
        <v>0</v>
      </c>
      <c r="G6696" s="48"/>
      <c r="H6696" s="48"/>
      <c r="I6696" s="48"/>
      <c r="J6696" s="48"/>
      <c r="L6696" s="65"/>
    </row>
    <row r="6697" spans="5:12">
      <c r="E6697" s="49">
        <v>45071.940972199925</v>
      </c>
      <c r="F6697" s="56">
        <v>0</v>
      </c>
      <c r="G6697" s="48"/>
      <c r="H6697" s="48"/>
      <c r="I6697" s="48"/>
      <c r="J6697" s="48"/>
      <c r="L6697" s="65"/>
    </row>
    <row r="6698" spans="5:12">
      <c r="E6698" s="49">
        <v>45071.944444422144</v>
      </c>
      <c r="F6698" s="56">
        <v>0</v>
      </c>
      <c r="G6698" s="48"/>
      <c r="H6698" s="48"/>
      <c r="I6698" s="48"/>
      <c r="J6698" s="48"/>
      <c r="L6698" s="65"/>
    </row>
    <row r="6699" spans="5:12">
      <c r="E6699" s="49">
        <v>45071.947916644363</v>
      </c>
      <c r="F6699" s="56">
        <v>0</v>
      </c>
      <c r="G6699" s="48"/>
      <c r="H6699" s="48"/>
      <c r="I6699" s="48"/>
      <c r="J6699" s="48"/>
      <c r="L6699" s="65"/>
    </row>
    <row r="6700" spans="5:12">
      <c r="E6700" s="49">
        <v>45071.951388866582</v>
      </c>
      <c r="F6700" s="56">
        <v>0</v>
      </c>
      <c r="G6700" s="48"/>
      <c r="H6700" s="48"/>
      <c r="I6700" s="48"/>
      <c r="J6700" s="48"/>
      <c r="L6700" s="65"/>
    </row>
    <row r="6701" spans="5:12">
      <c r="E6701" s="49">
        <v>45071.954861088801</v>
      </c>
      <c r="F6701" s="56">
        <v>0</v>
      </c>
      <c r="G6701" s="48"/>
      <c r="H6701" s="48"/>
      <c r="I6701" s="48"/>
      <c r="J6701" s="48"/>
      <c r="L6701" s="65"/>
    </row>
    <row r="6702" spans="5:12">
      <c r="E6702" s="49">
        <v>45071.95833331102</v>
      </c>
      <c r="F6702" s="56">
        <v>0</v>
      </c>
      <c r="G6702" s="48"/>
      <c r="H6702" s="48"/>
      <c r="I6702" s="48"/>
      <c r="J6702" s="48"/>
      <c r="L6702" s="65"/>
    </row>
    <row r="6703" spans="5:12">
      <c r="E6703" s="49">
        <v>45071.961805533239</v>
      </c>
      <c r="F6703" s="56">
        <v>0</v>
      </c>
      <c r="G6703" s="48"/>
      <c r="H6703" s="48"/>
      <c r="I6703" s="48"/>
      <c r="J6703" s="48"/>
      <c r="L6703" s="65"/>
    </row>
    <row r="6704" spans="5:12">
      <c r="E6704" s="49">
        <v>45071.965277755458</v>
      </c>
      <c r="F6704" s="56">
        <v>0</v>
      </c>
      <c r="G6704" s="48"/>
      <c r="H6704" s="48"/>
      <c r="I6704" s="48"/>
      <c r="J6704" s="48"/>
      <c r="L6704" s="65"/>
    </row>
    <row r="6705" spans="5:12">
      <c r="E6705" s="49">
        <v>45071.968749977677</v>
      </c>
      <c r="F6705" s="56">
        <v>0</v>
      </c>
      <c r="G6705" s="48"/>
      <c r="H6705" s="48"/>
      <c r="I6705" s="48"/>
      <c r="J6705" s="48"/>
      <c r="L6705" s="65"/>
    </row>
    <row r="6706" spans="5:12">
      <c r="E6706" s="49">
        <v>45071.972222199896</v>
      </c>
      <c r="F6706" s="56">
        <v>0</v>
      </c>
      <c r="G6706" s="48"/>
      <c r="H6706" s="48"/>
      <c r="I6706" s="48"/>
      <c r="J6706" s="48"/>
      <c r="L6706" s="65"/>
    </row>
    <row r="6707" spans="5:12">
      <c r="E6707" s="49">
        <v>45071.975694422115</v>
      </c>
      <c r="F6707" s="56">
        <v>0</v>
      </c>
      <c r="G6707" s="48"/>
      <c r="H6707" s="48"/>
      <c r="I6707" s="48"/>
      <c r="J6707" s="48"/>
      <c r="L6707" s="65"/>
    </row>
    <row r="6708" spans="5:12">
      <c r="E6708" s="49">
        <v>45071.979166644334</v>
      </c>
      <c r="F6708" s="56">
        <v>0</v>
      </c>
      <c r="G6708" s="48"/>
      <c r="H6708" s="48"/>
      <c r="I6708" s="48"/>
      <c r="J6708" s="48"/>
      <c r="L6708" s="65"/>
    </row>
    <row r="6709" spans="5:12">
      <c r="E6709" s="49">
        <v>45071.982638866553</v>
      </c>
      <c r="F6709" s="56">
        <v>0</v>
      </c>
      <c r="G6709" s="48"/>
      <c r="H6709" s="48"/>
      <c r="I6709" s="48"/>
      <c r="J6709" s="48"/>
      <c r="L6709" s="65"/>
    </row>
    <row r="6710" spans="5:12">
      <c r="E6710" s="49">
        <v>45071.986111088772</v>
      </c>
      <c r="F6710" s="56">
        <v>0</v>
      </c>
      <c r="G6710" s="48"/>
      <c r="H6710" s="48"/>
      <c r="I6710" s="48"/>
      <c r="J6710" s="48"/>
      <c r="L6710" s="65"/>
    </row>
    <row r="6711" spans="5:12">
      <c r="E6711" s="49">
        <v>45071.989583310991</v>
      </c>
      <c r="F6711" s="56">
        <v>0</v>
      </c>
      <c r="G6711" s="48"/>
      <c r="H6711" s="48"/>
      <c r="I6711" s="48"/>
      <c r="J6711" s="48"/>
      <c r="L6711" s="65"/>
    </row>
    <row r="6712" spans="5:12">
      <c r="E6712" s="49">
        <v>45071.99305553321</v>
      </c>
      <c r="F6712" s="56">
        <v>0</v>
      </c>
      <c r="G6712" s="48"/>
      <c r="H6712" s="48"/>
      <c r="I6712" s="48"/>
      <c r="J6712" s="48"/>
      <c r="L6712" s="65"/>
    </row>
    <row r="6713" spans="5:12">
      <c r="E6713" s="49">
        <v>45071.996527755429</v>
      </c>
      <c r="F6713" s="56">
        <v>0</v>
      </c>
      <c r="G6713" s="48"/>
      <c r="H6713" s="48"/>
      <c r="I6713" s="48"/>
      <c r="J6713" s="48"/>
      <c r="L6713" s="65"/>
    </row>
    <row r="6714" spans="5:12">
      <c r="E6714" s="49">
        <v>45071.999999977648</v>
      </c>
      <c r="F6714" s="56">
        <v>0</v>
      </c>
      <c r="G6714" s="48"/>
      <c r="H6714" s="48"/>
      <c r="I6714" s="48"/>
      <c r="J6714" s="48"/>
      <c r="L6714" s="65"/>
    </row>
    <row r="6715" spans="5:12">
      <c r="E6715" s="49">
        <v>45072.003472199867</v>
      </c>
      <c r="F6715" s="56">
        <v>0</v>
      </c>
      <c r="G6715" s="48"/>
      <c r="H6715" s="48"/>
      <c r="I6715" s="48"/>
      <c r="J6715" s="48"/>
      <c r="L6715" s="65"/>
    </row>
    <row r="6716" spans="5:12">
      <c r="E6716" s="49">
        <v>45072.006944422086</v>
      </c>
      <c r="F6716" s="56">
        <v>0</v>
      </c>
      <c r="G6716" s="48"/>
      <c r="H6716" s="48"/>
      <c r="I6716" s="48"/>
      <c r="J6716" s="48"/>
      <c r="L6716" s="65"/>
    </row>
    <row r="6717" spans="5:12">
      <c r="E6717" s="49">
        <v>45072.010416644305</v>
      </c>
      <c r="F6717" s="56">
        <v>0</v>
      </c>
      <c r="G6717" s="48"/>
      <c r="H6717" s="48"/>
      <c r="I6717" s="48"/>
      <c r="J6717" s="48"/>
      <c r="L6717" s="65"/>
    </row>
    <row r="6718" spans="5:12">
      <c r="E6718" s="49">
        <v>45072.013888866524</v>
      </c>
      <c r="F6718" s="56">
        <v>0</v>
      </c>
      <c r="G6718" s="48"/>
      <c r="H6718" s="48"/>
      <c r="I6718" s="48"/>
      <c r="J6718" s="48"/>
      <c r="L6718" s="65"/>
    </row>
    <row r="6719" spans="5:12">
      <c r="E6719" s="49">
        <v>45072.017361088743</v>
      </c>
      <c r="F6719" s="56">
        <v>0</v>
      </c>
      <c r="G6719" s="48"/>
      <c r="H6719" s="48"/>
      <c r="I6719" s="48"/>
      <c r="J6719" s="48"/>
      <c r="L6719" s="65"/>
    </row>
    <row r="6720" spans="5:12">
      <c r="E6720" s="49">
        <v>45072.020833310962</v>
      </c>
      <c r="F6720" s="56">
        <v>0</v>
      </c>
      <c r="G6720" s="48"/>
      <c r="H6720" s="48"/>
      <c r="I6720" s="48"/>
      <c r="J6720" s="48"/>
      <c r="L6720" s="65"/>
    </row>
    <row r="6721" spans="5:12">
      <c r="E6721" s="49">
        <v>45072.024305533181</v>
      </c>
      <c r="F6721" s="56">
        <v>0</v>
      </c>
      <c r="G6721" s="48"/>
      <c r="H6721" s="48"/>
      <c r="I6721" s="48"/>
      <c r="J6721" s="48"/>
      <c r="L6721" s="65"/>
    </row>
    <row r="6722" spans="5:12">
      <c r="E6722" s="49">
        <v>45072.0277777554</v>
      </c>
      <c r="F6722" s="56">
        <v>0</v>
      </c>
      <c r="G6722" s="48"/>
      <c r="H6722" s="48"/>
      <c r="I6722" s="48"/>
      <c r="J6722" s="48"/>
      <c r="L6722" s="65"/>
    </row>
    <row r="6723" spans="5:12">
      <c r="E6723" s="49">
        <v>45072.031249977619</v>
      </c>
      <c r="F6723" s="56">
        <v>0</v>
      </c>
      <c r="G6723" s="48"/>
      <c r="H6723" s="48"/>
      <c r="I6723" s="48"/>
      <c r="J6723" s="48"/>
      <c r="L6723" s="65"/>
    </row>
    <row r="6724" spans="5:12">
      <c r="E6724" s="49">
        <v>45072.034722199838</v>
      </c>
      <c r="F6724" s="56">
        <v>0</v>
      </c>
      <c r="G6724" s="48"/>
      <c r="H6724" s="48"/>
      <c r="I6724" s="48"/>
      <c r="J6724" s="48"/>
      <c r="L6724" s="65"/>
    </row>
    <row r="6725" spans="5:12">
      <c r="E6725" s="49">
        <v>45072.038194422057</v>
      </c>
      <c r="F6725" s="56">
        <v>0</v>
      </c>
      <c r="G6725" s="48"/>
      <c r="H6725" s="48"/>
      <c r="I6725" s="48"/>
      <c r="J6725" s="48"/>
      <c r="L6725" s="65"/>
    </row>
    <row r="6726" spans="5:12">
      <c r="E6726" s="49">
        <v>45072.041666644276</v>
      </c>
      <c r="F6726" s="56">
        <v>0</v>
      </c>
      <c r="G6726" s="48"/>
      <c r="H6726" s="48"/>
      <c r="I6726" s="48"/>
      <c r="J6726" s="48"/>
      <c r="L6726" s="65"/>
    </row>
    <row r="6727" spans="5:12">
      <c r="E6727" s="49">
        <v>45072.045138866495</v>
      </c>
      <c r="F6727" s="56">
        <v>0</v>
      </c>
      <c r="G6727" s="48"/>
      <c r="H6727" s="48"/>
      <c r="I6727" s="48"/>
      <c r="J6727" s="48"/>
      <c r="L6727" s="65"/>
    </row>
    <row r="6728" spans="5:12">
      <c r="E6728" s="49">
        <v>45072.048611088714</v>
      </c>
      <c r="F6728" s="56">
        <v>0</v>
      </c>
      <c r="G6728" s="48"/>
      <c r="H6728" s="48"/>
      <c r="I6728" s="48"/>
      <c r="J6728" s="48"/>
      <c r="L6728" s="65"/>
    </row>
    <row r="6729" spans="5:12">
      <c r="E6729" s="49">
        <v>45072.052083310933</v>
      </c>
      <c r="F6729" s="56">
        <v>0</v>
      </c>
      <c r="G6729" s="48"/>
      <c r="H6729" s="48"/>
      <c r="I6729" s="48"/>
      <c r="J6729" s="48"/>
      <c r="L6729" s="65"/>
    </row>
    <row r="6730" spans="5:12">
      <c r="E6730" s="49">
        <v>45072.055555533152</v>
      </c>
      <c r="F6730" s="56">
        <v>0</v>
      </c>
      <c r="G6730" s="48"/>
      <c r="H6730" s="48"/>
      <c r="I6730" s="48"/>
      <c r="J6730" s="48"/>
      <c r="L6730" s="65"/>
    </row>
    <row r="6731" spans="5:12">
      <c r="E6731" s="49">
        <v>45072.059027755371</v>
      </c>
      <c r="F6731" s="56">
        <v>0</v>
      </c>
      <c r="G6731" s="48"/>
      <c r="H6731" s="48"/>
      <c r="I6731" s="48"/>
      <c r="J6731" s="48"/>
      <c r="L6731" s="65"/>
    </row>
    <row r="6732" spans="5:12">
      <c r="E6732" s="49">
        <v>45072.06249997759</v>
      </c>
      <c r="F6732" s="56">
        <v>0</v>
      </c>
      <c r="G6732" s="48"/>
      <c r="H6732" s="48"/>
      <c r="I6732" s="48"/>
      <c r="J6732" s="48"/>
      <c r="L6732" s="65"/>
    </row>
    <row r="6733" spans="5:12">
      <c r="E6733" s="49">
        <v>45072.065972199809</v>
      </c>
      <c r="F6733" s="56">
        <v>0</v>
      </c>
      <c r="G6733" s="48"/>
      <c r="H6733" s="48"/>
      <c r="I6733" s="48"/>
      <c r="J6733" s="48"/>
      <c r="L6733" s="65"/>
    </row>
    <row r="6734" spans="5:12">
      <c r="E6734" s="49">
        <v>45072.069444422028</v>
      </c>
      <c r="F6734" s="56">
        <v>0</v>
      </c>
      <c r="G6734" s="48"/>
      <c r="H6734" s="48"/>
      <c r="I6734" s="48"/>
      <c r="J6734" s="48"/>
      <c r="L6734" s="65"/>
    </row>
    <row r="6735" spans="5:12">
      <c r="E6735" s="49">
        <v>45072.072916644247</v>
      </c>
      <c r="F6735" s="56">
        <v>0</v>
      </c>
      <c r="G6735" s="48"/>
      <c r="H6735" s="48"/>
      <c r="I6735" s="48"/>
      <c r="J6735" s="48"/>
      <c r="L6735" s="65"/>
    </row>
    <row r="6736" spans="5:12">
      <c r="E6736" s="49">
        <v>45072.076388866466</v>
      </c>
      <c r="F6736" s="56">
        <v>0</v>
      </c>
      <c r="G6736" s="48"/>
      <c r="H6736" s="48"/>
      <c r="I6736" s="48"/>
      <c r="J6736" s="48"/>
      <c r="L6736" s="65"/>
    </row>
    <row r="6737" spans="5:12">
      <c r="E6737" s="49">
        <v>45072.079861088685</v>
      </c>
      <c r="F6737" s="56">
        <v>0</v>
      </c>
      <c r="G6737" s="48"/>
      <c r="H6737" s="48"/>
      <c r="I6737" s="48"/>
      <c r="J6737" s="48"/>
      <c r="L6737" s="65"/>
    </row>
    <row r="6738" spans="5:12">
      <c r="E6738" s="49">
        <v>45072.083333310904</v>
      </c>
      <c r="F6738" s="56">
        <v>0</v>
      </c>
      <c r="G6738" s="48"/>
      <c r="H6738" s="48"/>
      <c r="I6738" s="48"/>
      <c r="J6738" s="48"/>
      <c r="L6738" s="65"/>
    </row>
    <row r="6739" spans="5:12">
      <c r="E6739" s="49">
        <v>45072.086805533123</v>
      </c>
      <c r="F6739" s="56">
        <v>0</v>
      </c>
      <c r="G6739" s="48"/>
      <c r="H6739" s="48"/>
      <c r="I6739" s="48"/>
      <c r="J6739" s="48"/>
      <c r="L6739" s="65"/>
    </row>
    <row r="6740" spans="5:12">
      <c r="E6740" s="49">
        <v>45072.090277755342</v>
      </c>
      <c r="F6740" s="56">
        <v>0</v>
      </c>
      <c r="G6740" s="48"/>
      <c r="H6740" s="48"/>
      <c r="I6740" s="48"/>
      <c r="J6740" s="48"/>
      <c r="L6740" s="65"/>
    </row>
    <row r="6741" spans="5:12">
      <c r="E6741" s="49">
        <v>45072.093749977561</v>
      </c>
      <c r="F6741" s="56">
        <v>0</v>
      </c>
      <c r="G6741" s="48"/>
      <c r="H6741" s="48"/>
      <c r="I6741" s="48"/>
      <c r="J6741" s="48"/>
      <c r="L6741" s="65"/>
    </row>
    <row r="6742" spans="5:12">
      <c r="E6742" s="49">
        <v>45072.09722219978</v>
      </c>
      <c r="F6742" s="56">
        <v>0</v>
      </c>
      <c r="G6742" s="48"/>
      <c r="H6742" s="48"/>
      <c r="I6742" s="48"/>
      <c r="J6742" s="48"/>
      <c r="L6742" s="65"/>
    </row>
    <row r="6743" spans="5:12">
      <c r="E6743" s="49">
        <v>45072.100694421999</v>
      </c>
      <c r="F6743" s="56">
        <v>0</v>
      </c>
      <c r="G6743" s="48"/>
      <c r="H6743" s="48"/>
      <c r="I6743" s="48"/>
      <c r="J6743" s="48"/>
      <c r="L6743" s="65"/>
    </row>
    <row r="6744" spans="5:12">
      <c r="E6744" s="49">
        <v>45072.104166644218</v>
      </c>
      <c r="F6744" s="56">
        <v>0</v>
      </c>
      <c r="G6744" s="48"/>
      <c r="H6744" s="48"/>
      <c r="I6744" s="48"/>
      <c r="J6744" s="48"/>
      <c r="L6744" s="65"/>
    </row>
    <row r="6745" spans="5:12">
      <c r="E6745" s="49">
        <v>45072.107638866437</v>
      </c>
      <c r="F6745" s="56">
        <v>0</v>
      </c>
      <c r="G6745" s="48"/>
      <c r="H6745" s="48"/>
      <c r="I6745" s="48"/>
      <c r="J6745" s="48"/>
      <c r="L6745" s="65"/>
    </row>
    <row r="6746" spans="5:12">
      <c r="E6746" s="49">
        <v>45072.111111088656</v>
      </c>
      <c r="F6746" s="56">
        <v>0</v>
      </c>
      <c r="G6746" s="48"/>
      <c r="H6746" s="48"/>
      <c r="I6746" s="48"/>
      <c r="J6746" s="48"/>
      <c r="L6746" s="65"/>
    </row>
    <row r="6747" spans="5:12">
      <c r="E6747" s="49">
        <v>45072.114583310875</v>
      </c>
      <c r="F6747" s="56">
        <v>0</v>
      </c>
      <c r="G6747" s="48"/>
      <c r="H6747" s="48"/>
      <c r="I6747" s="48"/>
      <c r="J6747" s="48"/>
      <c r="L6747" s="65"/>
    </row>
    <row r="6748" spans="5:12">
      <c r="E6748" s="49">
        <v>45072.118055533094</v>
      </c>
      <c r="F6748" s="56">
        <v>0</v>
      </c>
      <c r="G6748" s="48"/>
      <c r="H6748" s="48"/>
      <c r="I6748" s="48"/>
      <c r="J6748" s="48"/>
      <c r="L6748" s="65"/>
    </row>
    <row r="6749" spans="5:12">
      <c r="E6749" s="49">
        <v>45072.121527755313</v>
      </c>
      <c r="F6749" s="56">
        <v>0</v>
      </c>
      <c r="G6749" s="48"/>
      <c r="H6749" s="48"/>
      <c r="I6749" s="48"/>
      <c r="J6749" s="48"/>
      <c r="L6749" s="65"/>
    </row>
    <row r="6750" spans="5:12">
      <c r="E6750" s="49">
        <v>45072.124999977532</v>
      </c>
      <c r="F6750" s="56">
        <v>0</v>
      </c>
      <c r="G6750" s="48"/>
      <c r="H6750" s="48"/>
      <c r="I6750" s="48"/>
      <c r="J6750" s="48"/>
      <c r="L6750" s="65"/>
    </row>
    <row r="6751" spans="5:12">
      <c r="E6751" s="49">
        <v>45072.128472199751</v>
      </c>
      <c r="F6751" s="56">
        <v>0</v>
      </c>
      <c r="G6751" s="48"/>
      <c r="H6751" s="48"/>
      <c r="I6751" s="48"/>
      <c r="J6751" s="48"/>
      <c r="L6751" s="65"/>
    </row>
    <row r="6752" spans="5:12">
      <c r="E6752" s="49">
        <v>45072.13194442197</v>
      </c>
      <c r="F6752" s="56">
        <v>0</v>
      </c>
      <c r="G6752" s="48"/>
      <c r="H6752" s="48"/>
      <c r="I6752" s="48"/>
      <c r="J6752" s="48"/>
      <c r="L6752" s="65"/>
    </row>
    <row r="6753" spans="5:12">
      <c r="E6753" s="49">
        <v>45072.135416644189</v>
      </c>
      <c r="F6753" s="56">
        <v>0</v>
      </c>
      <c r="G6753" s="48"/>
      <c r="H6753" s="48"/>
      <c r="I6753" s="48"/>
      <c r="J6753" s="48"/>
      <c r="L6753" s="65"/>
    </row>
    <row r="6754" spans="5:12">
      <c r="E6754" s="49">
        <v>45072.138888866408</v>
      </c>
      <c r="F6754" s="56">
        <v>0</v>
      </c>
      <c r="G6754" s="48"/>
      <c r="H6754" s="48"/>
      <c r="I6754" s="48"/>
      <c r="J6754" s="48"/>
      <c r="L6754" s="65"/>
    </row>
    <row r="6755" spans="5:12">
      <c r="E6755" s="49">
        <v>45072.142361088627</v>
      </c>
      <c r="F6755" s="56">
        <v>0</v>
      </c>
      <c r="G6755" s="48"/>
      <c r="H6755" s="48"/>
      <c r="I6755" s="48"/>
      <c r="J6755" s="48"/>
      <c r="L6755" s="65"/>
    </row>
    <row r="6756" spans="5:12">
      <c r="E6756" s="49">
        <v>45072.145833310846</v>
      </c>
      <c r="F6756" s="56">
        <v>0</v>
      </c>
      <c r="G6756" s="48"/>
      <c r="H6756" s="48"/>
      <c r="I6756" s="48"/>
      <c r="J6756" s="48"/>
      <c r="L6756" s="65"/>
    </row>
    <row r="6757" spans="5:12">
      <c r="E6757" s="49">
        <v>45072.149305533065</v>
      </c>
      <c r="F6757" s="56">
        <v>0</v>
      </c>
      <c r="G6757" s="48"/>
      <c r="H6757" s="48"/>
      <c r="I6757" s="48"/>
      <c r="J6757" s="48"/>
      <c r="L6757" s="65"/>
    </row>
    <row r="6758" spans="5:12">
      <c r="E6758" s="49">
        <v>45072.152777755284</v>
      </c>
      <c r="F6758" s="56">
        <v>0</v>
      </c>
      <c r="G6758" s="48"/>
      <c r="H6758" s="48"/>
      <c r="I6758" s="48"/>
      <c r="J6758" s="48"/>
      <c r="L6758" s="65"/>
    </row>
    <row r="6759" spans="5:12">
      <c r="E6759" s="49">
        <v>45072.156249977503</v>
      </c>
      <c r="F6759" s="56">
        <v>0</v>
      </c>
      <c r="G6759" s="48"/>
      <c r="H6759" s="48"/>
      <c r="I6759" s="48"/>
      <c r="J6759" s="48"/>
      <c r="L6759" s="65"/>
    </row>
    <row r="6760" spans="5:12">
      <c r="E6760" s="49">
        <v>45072.159722199722</v>
      </c>
      <c r="F6760" s="56">
        <v>0</v>
      </c>
      <c r="G6760" s="48"/>
      <c r="H6760" s="48"/>
      <c r="I6760" s="48"/>
      <c r="J6760" s="48"/>
      <c r="L6760" s="65"/>
    </row>
    <row r="6761" spans="5:12">
      <c r="E6761" s="49">
        <v>45072.163194421941</v>
      </c>
      <c r="F6761" s="56">
        <v>0</v>
      </c>
      <c r="G6761" s="48"/>
      <c r="H6761" s="48"/>
      <c r="I6761" s="48"/>
      <c r="J6761" s="48"/>
      <c r="L6761" s="65"/>
    </row>
    <row r="6762" spans="5:12">
      <c r="E6762" s="49">
        <v>45072.16666664416</v>
      </c>
      <c r="F6762" s="56">
        <v>0</v>
      </c>
      <c r="G6762" s="48"/>
      <c r="H6762" s="48"/>
      <c r="I6762" s="48"/>
      <c r="J6762" s="48"/>
      <c r="L6762" s="65"/>
    </row>
    <row r="6763" spans="5:12">
      <c r="E6763" s="49">
        <v>45072.170138866379</v>
      </c>
      <c r="F6763" s="56">
        <v>0</v>
      </c>
      <c r="G6763" s="48"/>
      <c r="H6763" s="48"/>
      <c r="I6763" s="48"/>
      <c r="J6763" s="48"/>
      <c r="L6763" s="65"/>
    </row>
    <row r="6764" spans="5:12">
      <c r="E6764" s="49">
        <v>45072.173611088598</v>
      </c>
      <c r="F6764" s="56">
        <v>0</v>
      </c>
      <c r="G6764" s="48"/>
      <c r="H6764" s="48"/>
      <c r="I6764" s="48"/>
      <c r="J6764" s="48"/>
      <c r="L6764" s="65"/>
    </row>
    <row r="6765" spans="5:12">
      <c r="E6765" s="49">
        <v>45072.177083310817</v>
      </c>
      <c r="F6765" s="56">
        <v>0</v>
      </c>
      <c r="G6765" s="48"/>
      <c r="H6765" s="48"/>
      <c r="I6765" s="48"/>
      <c r="J6765" s="48"/>
      <c r="L6765" s="65"/>
    </row>
    <row r="6766" spans="5:12">
      <c r="E6766" s="49">
        <v>45072.180555533036</v>
      </c>
      <c r="F6766" s="56">
        <v>0</v>
      </c>
      <c r="G6766" s="48"/>
      <c r="H6766" s="48"/>
      <c r="I6766" s="48"/>
      <c r="J6766" s="48"/>
      <c r="L6766" s="65"/>
    </row>
    <row r="6767" spans="5:12">
      <c r="E6767" s="49">
        <v>45072.184027755255</v>
      </c>
      <c r="F6767" s="56">
        <v>0</v>
      </c>
      <c r="G6767" s="48"/>
      <c r="H6767" s="48"/>
      <c r="I6767" s="48"/>
      <c r="J6767" s="48"/>
      <c r="L6767" s="65"/>
    </row>
    <row r="6768" spans="5:12">
      <c r="E6768" s="49">
        <v>45072.187499977474</v>
      </c>
      <c r="F6768" s="56">
        <v>0</v>
      </c>
      <c r="G6768" s="48"/>
      <c r="H6768" s="48"/>
      <c r="I6768" s="48"/>
      <c r="J6768" s="48"/>
      <c r="L6768" s="65"/>
    </row>
    <row r="6769" spans="5:12">
      <c r="E6769" s="49">
        <v>45072.190972199693</v>
      </c>
      <c r="F6769" s="56">
        <v>0</v>
      </c>
      <c r="G6769" s="48"/>
      <c r="H6769" s="48"/>
      <c r="I6769" s="48"/>
      <c r="J6769" s="48"/>
      <c r="L6769" s="65"/>
    </row>
    <row r="6770" spans="5:12">
      <c r="E6770" s="49">
        <v>45072.194444421912</v>
      </c>
      <c r="F6770" s="56">
        <v>0</v>
      </c>
      <c r="G6770" s="48"/>
      <c r="H6770" s="48"/>
      <c r="I6770" s="48"/>
      <c r="J6770" s="48"/>
      <c r="L6770" s="65"/>
    </row>
    <row r="6771" spans="5:12">
      <c r="E6771" s="49">
        <v>45072.197916644131</v>
      </c>
      <c r="F6771" s="56">
        <v>0</v>
      </c>
      <c r="G6771" s="48"/>
      <c r="H6771" s="48"/>
      <c r="I6771" s="48"/>
      <c r="J6771" s="48"/>
      <c r="L6771" s="65"/>
    </row>
    <row r="6772" spans="5:12">
      <c r="E6772" s="49">
        <v>45072.20138886635</v>
      </c>
      <c r="F6772" s="56">
        <v>0</v>
      </c>
      <c r="G6772" s="48"/>
      <c r="H6772" s="48"/>
      <c r="I6772" s="48"/>
      <c r="J6772" s="48"/>
      <c r="L6772" s="65"/>
    </row>
    <row r="6773" spans="5:12">
      <c r="E6773" s="49">
        <v>45072.204861088569</v>
      </c>
      <c r="F6773" s="56">
        <v>0</v>
      </c>
      <c r="G6773" s="48"/>
      <c r="H6773" s="48"/>
      <c r="I6773" s="48"/>
      <c r="J6773" s="48"/>
      <c r="L6773" s="65"/>
    </row>
    <row r="6774" spans="5:12">
      <c r="E6774" s="49">
        <v>45072.208333310788</v>
      </c>
      <c r="F6774" s="56">
        <v>0</v>
      </c>
      <c r="G6774" s="48"/>
      <c r="H6774" s="48"/>
      <c r="I6774" s="48"/>
      <c r="J6774" s="48"/>
      <c r="L6774" s="65"/>
    </row>
    <row r="6775" spans="5:12">
      <c r="E6775" s="49">
        <v>45072.211805533007</v>
      </c>
      <c r="F6775" s="56">
        <v>0</v>
      </c>
      <c r="G6775" s="48"/>
      <c r="H6775" s="48"/>
      <c r="I6775" s="48"/>
      <c r="J6775" s="48"/>
      <c r="L6775" s="65"/>
    </row>
    <row r="6776" spans="5:12">
      <c r="E6776" s="49">
        <v>45072.215277755226</v>
      </c>
      <c r="F6776" s="56">
        <v>0</v>
      </c>
      <c r="G6776" s="48"/>
      <c r="H6776" s="48"/>
      <c r="I6776" s="48"/>
      <c r="J6776" s="48"/>
      <c r="L6776" s="65"/>
    </row>
    <row r="6777" spans="5:12">
      <c r="E6777" s="49">
        <v>45072.218749977445</v>
      </c>
      <c r="F6777" s="56">
        <v>0</v>
      </c>
      <c r="G6777" s="48"/>
      <c r="H6777" s="48"/>
      <c r="I6777" s="48"/>
      <c r="J6777" s="48"/>
      <c r="L6777" s="65"/>
    </row>
    <row r="6778" spans="5:12">
      <c r="E6778" s="49">
        <v>45072.222222199664</v>
      </c>
      <c r="F6778" s="56">
        <v>0</v>
      </c>
      <c r="G6778" s="48"/>
      <c r="H6778" s="48"/>
      <c r="I6778" s="48"/>
      <c r="J6778" s="48"/>
      <c r="L6778" s="65"/>
    </row>
    <row r="6779" spans="5:12">
      <c r="E6779" s="49">
        <v>45072.225694421883</v>
      </c>
      <c r="F6779" s="56">
        <v>0</v>
      </c>
      <c r="G6779" s="48"/>
      <c r="H6779" s="48"/>
      <c r="I6779" s="48"/>
      <c r="J6779" s="48"/>
      <c r="L6779" s="65"/>
    </row>
    <row r="6780" spans="5:12">
      <c r="E6780" s="49">
        <v>45072.229166644101</v>
      </c>
      <c r="F6780" s="56">
        <v>0</v>
      </c>
      <c r="G6780" s="48"/>
      <c r="H6780" s="48"/>
      <c r="I6780" s="48"/>
      <c r="J6780" s="48"/>
      <c r="L6780" s="65"/>
    </row>
    <row r="6781" spans="5:12">
      <c r="E6781" s="49">
        <v>45072.23263886632</v>
      </c>
      <c r="F6781" s="56">
        <v>0</v>
      </c>
      <c r="G6781" s="48"/>
      <c r="H6781" s="48"/>
      <c r="I6781" s="48"/>
      <c r="J6781" s="48"/>
      <c r="L6781" s="65"/>
    </row>
    <row r="6782" spans="5:12">
      <c r="E6782" s="49">
        <v>45072.236111088539</v>
      </c>
      <c r="F6782" s="56">
        <v>0</v>
      </c>
      <c r="G6782" s="48"/>
      <c r="H6782" s="48"/>
      <c r="I6782" s="48"/>
      <c r="J6782" s="48"/>
      <c r="L6782" s="65"/>
    </row>
    <row r="6783" spans="5:12">
      <c r="E6783" s="49">
        <v>45072.239583310758</v>
      </c>
      <c r="F6783" s="56">
        <v>0</v>
      </c>
      <c r="G6783" s="48"/>
      <c r="H6783" s="48"/>
      <c r="I6783" s="48"/>
      <c r="J6783" s="48"/>
      <c r="L6783" s="65"/>
    </row>
    <row r="6784" spans="5:12">
      <c r="E6784" s="49">
        <v>45072.243055532977</v>
      </c>
      <c r="F6784" s="56">
        <v>0</v>
      </c>
      <c r="G6784" s="48"/>
      <c r="H6784" s="48"/>
      <c r="I6784" s="48"/>
      <c r="J6784" s="48"/>
      <c r="L6784" s="65"/>
    </row>
    <row r="6785" spans="5:12">
      <c r="E6785" s="49">
        <v>45072.246527755196</v>
      </c>
      <c r="F6785" s="56">
        <v>0</v>
      </c>
      <c r="G6785" s="48"/>
      <c r="H6785" s="48"/>
      <c r="I6785" s="48"/>
      <c r="J6785" s="48"/>
      <c r="L6785" s="65"/>
    </row>
    <row r="6786" spans="5:12">
      <c r="E6786" s="49">
        <v>45072.249999977415</v>
      </c>
      <c r="F6786" s="56">
        <v>0</v>
      </c>
      <c r="G6786" s="48"/>
      <c r="H6786" s="48"/>
      <c r="I6786" s="48"/>
      <c r="J6786" s="48"/>
      <c r="L6786" s="65"/>
    </row>
    <row r="6787" spans="5:12">
      <c r="E6787" s="49">
        <v>45072.253472199634</v>
      </c>
      <c r="F6787" s="56">
        <v>0</v>
      </c>
      <c r="G6787" s="48"/>
      <c r="H6787" s="48"/>
      <c r="I6787" s="48"/>
      <c r="J6787" s="48"/>
      <c r="L6787" s="65"/>
    </row>
    <row r="6788" spans="5:12">
      <c r="E6788" s="49">
        <v>45072.256944421853</v>
      </c>
      <c r="F6788" s="56">
        <v>0</v>
      </c>
      <c r="G6788" s="48"/>
      <c r="H6788" s="48"/>
      <c r="I6788" s="48"/>
      <c r="J6788" s="48"/>
      <c r="L6788" s="65"/>
    </row>
    <row r="6789" spans="5:12">
      <c r="E6789" s="49">
        <v>45072.260416644072</v>
      </c>
      <c r="F6789" s="56">
        <v>0</v>
      </c>
      <c r="G6789" s="48"/>
      <c r="H6789" s="48"/>
      <c r="I6789" s="48"/>
      <c r="J6789" s="48"/>
      <c r="L6789" s="65"/>
    </row>
    <row r="6790" spans="5:12">
      <c r="E6790" s="49">
        <v>45072.263888866291</v>
      </c>
      <c r="F6790" s="56">
        <v>0</v>
      </c>
      <c r="G6790" s="48"/>
      <c r="H6790" s="48"/>
      <c r="I6790" s="48"/>
      <c r="J6790" s="48"/>
      <c r="L6790" s="65"/>
    </row>
    <row r="6791" spans="5:12">
      <c r="E6791" s="49">
        <v>45072.26736108851</v>
      </c>
      <c r="F6791" s="56">
        <v>0</v>
      </c>
      <c r="G6791" s="48"/>
      <c r="H6791" s="48"/>
      <c r="I6791" s="48"/>
      <c r="J6791" s="48"/>
      <c r="L6791" s="65"/>
    </row>
    <row r="6792" spans="5:12">
      <c r="E6792" s="49">
        <v>45072.270833310729</v>
      </c>
      <c r="F6792" s="56">
        <v>0</v>
      </c>
      <c r="G6792" s="48"/>
      <c r="H6792" s="48"/>
      <c r="I6792" s="48"/>
      <c r="J6792" s="48"/>
      <c r="L6792" s="65"/>
    </row>
    <row r="6793" spans="5:12">
      <c r="E6793" s="49">
        <v>45072.274305532948</v>
      </c>
      <c r="F6793" s="56">
        <v>0</v>
      </c>
      <c r="G6793" s="48"/>
      <c r="H6793" s="48"/>
      <c r="I6793" s="48"/>
      <c r="J6793" s="48"/>
      <c r="L6793" s="65"/>
    </row>
    <row r="6794" spans="5:12">
      <c r="E6794" s="49">
        <v>45072.277777755167</v>
      </c>
      <c r="F6794" s="56">
        <v>0</v>
      </c>
      <c r="G6794" s="48"/>
      <c r="H6794" s="48"/>
      <c r="I6794" s="48"/>
      <c r="J6794" s="48"/>
      <c r="L6794" s="65"/>
    </row>
    <row r="6795" spans="5:12">
      <c r="E6795" s="49">
        <v>45072.281249977386</v>
      </c>
      <c r="F6795" s="56">
        <v>0</v>
      </c>
      <c r="G6795" s="48"/>
      <c r="H6795" s="48"/>
      <c r="I6795" s="48"/>
      <c r="J6795" s="48"/>
      <c r="L6795" s="65"/>
    </row>
    <row r="6796" spans="5:12">
      <c r="E6796" s="49">
        <v>45072.284722199605</v>
      </c>
      <c r="F6796" s="56">
        <v>0</v>
      </c>
      <c r="G6796" s="48"/>
      <c r="H6796" s="48"/>
      <c r="I6796" s="48"/>
      <c r="J6796" s="48"/>
      <c r="L6796" s="65"/>
    </row>
    <row r="6797" spans="5:12">
      <c r="E6797" s="49">
        <v>45072.288194421824</v>
      </c>
      <c r="F6797" s="56">
        <v>0</v>
      </c>
      <c r="G6797" s="48"/>
      <c r="H6797" s="48"/>
      <c r="I6797" s="48"/>
      <c r="J6797" s="48"/>
      <c r="L6797" s="65"/>
    </row>
    <row r="6798" spans="5:12">
      <c r="E6798" s="49">
        <v>45072.291666644043</v>
      </c>
      <c r="F6798" s="56">
        <v>0</v>
      </c>
      <c r="G6798" s="48"/>
      <c r="H6798" s="48"/>
      <c r="I6798" s="48"/>
      <c r="J6798" s="48"/>
      <c r="L6798" s="65"/>
    </row>
    <row r="6799" spans="5:12">
      <c r="E6799" s="49">
        <v>45072.295138866262</v>
      </c>
      <c r="F6799" s="56">
        <v>0</v>
      </c>
      <c r="G6799" s="48"/>
      <c r="H6799" s="48"/>
      <c r="I6799" s="48"/>
      <c r="J6799" s="48"/>
      <c r="L6799" s="65"/>
    </row>
    <row r="6800" spans="5:12">
      <c r="E6800" s="49">
        <v>45072.298611088481</v>
      </c>
      <c r="F6800" s="56">
        <v>0</v>
      </c>
      <c r="G6800" s="48"/>
      <c r="H6800" s="48"/>
      <c r="I6800" s="48"/>
      <c r="J6800" s="48"/>
      <c r="L6800" s="65"/>
    </row>
    <row r="6801" spans="5:12">
      <c r="E6801" s="49">
        <v>45072.3020833107</v>
      </c>
      <c r="F6801" s="56">
        <v>0</v>
      </c>
      <c r="G6801" s="48"/>
      <c r="H6801" s="48"/>
      <c r="I6801" s="48"/>
      <c r="J6801" s="48"/>
      <c r="L6801" s="65"/>
    </row>
    <row r="6802" spans="5:12">
      <c r="E6802" s="49">
        <v>45072.305555532919</v>
      </c>
      <c r="F6802" s="56">
        <v>0</v>
      </c>
      <c r="G6802" s="48"/>
      <c r="H6802" s="48"/>
      <c r="I6802" s="48"/>
      <c r="J6802" s="48"/>
      <c r="L6802" s="65"/>
    </row>
    <row r="6803" spans="5:12">
      <c r="E6803" s="49">
        <v>45072.309027755138</v>
      </c>
      <c r="F6803" s="56">
        <v>0</v>
      </c>
      <c r="G6803" s="48"/>
      <c r="H6803" s="48"/>
      <c r="I6803" s="48"/>
      <c r="J6803" s="48"/>
      <c r="L6803" s="65"/>
    </row>
    <row r="6804" spans="5:12">
      <c r="E6804" s="49">
        <v>45072.312499977357</v>
      </c>
      <c r="F6804" s="56">
        <v>0</v>
      </c>
      <c r="G6804" s="48"/>
      <c r="H6804" s="48"/>
      <c r="I6804" s="48"/>
      <c r="J6804" s="48"/>
      <c r="L6804" s="65"/>
    </row>
    <row r="6805" spans="5:12">
      <c r="E6805" s="49">
        <v>45072.315972199576</v>
      </c>
      <c r="F6805" s="56">
        <v>0</v>
      </c>
      <c r="G6805" s="48"/>
      <c r="H6805" s="48"/>
      <c r="I6805" s="48"/>
      <c r="J6805" s="48"/>
      <c r="L6805" s="65"/>
    </row>
    <row r="6806" spans="5:12">
      <c r="E6806" s="49">
        <v>45072.319444421795</v>
      </c>
      <c r="F6806" s="56">
        <v>0</v>
      </c>
      <c r="G6806" s="48"/>
      <c r="H6806" s="48"/>
      <c r="I6806" s="48"/>
      <c r="J6806" s="48"/>
      <c r="L6806" s="65"/>
    </row>
    <row r="6807" spans="5:12">
      <c r="E6807" s="49">
        <v>45072.322916644014</v>
      </c>
      <c r="F6807" s="56">
        <v>0</v>
      </c>
      <c r="G6807" s="48"/>
      <c r="H6807" s="48"/>
      <c r="I6807" s="48"/>
      <c r="J6807" s="48"/>
      <c r="L6807" s="65"/>
    </row>
    <row r="6808" spans="5:12">
      <c r="E6808" s="49">
        <v>45072.326388866233</v>
      </c>
      <c r="F6808" s="56">
        <v>0</v>
      </c>
      <c r="G6808" s="48"/>
      <c r="H6808" s="48"/>
      <c r="I6808" s="48"/>
      <c r="J6808" s="48"/>
      <c r="L6808" s="65"/>
    </row>
    <row r="6809" spans="5:12">
      <c r="E6809" s="49">
        <v>45072.329861088452</v>
      </c>
      <c r="F6809" s="56">
        <v>0</v>
      </c>
      <c r="G6809" s="48"/>
      <c r="H6809" s="48"/>
      <c r="I6809" s="48"/>
      <c r="J6809" s="48"/>
      <c r="L6809" s="65"/>
    </row>
    <row r="6810" spans="5:12">
      <c r="E6810" s="49">
        <v>45072.333333310671</v>
      </c>
      <c r="F6810" s="56">
        <v>0</v>
      </c>
      <c r="G6810" s="48"/>
      <c r="H6810" s="48"/>
      <c r="I6810" s="48"/>
      <c r="J6810" s="48"/>
      <c r="L6810" s="65"/>
    </row>
    <row r="6811" spans="5:12">
      <c r="E6811" s="49">
        <v>45072.33680553289</v>
      </c>
      <c r="F6811" s="56">
        <v>0</v>
      </c>
      <c r="G6811" s="48"/>
      <c r="H6811" s="48"/>
      <c r="I6811" s="48"/>
      <c r="J6811" s="48"/>
      <c r="L6811" s="65"/>
    </row>
    <row r="6812" spans="5:12">
      <c r="E6812" s="49">
        <v>45072.340277755109</v>
      </c>
      <c r="F6812" s="56">
        <v>0</v>
      </c>
      <c r="G6812" s="48"/>
      <c r="H6812" s="48"/>
      <c r="I6812" s="48"/>
      <c r="J6812" s="48"/>
      <c r="L6812" s="65"/>
    </row>
    <row r="6813" spans="5:12">
      <c r="E6813" s="49">
        <v>45072.343749977328</v>
      </c>
      <c r="F6813" s="56">
        <v>0</v>
      </c>
      <c r="G6813" s="48"/>
      <c r="H6813" s="48"/>
      <c r="I6813" s="48"/>
      <c r="J6813" s="48"/>
      <c r="L6813" s="65"/>
    </row>
    <row r="6814" spans="5:12">
      <c r="E6814" s="49">
        <v>45072.347222199547</v>
      </c>
      <c r="F6814" s="56">
        <v>0</v>
      </c>
      <c r="G6814" s="48"/>
      <c r="H6814" s="48"/>
      <c r="I6814" s="48"/>
      <c r="J6814" s="48"/>
      <c r="L6814" s="65"/>
    </row>
    <row r="6815" spans="5:12">
      <c r="E6815" s="49">
        <v>45072.350694421766</v>
      </c>
      <c r="F6815" s="56">
        <v>0</v>
      </c>
      <c r="G6815" s="48"/>
      <c r="H6815" s="48"/>
      <c r="I6815" s="48"/>
      <c r="J6815" s="48"/>
      <c r="L6815" s="65"/>
    </row>
    <row r="6816" spans="5:12">
      <c r="E6816" s="49">
        <v>45072.354166643985</v>
      </c>
      <c r="F6816" s="56">
        <v>0</v>
      </c>
      <c r="G6816" s="48"/>
      <c r="H6816" s="48"/>
      <c r="I6816" s="48"/>
      <c r="J6816" s="48"/>
      <c r="L6816" s="65"/>
    </row>
    <row r="6817" spans="5:12">
      <c r="E6817" s="49">
        <v>45072.357638866204</v>
      </c>
      <c r="F6817" s="56">
        <v>0</v>
      </c>
      <c r="G6817" s="48"/>
      <c r="H6817" s="48"/>
      <c r="I6817" s="48"/>
      <c r="J6817" s="48"/>
      <c r="L6817" s="65"/>
    </row>
    <row r="6818" spans="5:12">
      <c r="E6818" s="49">
        <v>45072.361111088423</v>
      </c>
      <c r="F6818" s="56">
        <v>0</v>
      </c>
      <c r="G6818" s="48"/>
      <c r="H6818" s="48"/>
      <c r="I6818" s="48"/>
      <c r="J6818" s="48"/>
      <c r="L6818" s="65"/>
    </row>
    <row r="6819" spans="5:12">
      <c r="E6819" s="49">
        <v>45072.364583310642</v>
      </c>
      <c r="F6819" s="56">
        <v>0</v>
      </c>
      <c r="G6819" s="48"/>
      <c r="H6819" s="48"/>
      <c r="I6819" s="48"/>
      <c r="J6819" s="48"/>
      <c r="L6819" s="65"/>
    </row>
    <row r="6820" spans="5:12">
      <c r="E6820" s="49">
        <v>45072.368055532861</v>
      </c>
      <c r="F6820" s="56">
        <v>0</v>
      </c>
      <c r="G6820" s="48"/>
      <c r="H6820" s="48"/>
      <c r="I6820" s="48"/>
      <c r="J6820" s="48"/>
      <c r="L6820" s="65"/>
    </row>
    <row r="6821" spans="5:12">
      <c r="E6821" s="49">
        <v>45072.37152775508</v>
      </c>
      <c r="F6821" s="56">
        <v>0</v>
      </c>
      <c r="G6821" s="48"/>
      <c r="H6821" s="48"/>
      <c r="I6821" s="48"/>
      <c r="J6821" s="48"/>
      <c r="L6821" s="65"/>
    </row>
    <row r="6822" spans="5:12">
      <c r="E6822" s="49">
        <v>45072.374999977299</v>
      </c>
      <c r="F6822" s="56">
        <v>0</v>
      </c>
      <c r="G6822" s="48"/>
      <c r="H6822" s="48"/>
      <c r="I6822" s="48"/>
      <c r="J6822" s="48"/>
      <c r="L6822" s="65"/>
    </row>
    <row r="6823" spans="5:12">
      <c r="E6823" s="49">
        <v>45072.378472199518</v>
      </c>
      <c r="F6823" s="56">
        <v>0</v>
      </c>
      <c r="G6823" s="48"/>
      <c r="H6823" s="48"/>
      <c r="I6823" s="48"/>
      <c r="J6823" s="48"/>
      <c r="L6823" s="65"/>
    </row>
    <row r="6824" spans="5:12">
      <c r="E6824" s="49">
        <v>45072.381944421737</v>
      </c>
      <c r="F6824" s="56">
        <v>0</v>
      </c>
      <c r="G6824" s="48"/>
      <c r="H6824" s="48"/>
      <c r="I6824" s="48"/>
      <c r="J6824" s="48"/>
      <c r="L6824" s="65"/>
    </row>
    <row r="6825" spans="5:12">
      <c r="E6825" s="49">
        <v>45072.385416643956</v>
      </c>
      <c r="F6825" s="56">
        <v>0</v>
      </c>
      <c r="G6825" s="48"/>
      <c r="H6825" s="48"/>
      <c r="I6825" s="48"/>
      <c r="J6825" s="48"/>
      <c r="L6825" s="65"/>
    </row>
    <row r="6826" spans="5:12">
      <c r="E6826" s="49">
        <v>45072.388888866175</v>
      </c>
      <c r="F6826" s="56">
        <v>0</v>
      </c>
      <c r="G6826" s="48"/>
      <c r="H6826" s="48"/>
      <c r="I6826" s="48"/>
      <c r="J6826" s="48"/>
      <c r="L6826" s="65"/>
    </row>
    <row r="6827" spans="5:12">
      <c r="E6827" s="49">
        <v>45072.392361088394</v>
      </c>
      <c r="F6827" s="56">
        <v>0</v>
      </c>
      <c r="G6827" s="48"/>
      <c r="H6827" s="48"/>
      <c r="I6827" s="48"/>
      <c r="J6827" s="48"/>
      <c r="L6827" s="65"/>
    </row>
    <row r="6828" spans="5:12">
      <c r="E6828" s="49">
        <v>45072.395833310613</v>
      </c>
      <c r="F6828" s="56">
        <v>0</v>
      </c>
      <c r="G6828" s="48"/>
      <c r="H6828" s="48"/>
      <c r="I6828" s="48"/>
      <c r="J6828" s="48"/>
      <c r="L6828" s="65"/>
    </row>
    <row r="6829" spans="5:12">
      <c r="E6829" s="49">
        <v>45072.399305532832</v>
      </c>
      <c r="F6829" s="56">
        <v>0</v>
      </c>
      <c r="G6829" s="48"/>
      <c r="H6829" s="48"/>
      <c r="I6829" s="48"/>
      <c r="J6829" s="48"/>
      <c r="L6829" s="65"/>
    </row>
    <row r="6830" spans="5:12">
      <c r="E6830" s="49">
        <v>45072.402777755051</v>
      </c>
      <c r="F6830" s="56">
        <v>0</v>
      </c>
      <c r="G6830" s="48"/>
      <c r="H6830" s="48"/>
      <c r="I6830" s="48"/>
      <c r="J6830" s="48"/>
      <c r="L6830" s="65"/>
    </row>
    <row r="6831" spans="5:12">
      <c r="E6831" s="49">
        <v>45072.40624997727</v>
      </c>
      <c r="F6831" s="56">
        <v>0</v>
      </c>
      <c r="G6831" s="48"/>
      <c r="H6831" s="48"/>
      <c r="I6831" s="48"/>
      <c r="J6831" s="48"/>
      <c r="L6831" s="65"/>
    </row>
    <row r="6832" spans="5:12">
      <c r="E6832" s="49">
        <v>45072.409722199489</v>
      </c>
      <c r="F6832" s="56">
        <v>0</v>
      </c>
      <c r="G6832" s="48"/>
      <c r="H6832" s="48"/>
      <c r="I6832" s="48"/>
      <c r="J6832" s="48"/>
      <c r="L6832" s="65"/>
    </row>
    <row r="6833" spans="5:12">
      <c r="E6833" s="49">
        <v>45072.413194421708</v>
      </c>
      <c r="F6833" s="56">
        <v>0</v>
      </c>
      <c r="G6833" s="48"/>
      <c r="H6833" s="48"/>
      <c r="I6833" s="48"/>
      <c r="J6833" s="48"/>
      <c r="L6833" s="65"/>
    </row>
    <row r="6834" spans="5:12">
      <c r="E6834" s="49">
        <v>45072.416666643927</v>
      </c>
      <c r="F6834" s="56">
        <v>0</v>
      </c>
      <c r="G6834" s="48"/>
      <c r="H6834" s="48"/>
      <c r="I6834" s="48"/>
      <c r="J6834" s="48"/>
      <c r="L6834" s="65"/>
    </row>
    <row r="6835" spans="5:12">
      <c r="E6835" s="49">
        <v>45072.420138866146</v>
      </c>
      <c r="F6835" s="56">
        <v>0</v>
      </c>
      <c r="G6835" s="48"/>
      <c r="H6835" s="48"/>
      <c r="I6835" s="48"/>
      <c r="J6835" s="48"/>
      <c r="L6835" s="65"/>
    </row>
    <row r="6836" spans="5:12">
      <c r="E6836" s="49">
        <v>45072.423611088365</v>
      </c>
      <c r="F6836" s="56">
        <v>0</v>
      </c>
      <c r="G6836" s="48"/>
      <c r="H6836" s="48"/>
      <c r="I6836" s="48"/>
      <c r="J6836" s="48"/>
      <c r="L6836" s="65"/>
    </row>
    <row r="6837" spans="5:12">
      <c r="E6837" s="49">
        <v>45072.427083310584</v>
      </c>
      <c r="F6837" s="56">
        <v>0</v>
      </c>
      <c r="G6837" s="48"/>
      <c r="H6837" s="48"/>
      <c r="I6837" s="48"/>
      <c r="J6837" s="48"/>
      <c r="L6837" s="65"/>
    </row>
    <row r="6838" spans="5:12">
      <c r="E6838" s="49">
        <v>45072.430555532803</v>
      </c>
      <c r="F6838" s="56">
        <v>0</v>
      </c>
      <c r="G6838" s="48"/>
      <c r="H6838" s="48"/>
      <c r="I6838" s="48"/>
      <c r="J6838" s="48"/>
      <c r="L6838" s="65"/>
    </row>
    <row r="6839" spans="5:12">
      <c r="E6839" s="49">
        <v>45072.434027755022</v>
      </c>
      <c r="F6839" s="56">
        <v>0</v>
      </c>
      <c r="G6839" s="48"/>
      <c r="H6839" s="48"/>
      <c r="I6839" s="48"/>
      <c r="J6839" s="48"/>
      <c r="L6839" s="65"/>
    </row>
    <row r="6840" spans="5:12">
      <c r="E6840" s="49">
        <v>45072.437499977241</v>
      </c>
      <c r="F6840" s="56">
        <v>0</v>
      </c>
      <c r="G6840" s="48"/>
      <c r="H6840" s="48"/>
      <c r="I6840" s="48"/>
      <c r="J6840" s="48"/>
      <c r="L6840" s="65"/>
    </row>
    <row r="6841" spans="5:12">
      <c r="E6841" s="49">
        <v>45072.44097219946</v>
      </c>
      <c r="F6841" s="56">
        <v>0</v>
      </c>
      <c r="G6841" s="48"/>
      <c r="H6841" s="48"/>
      <c r="I6841" s="48"/>
      <c r="J6841" s="48"/>
      <c r="L6841" s="65"/>
    </row>
    <row r="6842" spans="5:12">
      <c r="E6842" s="49">
        <v>45072.444444421679</v>
      </c>
      <c r="F6842" s="56">
        <v>0</v>
      </c>
      <c r="G6842" s="48"/>
      <c r="H6842" s="48"/>
      <c r="I6842" s="48"/>
      <c r="J6842" s="48"/>
      <c r="L6842" s="65"/>
    </row>
    <row r="6843" spans="5:12">
      <c r="E6843" s="49">
        <v>45072.447916643898</v>
      </c>
      <c r="F6843" s="56">
        <v>0</v>
      </c>
      <c r="G6843" s="48"/>
      <c r="H6843" s="48"/>
      <c r="I6843" s="48"/>
      <c r="J6843" s="48"/>
      <c r="L6843" s="65"/>
    </row>
    <row r="6844" spans="5:12">
      <c r="E6844" s="49">
        <v>45072.451388866117</v>
      </c>
      <c r="F6844" s="56">
        <v>0</v>
      </c>
      <c r="G6844" s="48"/>
      <c r="H6844" s="48"/>
      <c r="I6844" s="48"/>
      <c r="J6844" s="48"/>
      <c r="L6844" s="65"/>
    </row>
    <row r="6845" spans="5:12">
      <c r="E6845" s="49">
        <v>45072.454861088336</v>
      </c>
      <c r="F6845" s="56">
        <v>0</v>
      </c>
      <c r="G6845" s="48"/>
      <c r="H6845" s="48"/>
      <c r="I6845" s="48"/>
      <c r="J6845" s="48"/>
      <c r="L6845" s="65"/>
    </row>
    <row r="6846" spans="5:12">
      <c r="E6846" s="49">
        <v>45072.458333310555</v>
      </c>
      <c r="F6846" s="56">
        <v>0</v>
      </c>
      <c r="G6846" s="48"/>
      <c r="H6846" s="48"/>
      <c r="I6846" s="48"/>
      <c r="J6846" s="48"/>
      <c r="L6846" s="65"/>
    </row>
    <row r="6847" spans="5:12">
      <c r="E6847" s="49">
        <v>45072.461805532774</v>
      </c>
      <c r="F6847" s="56">
        <v>0</v>
      </c>
      <c r="G6847" s="48"/>
      <c r="H6847" s="48"/>
      <c r="I6847" s="48"/>
      <c r="J6847" s="48"/>
      <c r="L6847" s="65"/>
    </row>
    <row r="6848" spans="5:12">
      <c r="E6848" s="49">
        <v>45072.465277754993</v>
      </c>
      <c r="F6848" s="56">
        <v>0</v>
      </c>
      <c r="G6848" s="48"/>
      <c r="H6848" s="48"/>
      <c r="I6848" s="48"/>
      <c r="J6848" s="48"/>
      <c r="L6848" s="65"/>
    </row>
    <row r="6849" spans="5:12">
      <c r="E6849" s="49">
        <v>45072.468749977212</v>
      </c>
      <c r="F6849" s="56">
        <v>0</v>
      </c>
      <c r="G6849" s="48"/>
      <c r="H6849" s="48"/>
      <c r="I6849" s="48"/>
      <c r="J6849" s="48"/>
      <c r="L6849" s="65"/>
    </row>
    <row r="6850" spans="5:12">
      <c r="E6850" s="49">
        <v>45072.472222199431</v>
      </c>
      <c r="F6850" s="56">
        <v>0</v>
      </c>
      <c r="G6850" s="48"/>
      <c r="H6850" s="48"/>
      <c r="I6850" s="48"/>
      <c r="J6850" s="48"/>
      <c r="L6850" s="65"/>
    </row>
    <row r="6851" spans="5:12">
      <c r="E6851" s="49">
        <v>45072.47569442165</v>
      </c>
      <c r="F6851" s="56">
        <v>0</v>
      </c>
      <c r="G6851" s="48"/>
      <c r="H6851" s="48"/>
      <c r="I6851" s="48"/>
      <c r="J6851" s="48"/>
      <c r="L6851" s="65"/>
    </row>
    <row r="6852" spans="5:12">
      <c r="E6852" s="49">
        <v>45072.479166643869</v>
      </c>
      <c r="F6852" s="56">
        <v>0</v>
      </c>
      <c r="G6852" s="48"/>
      <c r="H6852" s="48"/>
      <c r="I6852" s="48"/>
      <c r="J6852" s="48"/>
      <c r="L6852" s="65"/>
    </row>
    <row r="6853" spans="5:12">
      <c r="E6853" s="49">
        <v>45072.482638866088</v>
      </c>
      <c r="F6853" s="56">
        <v>0</v>
      </c>
      <c r="G6853" s="48"/>
      <c r="H6853" s="48"/>
      <c r="I6853" s="48"/>
      <c r="J6853" s="48"/>
      <c r="L6853" s="65"/>
    </row>
    <row r="6854" spans="5:12">
      <c r="E6854" s="49">
        <v>45072.486111088307</v>
      </c>
      <c r="F6854" s="56">
        <v>0</v>
      </c>
      <c r="G6854" s="48"/>
      <c r="H6854" s="48"/>
      <c r="I6854" s="48"/>
      <c r="J6854" s="48"/>
      <c r="L6854" s="65"/>
    </row>
    <row r="6855" spans="5:12">
      <c r="E6855" s="49">
        <v>45072.489583310526</v>
      </c>
      <c r="F6855" s="56">
        <v>0</v>
      </c>
      <c r="G6855" s="48"/>
      <c r="H6855" s="48"/>
      <c r="I6855" s="48"/>
      <c r="J6855" s="48"/>
      <c r="L6855" s="65"/>
    </row>
    <row r="6856" spans="5:12">
      <c r="E6856" s="49">
        <v>45072.493055532745</v>
      </c>
      <c r="F6856" s="56">
        <v>0</v>
      </c>
      <c r="G6856" s="48"/>
      <c r="H6856" s="48"/>
      <c r="I6856" s="48"/>
      <c r="J6856" s="48"/>
      <c r="L6856" s="65"/>
    </row>
    <row r="6857" spans="5:12">
      <c r="E6857" s="49">
        <v>45072.496527754964</v>
      </c>
      <c r="F6857" s="56">
        <v>0</v>
      </c>
      <c r="G6857" s="48"/>
      <c r="H6857" s="48"/>
      <c r="I6857" s="48"/>
      <c r="J6857" s="48"/>
      <c r="L6857" s="65"/>
    </row>
    <row r="6858" spans="5:12">
      <c r="E6858" s="49">
        <v>45072.499999977183</v>
      </c>
      <c r="F6858" s="56">
        <v>0</v>
      </c>
      <c r="G6858" s="48"/>
      <c r="H6858" s="48"/>
      <c r="I6858" s="48"/>
      <c r="J6858" s="48"/>
      <c r="L6858" s="65"/>
    </row>
    <row r="6859" spans="5:12">
      <c r="E6859" s="49">
        <v>45072.503472199402</v>
      </c>
      <c r="F6859" s="56">
        <v>0</v>
      </c>
      <c r="G6859" s="48"/>
      <c r="H6859" s="48"/>
      <c r="I6859" s="48"/>
      <c r="J6859" s="48"/>
      <c r="L6859" s="65"/>
    </row>
    <row r="6860" spans="5:12">
      <c r="E6860" s="49">
        <v>45072.506944421621</v>
      </c>
      <c r="F6860" s="56">
        <v>0</v>
      </c>
      <c r="G6860" s="48"/>
      <c r="H6860" s="48"/>
      <c r="I6860" s="48"/>
      <c r="J6860" s="48"/>
      <c r="L6860" s="65"/>
    </row>
    <row r="6861" spans="5:12">
      <c r="E6861" s="49">
        <v>45072.51041664384</v>
      </c>
      <c r="F6861" s="56">
        <v>0</v>
      </c>
      <c r="G6861" s="48"/>
      <c r="H6861" s="48"/>
      <c r="I6861" s="48"/>
      <c r="J6861" s="48"/>
      <c r="L6861" s="65"/>
    </row>
    <row r="6862" spans="5:12">
      <c r="E6862" s="49">
        <v>45072.513888866059</v>
      </c>
      <c r="F6862" s="56">
        <v>0</v>
      </c>
      <c r="G6862" s="48"/>
      <c r="H6862" s="48"/>
      <c r="I6862" s="48"/>
      <c r="J6862" s="48"/>
      <c r="L6862" s="65"/>
    </row>
    <row r="6863" spans="5:12">
      <c r="E6863" s="49">
        <v>45072.517361088278</v>
      </c>
      <c r="F6863" s="56">
        <v>0</v>
      </c>
      <c r="G6863" s="48"/>
      <c r="H6863" s="48"/>
      <c r="I6863" s="48"/>
      <c r="J6863" s="48"/>
      <c r="L6863" s="65"/>
    </row>
    <row r="6864" spans="5:12">
      <c r="E6864" s="49">
        <v>45072.520833310497</v>
      </c>
      <c r="F6864" s="56">
        <v>0</v>
      </c>
      <c r="G6864" s="48"/>
      <c r="H6864" s="48"/>
      <c r="I6864" s="48"/>
      <c r="J6864" s="48"/>
      <c r="L6864" s="65"/>
    </row>
    <row r="6865" spans="5:12">
      <c r="E6865" s="49">
        <v>45072.524305532716</v>
      </c>
      <c r="F6865" s="56">
        <v>0</v>
      </c>
      <c r="G6865" s="48"/>
      <c r="H6865" s="48"/>
      <c r="I6865" s="48"/>
      <c r="J6865" s="48"/>
      <c r="L6865" s="65"/>
    </row>
    <row r="6866" spans="5:12">
      <c r="E6866" s="49">
        <v>45072.527777754935</v>
      </c>
      <c r="F6866" s="56">
        <v>0</v>
      </c>
      <c r="G6866" s="48"/>
      <c r="H6866" s="48"/>
      <c r="I6866" s="48"/>
      <c r="J6866" s="48"/>
      <c r="L6866" s="65"/>
    </row>
    <row r="6867" spans="5:12">
      <c r="E6867" s="49">
        <v>45072.531249977153</v>
      </c>
      <c r="F6867" s="56">
        <v>0</v>
      </c>
      <c r="G6867" s="48"/>
      <c r="H6867" s="48"/>
      <c r="I6867" s="48"/>
      <c r="J6867" s="48"/>
      <c r="L6867" s="65"/>
    </row>
    <row r="6868" spans="5:12">
      <c r="E6868" s="49">
        <v>45072.534722199372</v>
      </c>
      <c r="F6868" s="56">
        <v>0</v>
      </c>
      <c r="G6868" s="48"/>
      <c r="H6868" s="48"/>
      <c r="I6868" s="48"/>
      <c r="J6868" s="48"/>
      <c r="L6868" s="65"/>
    </row>
    <row r="6869" spans="5:12">
      <c r="E6869" s="49">
        <v>45072.538194421591</v>
      </c>
      <c r="F6869" s="56">
        <v>0</v>
      </c>
      <c r="G6869" s="48"/>
      <c r="H6869" s="48"/>
      <c r="I6869" s="48"/>
      <c r="J6869" s="48"/>
      <c r="L6869" s="65"/>
    </row>
    <row r="6870" spans="5:12">
      <c r="E6870" s="49">
        <v>45072.54166664381</v>
      </c>
      <c r="F6870" s="56">
        <v>0</v>
      </c>
      <c r="G6870" s="48"/>
      <c r="H6870" s="48"/>
      <c r="I6870" s="48"/>
      <c r="J6870" s="48"/>
      <c r="L6870" s="65"/>
    </row>
    <row r="6871" spans="5:12">
      <c r="E6871" s="49">
        <v>45072.545138866029</v>
      </c>
      <c r="F6871" s="56">
        <v>0</v>
      </c>
      <c r="G6871" s="48"/>
      <c r="H6871" s="48"/>
      <c r="I6871" s="48"/>
      <c r="J6871" s="48"/>
      <c r="L6871" s="65"/>
    </row>
    <row r="6872" spans="5:12">
      <c r="E6872" s="49">
        <v>45072.548611088248</v>
      </c>
      <c r="F6872" s="56">
        <v>0</v>
      </c>
      <c r="G6872" s="48"/>
      <c r="H6872" s="48"/>
      <c r="I6872" s="48"/>
      <c r="J6872" s="48"/>
      <c r="L6872" s="65"/>
    </row>
    <row r="6873" spans="5:12">
      <c r="E6873" s="49">
        <v>45072.552083310467</v>
      </c>
      <c r="F6873" s="56">
        <v>0</v>
      </c>
      <c r="G6873" s="48"/>
      <c r="H6873" s="48"/>
      <c r="I6873" s="48"/>
      <c r="J6873" s="48"/>
      <c r="L6873" s="65"/>
    </row>
    <row r="6874" spans="5:12">
      <c r="E6874" s="49">
        <v>45072.555555532686</v>
      </c>
      <c r="F6874" s="56">
        <v>0</v>
      </c>
      <c r="G6874" s="48"/>
      <c r="H6874" s="48"/>
      <c r="I6874" s="48"/>
      <c r="J6874" s="48"/>
      <c r="L6874" s="65"/>
    </row>
    <row r="6875" spans="5:12">
      <c r="E6875" s="49">
        <v>45072.559027754905</v>
      </c>
      <c r="F6875" s="56">
        <v>0</v>
      </c>
      <c r="G6875" s="48"/>
      <c r="H6875" s="48"/>
      <c r="I6875" s="48"/>
      <c r="J6875" s="48"/>
      <c r="L6875" s="65"/>
    </row>
    <row r="6876" spans="5:12">
      <c r="E6876" s="49">
        <v>45072.562499977124</v>
      </c>
      <c r="F6876" s="56">
        <v>0</v>
      </c>
      <c r="G6876" s="48"/>
      <c r="H6876" s="48"/>
      <c r="I6876" s="48"/>
      <c r="J6876" s="48"/>
      <c r="L6876" s="65"/>
    </row>
    <row r="6877" spans="5:12">
      <c r="E6877" s="49">
        <v>45072.565972199343</v>
      </c>
      <c r="F6877" s="56">
        <v>0</v>
      </c>
      <c r="G6877" s="48"/>
      <c r="H6877" s="48"/>
      <c r="I6877" s="48"/>
      <c r="J6877" s="48"/>
      <c r="L6877" s="65"/>
    </row>
    <row r="6878" spans="5:12">
      <c r="E6878" s="49">
        <v>45072.569444421562</v>
      </c>
      <c r="F6878" s="56">
        <v>0</v>
      </c>
      <c r="G6878" s="48"/>
      <c r="H6878" s="48"/>
      <c r="I6878" s="48"/>
      <c r="J6878" s="48"/>
      <c r="L6878" s="65"/>
    </row>
    <row r="6879" spans="5:12">
      <c r="E6879" s="49">
        <v>45072.572916643781</v>
      </c>
      <c r="F6879" s="56">
        <v>0</v>
      </c>
      <c r="G6879" s="48"/>
      <c r="H6879" s="48"/>
      <c r="I6879" s="48"/>
      <c r="J6879" s="48"/>
      <c r="L6879" s="65"/>
    </row>
    <row r="6880" spans="5:12">
      <c r="E6880" s="49">
        <v>45072.576388866</v>
      </c>
      <c r="F6880" s="56">
        <v>0</v>
      </c>
      <c r="G6880" s="48"/>
      <c r="H6880" s="48"/>
      <c r="I6880" s="48"/>
      <c r="J6880" s="48"/>
      <c r="L6880" s="65"/>
    </row>
    <row r="6881" spans="5:12">
      <c r="E6881" s="49">
        <v>45072.579861088219</v>
      </c>
      <c r="F6881" s="56">
        <v>0</v>
      </c>
      <c r="G6881" s="48"/>
      <c r="H6881" s="48"/>
      <c r="I6881" s="48"/>
      <c r="J6881" s="48"/>
      <c r="L6881" s="65"/>
    </row>
    <row r="6882" spans="5:12">
      <c r="E6882" s="49">
        <v>45072.583333310438</v>
      </c>
      <c r="F6882" s="56">
        <v>0</v>
      </c>
      <c r="G6882" s="48"/>
      <c r="H6882" s="48"/>
      <c r="I6882" s="48"/>
      <c r="J6882" s="48"/>
      <c r="L6882" s="65"/>
    </row>
    <row r="6883" spans="5:12">
      <c r="E6883" s="49">
        <v>45072.586805532657</v>
      </c>
      <c r="F6883" s="56">
        <v>0</v>
      </c>
      <c r="G6883" s="48"/>
      <c r="H6883" s="48"/>
      <c r="I6883" s="48"/>
      <c r="J6883" s="48"/>
      <c r="L6883" s="65"/>
    </row>
    <row r="6884" spans="5:12">
      <c r="E6884" s="49">
        <v>45072.590277754876</v>
      </c>
      <c r="F6884" s="56">
        <v>0</v>
      </c>
      <c r="G6884" s="48"/>
      <c r="H6884" s="48"/>
      <c r="I6884" s="48"/>
      <c r="J6884" s="48"/>
      <c r="L6884" s="65"/>
    </row>
    <row r="6885" spans="5:12">
      <c r="E6885" s="49">
        <v>45072.593749977095</v>
      </c>
      <c r="F6885" s="56">
        <v>0</v>
      </c>
      <c r="G6885" s="48"/>
      <c r="H6885" s="48"/>
      <c r="I6885" s="48"/>
      <c r="J6885" s="48"/>
      <c r="L6885" s="65"/>
    </row>
    <row r="6886" spans="5:12">
      <c r="E6886" s="49">
        <v>45072.597222199314</v>
      </c>
      <c r="F6886" s="56">
        <v>0</v>
      </c>
      <c r="G6886" s="48"/>
      <c r="H6886" s="48"/>
      <c r="I6886" s="48"/>
      <c r="J6886" s="48"/>
      <c r="L6886" s="65"/>
    </row>
    <row r="6887" spans="5:12">
      <c r="E6887" s="49">
        <v>45072.600694421533</v>
      </c>
      <c r="F6887" s="56">
        <v>0</v>
      </c>
      <c r="G6887" s="48"/>
      <c r="H6887" s="48"/>
      <c r="I6887" s="48"/>
      <c r="J6887" s="48"/>
      <c r="L6887" s="65"/>
    </row>
    <row r="6888" spans="5:12">
      <c r="E6888" s="49">
        <v>45072.604166643752</v>
      </c>
      <c r="F6888" s="56">
        <v>0</v>
      </c>
      <c r="G6888" s="48"/>
      <c r="H6888" s="48"/>
      <c r="I6888" s="48"/>
      <c r="J6888" s="48"/>
      <c r="L6888" s="65"/>
    </row>
    <row r="6889" spans="5:12">
      <c r="E6889" s="49">
        <v>45072.607638865971</v>
      </c>
      <c r="F6889" s="56">
        <v>0</v>
      </c>
      <c r="G6889" s="48"/>
      <c r="H6889" s="48"/>
      <c r="I6889" s="48"/>
      <c r="J6889" s="48"/>
      <c r="L6889" s="65"/>
    </row>
    <row r="6890" spans="5:12">
      <c r="E6890" s="49">
        <v>45072.61111108819</v>
      </c>
      <c r="F6890" s="56">
        <v>0</v>
      </c>
      <c r="G6890" s="48"/>
      <c r="H6890" s="48"/>
      <c r="I6890" s="48"/>
      <c r="J6890" s="48"/>
      <c r="L6890" s="65"/>
    </row>
    <row r="6891" spans="5:12">
      <c r="E6891" s="49">
        <v>45072.614583310409</v>
      </c>
      <c r="F6891" s="56">
        <v>0</v>
      </c>
      <c r="G6891" s="48"/>
      <c r="H6891" s="48"/>
      <c r="I6891" s="48"/>
      <c r="J6891" s="48"/>
      <c r="L6891" s="65"/>
    </row>
    <row r="6892" spans="5:12">
      <c r="E6892" s="49">
        <v>45072.618055532628</v>
      </c>
      <c r="F6892" s="56">
        <v>0</v>
      </c>
      <c r="G6892" s="48"/>
      <c r="H6892" s="48"/>
      <c r="I6892" s="48"/>
      <c r="J6892" s="48"/>
      <c r="L6892" s="65"/>
    </row>
    <row r="6893" spans="5:12">
      <c r="E6893" s="49">
        <v>45072.621527754847</v>
      </c>
      <c r="F6893" s="56">
        <v>0</v>
      </c>
      <c r="G6893" s="48"/>
      <c r="H6893" s="48"/>
      <c r="I6893" s="48"/>
      <c r="J6893" s="48"/>
      <c r="L6893" s="65"/>
    </row>
    <row r="6894" spans="5:12">
      <c r="E6894" s="49">
        <v>45072.624999977066</v>
      </c>
      <c r="F6894" s="56">
        <v>0</v>
      </c>
      <c r="G6894" s="48"/>
      <c r="H6894" s="48"/>
      <c r="I6894" s="48"/>
      <c r="J6894" s="48"/>
      <c r="L6894" s="65"/>
    </row>
    <row r="6895" spans="5:12">
      <c r="E6895" s="49">
        <v>45072.628472199285</v>
      </c>
      <c r="F6895" s="56">
        <v>0</v>
      </c>
      <c r="G6895" s="48"/>
      <c r="H6895" s="48"/>
      <c r="I6895" s="48"/>
      <c r="J6895" s="48"/>
      <c r="L6895" s="65"/>
    </row>
    <row r="6896" spans="5:12">
      <c r="E6896" s="49">
        <v>45072.631944421504</v>
      </c>
      <c r="F6896" s="56">
        <v>0</v>
      </c>
      <c r="G6896" s="48"/>
      <c r="H6896" s="48"/>
      <c r="I6896" s="48"/>
      <c r="J6896" s="48"/>
      <c r="L6896" s="65"/>
    </row>
    <row r="6897" spans="5:12">
      <c r="E6897" s="49">
        <v>45072.635416643723</v>
      </c>
      <c r="F6897" s="56">
        <v>0</v>
      </c>
      <c r="G6897" s="48"/>
      <c r="H6897" s="48"/>
      <c r="I6897" s="48"/>
      <c r="J6897" s="48"/>
      <c r="L6897" s="65"/>
    </row>
    <row r="6898" spans="5:12">
      <c r="E6898" s="49">
        <v>45072.638888865942</v>
      </c>
      <c r="F6898" s="56">
        <v>0</v>
      </c>
      <c r="G6898" s="48"/>
      <c r="H6898" s="48"/>
      <c r="I6898" s="48"/>
      <c r="J6898" s="48"/>
      <c r="L6898" s="65"/>
    </row>
    <row r="6899" spans="5:12">
      <c r="E6899" s="49">
        <v>45072.642361088161</v>
      </c>
      <c r="F6899" s="56">
        <v>0</v>
      </c>
      <c r="G6899" s="48"/>
      <c r="H6899" s="48"/>
      <c r="I6899" s="48"/>
      <c r="J6899" s="48"/>
      <c r="L6899" s="65"/>
    </row>
    <row r="6900" spans="5:12">
      <c r="E6900" s="49">
        <v>45072.64583331038</v>
      </c>
      <c r="F6900" s="56">
        <v>0</v>
      </c>
      <c r="G6900" s="48"/>
      <c r="H6900" s="48"/>
      <c r="I6900" s="48"/>
      <c r="J6900" s="48"/>
      <c r="L6900" s="65"/>
    </row>
    <row r="6901" spans="5:12">
      <c r="E6901" s="49">
        <v>45072.649305532599</v>
      </c>
      <c r="F6901" s="56">
        <v>0</v>
      </c>
      <c r="G6901" s="48"/>
      <c r="H6901" s="48"/>
      <c r="I6901" s="48"/>
      <c r="J6901" s="48"/>
      <c r="L6901" s="65"/>
    </row>
    <row r="6902" spans="5:12">
      <c r="E6902" s="49">
        <v>45072.652777754818</v>
      </c>
      <c r="F6902" s="56">
        <v>0</v>
      </c>
      <c r="G6902" s="48"/>
      <c r="H6902" s="48"/>
      <c r="I6902" s="48"/>
      <c r="J6902" s="48"/>
      <c r="L6902" s="65"/>
    </row>
    <row r="6903" spans="5:12">
      <c r="E6903" s="49">
        <v>45072.656249977037</v>
      </c>
      <c r="F6903" s="56">
        <v>0</v>
      </c>
      <c r="G6903" s="48"/>
      <c r="H6903" s="48"/>
      <c r="I6903" s="48"/>
      <c r="J6903" s="48"/>
      <c r="L6903" s="65"/>
    </row>
    <row r="6904" spans="5:12">
      <c r="E6904" s="49">
        <v>45072.659722199256</v>
      </c>
      <c r="F6904" s="56">
        <v>0</v>
      </c>
      <c r="G6904" s="48"/>
      <c r="H6904" s="48"/>
      <c r="I6904" s="48"/>
      <c r="J6904" s="48"/>
      <c r="L6904" s="65"/>
    </row>
    <row r="6905" spans="5:12">
      <c r="E6905" s="49">
        <v>45072.663194421475</v>
      </c>
      <c r="F6905" s="56">
        <v>0</v>
      </c>
      <c r="G6905" s="48"/>
      <c r="H6905" s="48"/>
      <c r="I6905" s="48"/>
      <c r="J6905" s="48"/>
      <c r="L6905" s="65"/>
    </row>
    <row r="6906" spans="5:12">
      <c r="E6906" s="49">
        <v>45072.666666643694</v>
      </c>
      <c r="F6906" s="56">
        <v>0</v>
      </c>
      <c r="G6906" s="48"/>
      <c r="H6906" s="48"/>
      <c r="I6906" s="48"/>
      <c r="J6906" s="48"/>
      <c r="L6906" s="65"/>
    </row>
    <row r="6907" spans="5:12">
      <c r="E6907" s="49">
        <v>45072.670138865913</v>
      </c>
      <c r="F6907" s="56">
        <v>0</v>
      </c>
      <c r="G6907" s="48"/>
      <c r="H6907" s="48"/>
      <c r="I6907" s="48"/>
      <c r="J6907" s="48"/>
      <c r="L6907" s="65"/>
    </row>
    <row r="6908" spans="5:12">
      <c r="E6908" s="49">
        <v>45072.673611088132</v>
      </c>
      <c r="F6908" s="56">
        <v>0</v>
      </c>
      <c r="G6908" s="48"/>
      <c r="H6908" s="48"/>
      <c r="I6908" s="48"/>
      <c r="J6908" s="48"/>
      <c r="L6908" s="65"/>
    </row>
    <row r="6909" spans="5:12">
      <c r="E6909" s="49">
        <v>45072.677083310351</v>
      </c>
      <c r="F6909" s="56">
        <v>0</v>
      </c>
      <c r="G6909" s="48"/>
      <c r="H6909" s="48"/>
      <c r="I6909" s="48"/>
      <c r="J6909" s="48"/>
      <c r="L6909" s="65"/>
    </row>
    <row r="6910" spans="5:12">
      <c r="E6910" s="49">
        <v>45072.68055553257</v>
      </c>
      <c r="F6910" s="56">
        <v>0</v>
      </c>
      <c r="G6910" s="48"/>
      <c r="H6910" s="48"/>
      <c r="I6910" s="48"/>
      <c r="J6910" s="48"/>
      <c r="L6910" s="65"/>
    </row>
    <row r="6911" spans="5:12">
      <c r="E6911" s="49">
        <v>45072.684027754789</v>
      </c>
      <c r="F6911" s="56">
        <v>0</v>
      </c>
      <c r="G6911" s="48"/>
      <c r="H6911" s="48"/>
      <c r="I6911" s="48"/>
      <c r="J6911" s="48"/>
      <c r="L6911" s="65"/>
    </row>
    <row r="6912" spans="5:12">
      <c r="E6912" s="49">
        <v>45072.687499977008</v>
      </c>
      <c r="F6912" s="56">
        <v>0</v>
      </c>
      <c r="G6912" s="48"/>
      <c r="H6912" s="48"/>
      <c r="I6912" s="48"/>
      <c r="J6912" s="48"/>
      <c r="L6912" s="65"/>
    </row>
    <row r="6913" spans="5:12">
      <c r="E6913" s="49">
        <v>45072.690972199227</v>
      </c>
      <c r="F6913" s="56">
        <v>0</v>
      </c>
      <c r="G6913" s="48"/>
      <c r="H6913" s="48"/>
      <c r="I6913" s="48"/>
      <c r="J6913" s="48"/>
      <c r="L6913" s="65"/>
    </row>
    <row r="6914" spans="5:12">
      <c r="E6914" s="49">
        <v>45072.694444421446</v>
      </c>
      <c r="F6914" s="56">
        <v>0</v>
      </c>
      <c r="G6914" s="48"/>
      <c r="H6914" s="48"/>
      <c r="I6914" s="48"/>
      <c r="J6914" s="48"/>
      <c r="L6914" s="65"/>
    </row>
    <row r="6915" spans="5:12">
      <c r="E6915" s="49">
        <v>45072.697916643665</v>
      </c>
      <c r="F6915" s="56">
        <v>0</v>
      </c>
      <c r="G6915" s="48"/>
      <c r="H6915" s="48"/>
      <c r="I6915" s="48"/>
      <c r="J6915" s="48"/>
      <c r="L6915" s="65"/>
    </row>
    <row r="6916" spans="5:12">
      <c r="E6916" s="49">
        <v>45072.701388865884</v>
      </c>
      <c r="F6916" s="56">
        <v>0</v>
      </c>
      <c r="G6916" s="48"/>
      <c r="H6916" s="48"/>
      <c r="I6916" s="48"/>
      <c r="J6916" s="48"/>
      <c r="L6916" s="65"/>
    </row>
    <row r="6917" spans="5:12">
      <c r="E6917" s="49">
        <v>45072.704861088103</v>
      </c>
      <c r="F6917" s="56">
        <v>0</v>
      </c>
      <c r="G6917" s="48"/>
      <c r="H6917" s="48"/>
      <c r="I6917" s="48"/>
      <c r="J6917" s="48"/>
      <c r="L6917" s="65"/>
    </row>
    <row r="6918" spans="5:12">
      <c r="E6918" s="49">
        <v>45072.708333310322</v>
      </c>
      <c r="F6918" s="56">
        <v>5.1093572724673679</v>
      </c>
      <c r="G6918" s="48"/>
      <c r="H6918" s="48"/>
      <c r="I6918" s="48"/>
      <c r="J6918" s="48"/>
      <c r="L6918" s="65"/>
    </row>
    <row r="6919" spans="5:12">
      <c r="E6919" s="49">
        <v>45072.711805532541</v>
      </c>
      <c r="F6919" s="56">
        <v>5.1093572724673679</v>
      </c>
      <c r="G6919" s="48"/>
      <c r="H6919" s="48"/>
      <c r="I6919" s="48"/>
      <c r="J6919" s="48"/>
      <c r="L6919" s="65"/>
    </row>
    <row r="6920" spans="5:12">
      <c r="E6920" s="49">
        <v>45072.71527775476</v>
      </c>
      <c r="F6920" s="56">
        <v>5.1093572724673679</v>
      </c>
      <c r="G6920" s="48"/>
      <c r="H6920" s="48"/>
      <c r="I6920" s="48"/>
      <c r="J6920" s="48"/>
      <c r="L6920" s="65"/>
    </row>
    <row r="6921" spans="5:12">
      <c r="E6921" s="49">
        <v>45072.718749976979</v>
      </c>
      <c r="F6921" s="56">
        <v>5.1093572724673679</v>
      </c>
      <c r="G6921" s="48"/>
      <c r="H6921" s="48"/>
      <c r="I6921" s="48"/>
      <c r="J6921" s="48"/>
      <c r="L6921" s="65"/>
    </row>
    <row r="6922" spans="5:12">
      <c r="E6922" s="49">
        <v>45072.722222199198</v>
      </c>
      <c r="F6922" s="56">
        <v>5.1093572724673679</v>
      </c>
      <c r="G6922" s="48"/>
      <c r="H6922" s="48"/>
      <c r="I6922" s="48"/>
      <c r="J6922" s="48"/>
      <c r="L6922" s="65"/>
    </row>
    <row r="6923" spans="5:12">
      <c r="E6923" s="49">
        <v>45072.725694421417</v>
      </c>
      <c r="F6923" s="56">
        <v>5.1093572724673679</v>
      </c>
      <c r="G6923" s="48"/>
      <c r="H6923" s="48"/>
      <c r="I6923" s="48"/>
      <c r="J6923" s="48"/>
      <c r="L6923" s="65"/>
    </row>
    <row r="6924" spans="5:12">
      <c r="E6924" s="49">
        <v>45072.729166643636</v>
      </c>
      <c r="F6924" s="56">
        <v>5.1093572724673679</v>
      </c>
      <c r="G6924" s="48"/>
      <c r="H6924" s="48"/>
      <c r="I6924" s="48"/>
      <c r="J6924" s="48"/>
      <c r="L6924" s="65"/>
    </row>
    <row r="6925" spans="5:12">
      <c r="E6925" s="49">
        <v>45072.732638865855</v>
      </c>
      <c r="F6925" s="56">
        <v>5.1093572724673679</v>
      </c>
      <c r="G6925" s="48"/>
      <c r="H6925" s="48"/>
      <c r="I6925" s="48"/>
      <c r="J6925" s="48"/>
      <c r="L6925" s="65"/>
    </row>
    <row r="6926" spans="5:12">
      <c r="E6926" s="49">
        <v>45072.736111088074</v>
      </c>
      <c r="F6926" s="56">
        <v>5.1093572724673679</v>
      </c>
      <c r="G6926" s="48"/>
      <c r="H6926" s="48"/>
      <c r="I6926" s="48"/>
      <c r="J6926" s="48"/>
      <c r="L6926" s="65"/>
    </row>
    <row r="6927" spans="5:12">
      <c r="E6927" s="49">
        <v>45072.739583310293</v>
      </c>
      <c r="F6927" s="56">
        <v>5.1093572724673679</v>
      </c>
      <c r="G6927" s="48"/>
      <c r="H6927" s="48"/>
      <c r="I6927" s="48"/>
      <c r="J6927" s="48"/>
      <c r="L6927" s="65"/>
    </row>
    <row r="6928" spans="5:12">
      <c r="E6928" s="49">
        <v>45072.743055532512</v>
      </c>
      <c r="F6928" s="56">
        <v>5.1093572724673679</v>
      </c>
      <c r="G6928" s="48"/>
      <c r="H6928" s="48"/>
      <c r="I6928" s="48"/>
      <c r="J6928" s="48"/>
      <c r="L6928" s="65"/>
    </row>
    <row r="6929" spans="5:12">
      <c r="E6929" s="49">
        <v>45072.746527754731</v>
      </c>
      <c r="F6929" s="56">
        <v>5.1093572724673679</v>
      </c>
      <c r="G6929" s="48"/>
      <c r="H6929" s="48"/>
      <c r="I6929" s="48"/>
      <c r="J6929" s="48"/>
      <c r="L6929" s="65"/>
    </row>
    <row r="6930" spans="5:12">
      <c r="E6930" s="49">
        <v>45072.74999997695</v>
      </c>
      <c r="F6930" s="56">
        <v>5.1093572724673679</v>
      </c>
      <c r="G6930" s="48"/>
      <c r="H6930" s="48"/>
      <c r="I6930" s="48"/>
      <c r="J6930" s="48"/>
      <c r="L6930" s="65"/>
    </row>
    <row r="6931" spans="5:12">
      <c r="E6931" s="49">
        <v>45072.753472199169</v>
      </c>
      <c r="F6931" s="56">
        <v>5.1093572724673679</v>
      </c>
      <c r="G6931" s="48"/>
      <c r="H6931" s="48"/>
      <c r="I6931" s="48"/>
      <c r="J6931" s="48"/>
      <c r="L6931" s="65"/>
    </row>
    <row r="6932" spans="5:12">
      <c r="E6932" s="49">
        <v>45072.756944421388</v>
      </c>
      <c r="F6932" s="56">
        <v>5.1093572724673679</v>
      </c>
      <c r="G6932" s="48"/>
      <c r="H6932" s="48"/>
      <c r="I6932" s="48"/>
      <c r="J6932" s="48"/>
      <c r="L6932" s="65"/>
    </row>
    <row r="6933" spans="5:12">
      <c r="E6933" s="49">
        <v>45072.760416643607</v>
      </c>
      <c r="F6933" s="56">
        <v>5.1093572724673679</v>
      </c>
      <c r="G6933" s="48"/>
      <c r="H6933" s="48"/>
      <c r="I6933" s="48"/>
      <c r="J6933" s="48"/>
      <c r="L6933" s="65"/>
    </row>
    <row r="6934" spans="5:12">
      <c r="E6934" s="49">
        <v>45072.763888865826</v>
      </c>
      <c r="F6934" s="56">
        <v>5.1093572724673679</v>
      </c>
      <c r="G6934" s="48"/>
      <c r="H6934" s="48"/>
      <c r="I6934" s="48"/>
      <c r="J6934" s="48"/>
      <c r="L6934" s="65"/>
    </row>
    <row r="6935" spans="5:12">
      <c r="E6935" s="49">
        <v>45072.767361088045</v>
      </c>
      <c r="F6935" s="56">
        <v>5.1093572724673679</v>
      </c>
      <c r="G6935" s="48"/>
      <c r="H6935" s="48"/>
      <c r="I6935" s="48"/>
      <c r="J6935" s="48"/>
      <c r="L6935" s="65"/>
    </row>
    <row r="6936" spans="5:12">
      <c r="E6936" s="49">
        <v>45072.770833310264</v>
      </c>
      <c r="F6936" s="56">
        <v>5.1093572724673679</v>
      </c>
      <c r="G6936" s="48"/>
      <c r="H6936" s="48"/>
      <c r="I6936" s="48"/>
      <c r="J6936" s="48"/>
      <c r="L6936" s="65"/>
    </row>
    <row r="6937" spans="5:12">
      <c r="E6937" s="49">
        <v>45072.774305532483</v>
      </c>
      <c r="F6937" s="56">
        <v>5.1093572724673679</v>
      </c>
      <c r="G6937" s="48"/>
      <c r="H6937" s="48"/>
      <c r="I6937" s="48"/>
      <c r="J6937" s="48"/>
      <c r="L6937" s="65"/>
    </row>
    <row r="6938" spans="5:12">
      <c r="E6938" s="49">
        <v>45072.777777754702</v>
      </c>
      <c r="F6938" s="56">
        <v>5.1093572724673679</v>
      </c>
      <c r="G6938" s="48"/>
      <c r="H6938" s="48"/>
      <c r="I6938" s="48"/>
      <c r="J6938" s="48"/>
      <c r="L6938" s="65"/>
    </row>
    <row r="6939" spans="5:12">
      <c r="E6939" s="49">
        <v>45072.781249976921</v>
      </c>
      <c r="F6939" s="56">
        <v>5.1093572724673679</v>
      </c>
      <c r="G6939" s="48"/>
      <c r="H6939" s="48"/>
      <c r="I6939" s="48"/>
      <c r="J6939" s="48"/>
      <c r="L6939" s="65"/>
    </row>
    <row r="6940" spans="5:12">
      <c r="E6940" s="49">
        <v>45072.78472219914</v>
      </c>
      <c r="F6940" s="56">
        <v>5.1093572724673679</v>
      </c>
      <c r="G6940" s="48"/>
      <c r="H6940" s="48"/>
      <c r="I6940" s="48"/>
      <c r="J6940" s="48"/>
      <c r="L6940" s="65"/>
    </row>
    <row r="6941" spans="5:12">
      <c r="E6941" s="49">
        <v>45072.788194421359</v>
      </c>
      <c r="F6941" s="56">
        <v>5.1093572724673679</v>
      </c>
      <c r="G6941" s="48"/>
      <c r="H6941" s="48"/>
      <c r="I6941" s="48"/>
      <c r="J6941" s="48"/>
      <c r="L6941" s="65"/>
    </row>
    <row r="6942" spans="5:12">
      <c r="E6942" s="49">
        <v>45072.791666643578</v>
      </c>
      <c r="F6942" s="56">
        <v>5.1093572724673679</v>
      </c>
      <c r="G6942" s="48"/>
      <c r="H6942" s="48"/>
      <c r="I6942" s="48"/>
      <c r="J6942" s="48"/>
      <c r="L6942" s="65"/>
    </row>
    <row r="6943" spans="5:12">
      <c r="E6943" s="49">
        <v>45072.795138865797</v>
      </c>
      <c r="F6943" s="56">
        <v>5.1093572724673679</v>
      </c>
      <c r="G6943" s="48"/>
      <c r="H6943" s="48"/>
      <c r="I6943" s="48"/>
      <c r="J6943" s="48"/>
      <c r="L6943" s="65"/>
    </row>
    <row r="6944" spans="5:12">
      <c r="E6944" s="49">
        <v>45072.798611088016</v>
      </c>
      <c r="F6944" s="56">
        <v>5.1093572724673679</v>
      </c>
      <c r="G6944" s="48"/>
      <c r="H6944" s="48"/>
      <c r="I6944" s="48"/>
      <c r="J6944" s="48"/>
      <c r="L6944" s="65"/>
    </row>
    <row r="6945" spans="5:12">
      <c r="E6945" s="49">
        <v>45072.802083310235</v>
      </c>
      <c r="F6945" s="56">
        <v>5.1093572724673679</v>
      </c>
      <c r="G6945" s="48"/>
      <c r="H6945" s="48"/>
      <c r="I6945" s="48"/>
      <c r="J6945" s="48"/>
      <c r="L6945" s="65"/>
    </row>
    <row r="6946" spans="5:12">
      <c r="E6946" s="49">
        <v>45072.805555532454</v>
      </c>
      <c r="F6946" s="56">
        <v>17.987988521614117</v>
      </c>
      <c r="G6946" s="48"/>
      <c r="H6946" s="48"/>
      <c r="I6946" s="48"/>
      <c r="J6946" s="48"/>
      <c r="L6946" s="65"/>
    </row>
    <row r="6947" spans="5:12">
      <c r="E6947" s="49">
        <v>45072.809027754673</v>
      </c>
      <c r="F6947" s="56">
        <v>17.987988521614117</v>
      </c>
      <c r="G6947" s="48"/>
      <c r="H6947" s="48"/>
      <c r="I6947" s="48"/>
      <c r="J6947" s="48"/>
      <c r="L6947" s="65"/>
    </row>
    <row r="6948" spans="5:12">
      <c r="E6948" s="49">
        <v>45072.812499976892</v>
      </c>
      <c r="F6948" s="56">
        <v>17.987988521614117</v>
      </c>
      <c r="G6948" s="48"/>
      <c r="H6948" s="48"/>
      <c r="I6948" s="48"/>
      <c r="J6948" s="48"/>
      <c r="L6948" s="65"/>
    </row>
    <row r="6949" spans="5:12">
      <c r="E6949" s="49">
        <v>45072.815972199111</v>
      </c>
      <c r="F6949" s="56">
        <v>17.987988521614117</v>
      </c>
      <c r="G6949" s="48"/>
      <c r="H6949" s="48"/>
      <c r="I6949" s="48"/>
      <c r="J6949" s="48"/>
      <c r="L6949" s="65"/>
    </row>
    <row r="6950" spans="5:12">
      <c r="E6950" s="49">
        <v>45072.81944442133</v>
      </c>
      <c r="F6950" s="56">
        <v>17.987988521614117</v>
      </c>
      <c r="G6950" s="48"/>
      <c r="H6950" s="48"/>
      <c r="I6950" s="48"/>
      <c r="J6950" s="48"/>
      <c r="L6950" s="65"/>
    </row>
    <row r="6951" spans="5:12">
      <c r="E6951" s="49">
        <v>45072.822916643549</v>
      </c>
      <c r="F6951" s="56">
        <v>17.987988521614117</v>
      </c>
      <c r="G6951" s="48"/>
      <c r="H6951" s="48"/>
      <c r="I6951" s="48"/>
      <c r="J6951" s="48"/>
      <c r="L6951" s="65"/>
    </row>
    <row r="6952" spans="5:12">
      <c r="E6952" s="49">
        <v>45072.826388865768</v>
      </c>
      <c r="F6952" s="56">
        <v>17.987988521614117</v>
      </c>
      <c r="G6952" s="48"/>
      <c r="H6952" s="48"/>
      <c r="I6952" s="48"/>
      <c r="J6952" s="48"/>
      <c r="L6952" s="65"/>
    </row>
    <row r="6953" spans="5:12">
      <c r="E6953" s="49">
        <v>45072.829861087987</v>
      </c>
      <c r="F6953" s="56">
        <v>17.987988521614117</v>
      </c>
      <c r="G6953" s="48"/>
      <c r="H6953" s="48"/>
      <c r="I6953" s="48"/>
      <c r="J6953" s="48"/>
      <c r="L6953" s="65"/>
    </row>
    <row r="6954" spans="5:12">
      <c r="E6954" s="49">
        <v>45072.833333310205</v>
      </c>
      <c r="F6954" s="56">
        <v>17.987988521614117</v>
      </c>
      <c r="G6954" s="48"/>
      <c r="H6954" s="48"/>
      <c r="I6954" s="48"/>
      <c r="J6954" s="48"/>
      <c r="L6954" s="65"/>
    </row>
    <row r="6955" spans="5:12">
      <c r="E6955" s="49">
        <v>45072.836805532424</v>
      </c>
      <c r="F6955" s="56">
        <v>17.987988521614117</v>
      </c>
      <c r="G6955" s="48"/>
      <c r="H6955" s="48"/>
      <c r="I6955" s="48"/>
      <c r="J6955" s="48"/>
      <c r="L6955" s="65"/>
    </row>
    <row r="6956" spans="5:12">
      <c r="E6956" s="49">
        <v>45072.840277754643</v>
      </c>
      <c r="F6956" s="56">
        <v>17.987988521614117</v>
      </c>
      <c r="G6956" s="48"/>
      <c r="H6956" s="48"/>
      <c r="I6956" s="48"/>
      <c r="J6956" s="48"/>
      <c r="L6956" s="65"/>
    </row>
    <row r="6957" spans="5:12">
      <c r="E6957" s="49">
        <v>45072.843749976862</v>
      </c>
      <c r="F6957" s="56">
        <v>17.987988521614117</v>
      </c>
      <c r="G6957" s="48"/>
      <c r="H6957" s="48"/>
      <c r="I6957" s="48"/>
      <c r="J6957" s="48"/>
      <c r="L6957" s="65"/>
    </row>
    <row r="6958" spans="5:12">
      <c r="E6958" s="49">
        <v>45072.847222199081</v>
      </c>
      <c r="F6958" s="56">
        <v>17.987988521614117</v>
      </c>
      <c r="G6958" s="48"/>
      <c r="H6958" s="48"/>
      <c r="I6958" s="48"/>
      <c r="J6958" s="48"/>
      <c r="L6958" s="65"/>
    </row>
    <row r="6959" spans="5:12">
      <c r="E6959" s="49">
        <v>45072.8506944213</v>
      </c>
      <c r="F6959" s="56">
        <v>17.987988521614117</v>
      </c>
      <c r="G6959" s="48"/>
      <c r="H6959" s="48"/>
      <c r="I6959" s="48"/>
      <c r="J6959" s="48"/>
      <c r="L6959" s="65"/>
    </row>
    <row r="6960" spans="5:12">
      <c r="E6960" s="49">
        <v>45072.854166643519</v>
      </c>
      <c r="F6960" s="56">
        <v>17.987988521614117</v>
      </c>
      <c r="G6960" s="48"/>
      <c r="H6960" s="48"/>
      <c r="I6960" s="48"/>
      <c r="J6960" s="48"/>
      <c r="L6960" s="65"/>
    </row>
    <row r="6961" spans="5:12">
      <c r="E6961" s="49">
        <v>45072.857638865738</v>
      </c>
      <c r="F6961" s="56">
        <v>17.987988521614117</v>
      </c>
      <c r="G6961" s="48"/>
      <c r="H6961" s="48"/>
      <c r="I6961" s="48"/>
      <c r="J6961" s="48"/>
      <c r="L6961" s="65"/>
    </row>
    <row r="6962" spans="5:12">
      <c r="E6962" s="49">
        <v>45072.861111087957</v>
      </c>
      <c r="F6962" s="56">
        <v>17.987988521614117</v>
      </c>
      <c r="G6962" s="48"/>
      <c r="H6962" s="48"/>
      <c r="I6962" s="48"/>
      <c r="J6962" s="48"/>
      <c r="L6962" s="65"/>
    </row>
    <row r="6963" spans="5:12">
      <c r="E6963" s="49">
        <v>45072.864583310176</v>
      </c>
      <c r="F6963" s="56">
        <v>17.987988521614117</v>
      </c>
      <c r="G6963" s="48"/>
      <c r="H6963" s="48"/>
      <c r="I6963" s="48"/>
      <c r="J6963" s="48"/>
      <c r="L6963" s="65"/>
    </row>
    <row r="6964" spans="5:12">
      <c r="E6964" s="49">
        <v>45072.868055532395</v>
      </c>
      <c r="F6964" s="56">
        <v>17.987988521614117</v>
      </c>
      <c r="G6964" s="48"/>
      <c r="H6964" s="48"/>
      <c r="I6964" s="48"/>
      <c r="J6964" s="48"/>
      <c r="L6964" s="65"/>
    </row>
    <row r="6965" spans="5:12">
      <c r="E6965" s="49">
        <v>45072.871527754614</v>
      </c>
      <c r="F6965" s="56">
        <v>17.987988521614117</v>
      </c>
      <c r="G6965" s="48"/>
      <c r="H6965" s="48"/>
      <c r="I6965" s="48"/>
      <c r="J6965" s="48"/>
      <c r="L6965" s="65"/>
    </row>
    <row r="6966" spans="5:12">
      <c r="E6966" s="49">
        <v>45072.874999976833</v>
      </c>
      <c r="F6966" s="56">
        <v>17.987988521614117</v>
      </c>
      <c r="G6966" s="48"/>
      <c r="H6966" s="48"/>
      <c r="I6966" s="48"/>
      <c r="J6966" s="48"/>
      <c r="L6966" s="65"/>
    </row>
    <row r="6967" spans="5:12">
      <c r="E6967" s="49">
        <v>45072.878472199052</v>
      </c>
      <c r="F6967" s="56">
        <v>17.987988521614117</v>
      </c>
      <c r="G6967" s="48"/>
      <c r="H6967" s="48"/>
      <c r="I6967" s="48"/>
      <c r="J6967" s="48"/>
      <c r="L6967" s="65"/>
    </row>
    <row r="6968" spans="5:12">
      <c r="E6968" s="49">
        <v>45072.881944421271</v>
      </c>
      <c r="F6968" s="56">
        <v>17.987988521614117</v>
      </c>
      <c r="G6968" s="48"/>
      <c r="H6968" s="48"/>
      <c r="I6968" s="48"/>
      <c r="J6968" s="48"/>
      <c r="L6968" s="65"/>
    </row>
    <row r="6969" spans="5:12">
      <c r="E6969" s="49">
        <v>45072.88541664349</v>
      </c>
      <c r="F6969" s="56">
        <v>17.987988521614117</v>
      </c>
      <c r="G6969" s="48"/>
      <c r="H6969" s="48"/>
      <c r="I6969" s="48"/>
      <c r="J6969" s="48"/>
      <c r="L6969" s="65"/>
    </row>
    <row r="6970" spans="5:12">
      <c r="E6970" s="49">
        <v>45072.888888865709</v>
      </c>
      <c r="F6970" s="56">
        <v>17.987988521614117</v>
      </c>
      <c r="G6970" s="48"/>
      <c r="H6970" s="48"/>
      <c r="I6970" s="48"/>
      <c r="J6970" s="48"/>
      <c r="L6970" s="65"/>
    </row>
    <row r="6971" spans="5:12">
      <c r="E6971" s="49">
        <v>45072.892361087928</v>
      </c>
      <c r="F6971" s="56">
        <v>17.987988521614117</v>
      </c>
      <c r="G6971" s="48"/>
      <c r="H6971" s="48"/>
      <c r="I6971" s="48"/>
      <c r="J6971" s="48"/>
      <c r="L6971" s="65"/>
    </row>
    <row r="6972" spans="5:12">
      <c r="E6972" s="49">
        <v>45072.895833310147</v>
      </c>
      <c r="F6972" s="56">
        <v>17.987988521614117</v>
      </c>
      <c r="G6972" s="48"/>
      <c r="H6972" s="48"/>
      <c r="I6972" s="48"/>
      <c r="J6972" s="48"/>
      <c r="L6972" s="65"/>
    </row>
    <row r="6973" spans="5:12">
      <c r="E6973" s="49">
        <v>45072.899305532366</v>
      </c>
      <c r="F6973" s="56">
        <v>17.987988521614117</v>
      </c>
      <c r="G6973" s="48"/>
      <c r="H6973" s="48"/>
      <c r="I6973" s="48"/>
      <c r="J6973" s="48"/>
      <c r="L6973" s="65"/>
    </row>
    <row r="6974" spans="5:12">
      <c r="E6974" s="49">
        <v>45072.902777754585</v>
      </c>
      <c r="F6974" s="56">
        <v>17.987988521614117</v>
      </c>
      <c r="G6974" s="48"/>
      <c r="H6974" s="48"/>
      <c r="I6974" s="48"/>
      <c r="J6974" s="48"/>
      <c r="L6974" s="65"/>
    </row>
    <row r="6975" spans="5:12">
      <c r="E6975" s="49">
        <v>45072.906249976804</v>
      </c>
      <c r="F6975" s="56">
        <v>17.987988521614117</v>
      </c>
      <c r="G6975" s="48"/>
      <c r="H6975" s="48"/>
      <c r="I6975" s="48"/>
      <c r="J6975" s="48"/>
      <c r="L6975" s="65"/>
    </row>
    <row r="6976" spans="5:12">
      <c r="E6976" s="49">
        <v>45072.909722199023</v>
      </c>
      <c r="F6976" s="56">
        <v>17.987988521614117</v>
      </c>
      <c r="G6976" s="48"/>
      <c r="H6976" s="48"/>
      <c r="I6976" s="48"/>
      <c r="J6976" s="48"/>
      <c r="L6976" s="65"/>
    </row>
    <row r="6977" spans="5:12">
      <c r="E6977" s="49">
        <v>45072.913194421242</v>
      </c>
      <c r="F6977" s="56">
        <v>17.987988521614117</v>
      </c>
      <c r="G6977" s="48"/>
      <c r="H6977" s="48"/>
      <c r="I6977" s="48"/>
      <c r="J6977" s="48"/>
      <c r="L6977" s="65"/>
    </row>
    <row r="6978" spans="5:12">
      <c r="E6978" s="49">
        <v>45072.916666643461</v>
      </c>
      <c r="F6978" s="56">
        <v>17.987988521614117</v>
      </c>
      <c r="G6978" s="48"/>
      <c r="H6978" s="48"/>
      <c r="I6978" s="48"/>
      <c r="J6978" s="48"/>
      <c r="L6978" s="65"/>
    </row>
    <row r="6979" spans="5:12">
      <c r="E6979" s="49">
        <v>45072.92013886568</v>
      </c>
      <c r="F6979" s="56">
        <v>17.987988521614117</v>
      </c>
      <c r="G6979" s="48"/>
      <c r="H6979" s="48"/>
      <c r="I6979" s="48"/>
      <c r="J6979" s="48"/>
      <c r="L6979" s="65"/>
    </row>
    <row r="6980" spans="5:12">
      <c r="E6980" s="49">
        <v>45072.923611087899</v>
      </c>
      <c r="F6980" s="56">
        <v>17.987988521614117</v>
      </c>
      <c r="G6980" s="48"/>
      <c r="H6980" s="48"/>
      <c r="I6980" s="48"/>
      <c r="J6980" s="48"/>
      <c r="L6980" s="65"/>
    </row>
    <row r="6981" spans="5:12">
      <c r="E6981" s="49">
        <v>45072.927083310118</v>
      </c>
      <c r="F6981" s="56">
        <v>17.987988521614117</v>
      </c>
      <c r="G6981" s="48"/>
      <c r="H6981" s="48"/>
      <c r="I6981" s="48"/>
      <c r="J6981" s="48"/>
      <c r="L6981" s="65"/>
    </row>
    <row r="6982" spans="5:12">
      <c r="E6982" s="49">
        <v>45072.930555532337</v>
      </c>
      <c r="F6982" s="56">
        <v>17.987988521614117</v>
      </c>
      <c r="G6982" s="48"/>
      <c r="H6982" s="48"/>
      <c r="I6982" s="48"/>
      <c r="J6982" s="48"/>
      <c r="L6982" s="65"/>
    </row>
    <row r="6983" spans="5:12">
      <c r="E6983" s="49">
        <v>45072.934027754556</v>
      </c>
      <c r="F6983" s="56">
        <v>17.987988521614117</v>
      </c>
      <c r="G6983" s="48"/>
      <c r="H6983" s="48"/>
      <c r="I6983" s="48"/>
      <c r="J6983" s="48"/>
      <c r="L6983" s="65"/>
    </row>
    <row r="6984" spans="5:12">
      <c r="E6984" s="49">
        <v>45072.937499976775</v>
      </c>
      <c r="F6984" s="56">
        <v>17.987988521614117</v>
      </c>
      <c r="G6984" s="48"/>
      <c r="H6984" s="48"/>
      <c r="I6984" s="48"/>
      <c r="J6984" s="48"/>
      <c r="L6984" s="65"/>
    </row>
    <row r="6985" spans="5:12">
      <c r="E6985" s="49">
        <v>45072.940972198994</v>
      </c>
      <c r="F6985" s="56">
        <v>17.987988521614117</v>
      </c>
      <c r="G6985" s="48"/>
      <c r="H6985" s="48"/>
      <c r="I6985" s="48"/>
      <c r="J6985" s="48"/>
      <c r="L6985" s="65"/>
    </row>
    <row r="6986" spans="5:12">
      <c r="E6986" s="49">
        <v>45072.944444421213</v>
      </c>
      <c r="F6986" s="56">
        <v>17.987988521614117</v>
      </c>
      <c r="G6986" s="48"/>
      <c r="H6986" s="48"/>
      <c r="I6986" s="48"/>
      <c r="J6986" s="48"/>
      <c r="L6986" s="65"/>
    </row>
    <row r="6987" spans="5:12">
      <c r="E6987" s="49">
        <v>45072.947916643432</v>
      </c>
      <c r="F6987" s="56">
        <v>17.987988521614117</v>
      </c>
      <c r="G6987" s="48"/>
      <c r="H6987" s="48"/>
      <c r="I6987" s="48"/>
      <c r="J6987" s="48"/>
      <c r="L6987" s="65"/>
    </row>
    <row r="6988" spans="5:12">
      <c r="E6988" s="49">
        <v>45072.951388865651</v>
      </c>
      <c r="F6988" s="56">
        <v>17.987988521614117</v>
      </c>
      <c r="G6988" s="48"/>
      <c r="H6988" s="48"/>
      <c r="I6988" s="48"/>
      <c r="J6988" s="48"/>
      <c r="L6988" s="65"/>
    </row>
    <row r="6989" spans="5:12">
      <c r="E6989" s="49">
        <v>45072.95486108787</v>
      </c>
      <c r="F6989" s="56">
        <v>17.987988521614117</v>
      </c>
      <c r="G6989" s="48"/>
      <c r="H6989" s="48"/>
      <c r="I6989" s="48"/>
      <c r="J6989" s="48"/>
      <c r="L6989" s="65"/>
    </row>
    <row r="6990" spans="5:12">
      <c r="E6990" s="49">
        <v>45072.958333310089</v>
      </c>
      <c r="F6990" s="56">
        <v>17.987988521614117</v>
      </c>
      <c r="G6990" s="48"/>
      <c r="H6990" s="48"/>
      <c r="I6990" s="48"/>
      <c r="J6990" s="48"/>
      <c r="L6990" s="65"/>
    </row>
    <row r="6991" spans="5:12">
      <c r="E6991" s="49">
        <v>45072.961805532308</v>
      </c>
      <c r="F6991" s="56">
        <v>17.987988521614117</v>
      </c>
      <c r="G6991" s="48"/>
      <c r="H6991" s="48"/>
      <c r="I6991" s="48"/>
      <c r="J6991" s="48"/>
      <c r="L6991" s="65"/>
    </row>
    <row r="6992" spans="5:12">
      <c r="E6992" s="49">
        <v>45072.965277754527</v>
      </c>
      <c r="F6992" s="56">
        <v>17.987988521614117</v>
      </c>
      <c r="G6992" s="48"/>
      <c r="H6992" s="48"/>
      <c r="I6992" s="48"/>
      <c r="J6992" s="48"/>
      <c r="L6992" s="65"/>
    </row>
    <row r="6993" spans="5:12">
      <c r="E6993" s="49">
        <v>45072.968749976746</v>
      </c>
      <c r="F6993" s="56">
        <v>17.987988521614117</v>
      </c>
      <c r="G6993" s="48"/>
      <c r="H6993" s="48"/>
      <c r="I6993" s="48"/>
      <c r="J6993" s="48"/>
      <c r="L6993" s="65"/>
    </row>
    <row r="6994" spans="5:12">
      <c r="E6994" s="49">
        <v>45072.972222198965</v>
      </c>
      <c r="F6994" s="56">
        <v>17.987988521614117</v>
      </c>
      <c r="G6994" s="48"/>
      <c r="H6994" s="48"/>
      <c r="I6994" s="48"/>
      <c r="J6994" s="48"/>
      <c r="L6994" s="65"/>
    </row>
    <row r="6995" spans="5:12">
      <c r="E6995" s="49">
        <v>45072.975694421184</v>
      </c>
      <c r="F6995" s="56">
        <v>17.987988521614117</v>
      </c>
      <c r="G6995" s="48"/>
      <c r="H6995" s="48"/>
      <c r="I6995" s="48"/>
      <c r="J6995" s="48"/>
      <c r="L6995" s="65"/>
    </row>
    <row r="6996" spans="5:12">
      <c r="E6996" s="49">
        <v>45072.979166643403</v>
      </c>
      <c r="F6996" s="56">
        <v>17.987988521614117</v>
      </c>
      <c r="G6996" s="48"/>
      <c r="H6996" s="48"/>
      <c r="I6996" s="48"/>
      <c r="J6996" s="48"/>
      <c r="L6996" s="65"/>
    </row>
    <row r="6997" spans="5:12">
      <c r="E6997" s="49">
        <v>45072.982638865622</v>
      </c>
      <c r="F6997" s="56">
        <v>17.987988521614117</v>
      </c>
      <c r="G6997" s="48"/>
      <c r="H6997" s="48"/>
      <c r="I6997" s="48"/>
      <c r="J6997" s="48"/>
      <c r="L6997" s="65"/>
    </row>
    <row r="6998" spans="5:12">
      <c r="E6998" s="49">
        <v>45072.986111087841</v>
      </c>
      <c r="F6998" s="56">
        <v>17.987988521614117</v>
      </c>
      <c r="G6998" s="48"/>
      <c r="H6998" s="48"/>
      <c r="I6998" s="48"/>
      <c r="J6998" s="48"/>
      <c r="L6998" s="65"/>
    </row>
    <row r="6999" spans="5:12">
      <c r="E6999" s="49">
        <v>45072.98958331006</v>
      </c>
      <c r="F6999" s="56">
        <v>17.987988521614117</v>
      </c>
      <c r="G6999" s="48"/>
      <c r="H6999" s="48"/>
      <c r="I6999" s="48"/>
      <c r="J6999" s="48"/>
      <c r="L6999" s="65"/>
    </row>
    <row r="7000" spans="5:12">
      <c r="E7000" s="49">
        <v>45072.993055532279</v>
      </c>
      <c r="F7000" s="56">
        <v>17.987988521614117</v>
      </c>
      <c r="G7000" s="48"/>
      <c r="H7000" s="48"/>
      <c r="I7000" s="48"/>
      <c r="J7000" s="48"/>
      <c r="L7000" s="65"/>
    </row>
    <row r="7001" spans="5:12">
      <c r="E7001" s="49">
        <v>45072.996527754498</v>
      </c>
      <c r="F7001" s="56">
        <v>17.987988521614117</v>
      </c>
      <c r="G7001" s="48"/>
      <c r="H7001" s="48"/>
      <c r="I7001" s="48"/>
      <c r="J7001" s="48"/>
      <c r="L7001" s="65"/>
    </row>
    <row r="7002" spans="5:12">
      <c r="E7002" s="49">
        <v>45072.999999976717</v>
      </c>
      <c r="F7002" s="56">
        <v>17.987988521614117</v>
      </c>
      <c r="G7002" s="48"/>
      <c r="H7002" s="48"/>
      <c r="I7002" s="48"/>
      <c r="J7002" s="48"/>
      <c r="L7002" s="65"/>
    </row>
    <row r="7003" spans="5:12">
      <c r="E7003" s="49">
        <v>45073.003472198936</v>
      </c>
      <c r="F7003" s="56">
        <v>17.987988521614117</v>
      </c>
      <c r="G7003" s="48"/>
      <c r="H7003" s="48"/>
      <c r="I7003" s="48"/>
      <c r="J7003" s="48"/>
      <c r="L7003" s="65"/>
    </row>
    <row r="7004" spans="5:12">
      <c r="E7004" s="49">
        <v>45073.006944421155</v>
      </c>
      <c r="F7004" s="56">
        <v>17.987988521614117</v>
      </c>
      <c r="G7004" s="48"/>
      <c r="H7004" s="48"/>
      <c r="I7004" s="48"/>
      <c r="J7004" s="48"/>
      <c r="L7004" s="65"/>
    </row>
    <row r="7005" spans="5:12">
      <c r="E7005" s="49">
        <v>45073.010416643374</v>
      </c>
      <c r="F7005" s="56">
        <v>17.987988521614117</v>
      </c>
      <c r="G7005" s="48"/>
      <c r="H7005" s="48"/>
      <c r="I7005" s="48"/>
      <c r="J7005" s="48"/>
      <c r="L7005" s="65"/>
    </row>
    <row r="7006" spans="5:12">
      <c r="E7006" s="49">
        <v>45073.013888865593</v>
      </c>
      <c r="F7006" s="56">
        <v>17.987988521614117</v>
      </c>
      <c r="G7006" s="48"/>
      <c r="H7006" s="48"/>
      <c r="I7006" s="48"/>
      <c r="J7006" s="48"/>
      <c r="L7006" s="65"/>
    </row>
    <row r="7007" spans="5:12">
      <c r="E7007" s="49">
        <v>45073.017361087812</v>
      </c>
      <c r="F7007" s="56">
        <v>17.987988521614117</v>
      </c>
      <c r="G7007" s="48"/>
      <c r="H7007" s="48"/>
      <c r="I7007" s="48"/>
      <c r="J7007" s="48"/>
      <c r="L7007" s="65"/>
    </row>
    <row r="7008" spans="5:12">
      <c r="E7008" s="49">
        <v>45073.020833310031</v>
      </c>
      <c r="F7008" s="56">
        <v>17.987988521614117</v>
      </c>
      <c r="G7008" s="48"/>
      <c r="H7008" s="48"/>
      <c r="I7008" s="48"/>
      <c r="J7008" s="48"/>
      <c r="L7008" s="65"/>
    </row>
    <row r="7009" spans="5:12">
      <c r="E7009" s="49">
        <v>45073.02430553225</v>
      </c>
      <c r="F7009" s="56">
        <v>17.987988521614117</v>
      </c>
      <c r="G7009" s="48"/>
      <c r="H7009" s="48"/>
      <c r="I7009" s="48"/>
      <c r="J7009" s="48"/>
      <c r="L7009" s="65"/>
    </row>
    <row r="7010" spans="5:12">
      <c r="E7010" s="49">
        <v>45073.027777754469</v>
      </c>
      <c r="F7010" s="56">
        <v>17.987988521614117</v>
      </c>
      <c r="G7010" s="48"/>
      <c r="H7010" s="48"/>
      <c r="I7010" s="48"/>
      <c r="J7010" s="48"/>
      <c r="L7010" s="65"/>
    </row>
    <row r="7011" spans="5:12">
      <c r="E7011" s="49">
        <v>45073.031249976688</v>
      </c>
      <c r="F7011" s="56">
        <v>17.987988521614117</v>
      </c>
      <c r="G7011" s="48"/>
      <c r="H7011" s="48"/>
      <c r="I7011" s="48"/>
      <c r="J7011" s="48"/>
      <c r="L7011" s="65"/>
    </row>
    <row r="7012" spans="5:12">
      <c r="E7012" s="49">
        <v>45073.034722198907</v>
      </c>
      <c r="F7012" s="56">
        <v>17.987988521614117</v>
      </c>
      <c r="G7012" s="48"/>
      <c r="H7012" s="48"/>
      <c r="I7012" s="48"/>
      <c r="J7012" s="48"/>
      <c r="L7012" s="65"/>
    </row>
    <row r="7013" spans="5:12">
      <c r="E7013" s="49">
        <v>45073.038194421126</v>
      </c>
      <c r="F7013" s="56">
        <v>17.987988521614117</v>
      </c>
      <c r="G7013" s="48"/>
      <c r="H7013" s="48"/>
      <c r="I7013" s="48"/>
      <c r="J7013" s="48"/>
      <c r="L7013" s="65"/>
    </row>
    <row r="7014" spans="5:12">
      <c r="E7014" s="49">
        <v>45073.041666643345</v>
      </c>
      <c r="F7014" s="56">
        <v>17.987988521614117</v>
      </c>
      <c r="G7014" s="48"/>
      <c r="H7014" s="48"/>
      <c r="I7014" s="48"/>
      <c r="J7014" s="48"/>
      <c r="L7014" s="65"/>
    </row>
    <row r="7015" spans="5:12">
      <c r="E7015" s="49">
        <v>45073.045138865564</v>
      </c>
      <c r="F7015" s="56">
        <v>17.987988521614117</v>
      </c>
      <c r="G7015" s="48"/>
      <c r="H7015" s="48"/>
      <c r="I7015" s="48"/>
      <c r="J7015" s="48"/>
      <c r="L7015" s="65"/>
    </row>
    <row r="7016" spans="5:12">
      <c r="E7016" s="49">
        <v>45073.048611087783</v>
      </c>
      <c r="F7016" s="56">
        <v>17.987988521614117</v>
      </c>
      <c r="G7016" s="48"/>
      <c r="H7016" s="48"/>
      <c r="I7016" s="48"/>
      <c r="J7016" s="48"/>
      <c r="L7016" s="65"/>
    </row>
    <row r="7017" spans="5:12">
      <c r="E7017" s="49">
        <v>45073.052083310002</v>
      </c>
      <c r="F7017" s="56">
        <v>17.987988521614117</v>
      </c>
      <c r="G7017" s="48"/>
      <c r="H7017" s="48"/>
      <c r="I7017" s="48"/>
      <c r="J7017" s="48"/>
      <c r="L7017" s="65"/>
    </row>
    <row r="7018" spans="5:12">
      <c r="E7018" s="49">
        <v>45073.055555532221</v>
      </c>
      <c r="F7018" s="56">
        <v>17.987988521614117</v>
      </c>
      <c r="G7018" s="48"/>
      <c r="H7018" s="48"/>
      <c r="I7018" s="48"/>
      <c r="J7018" s="48"/>
      <c r="L7018" s="65"/>
    </row>
    <row r="7019" spans="5:12">
      <c r="E7019" s="49">
        <v>45073.05902775444</v>
      </c>
      <c r="F7019" s="56">
        <v>17.987988521614117</v>
      </c>
      <c r="G7019" s="48"/>
      <c r="H7019" s="48"/>
      <c r="I7019" s="48"/>
      <c r="J7019" s="48"/>
      <c r="L7019" s="65"/>
    </row>
    <row r="7020" spans="5:12">
      <c r="E7020" s="49">
        <v>45073.062499976659</v>
      </c>
      <c r="F7020" s="56">
        <v>17.987988521614117</v>
      </c>
      <c r="G7020" s="48"/>
      <c r="H7020" s="48"/>
      <c r="I7020" s="48"/>
      <c r="J7020" s="48"/>
      <c r="L7020" s="65"/>
    </row>
    <row r="7021" spans="5:12">
      <c r="E7021" s="49">
        <v>45073.065972198878</v>
      </c>
      <c r="F7021" s="56">
        <v>17.987988521614117</v>
      </c>
      <c r="G7021" s="48"/>
      <c r="H7021" s="48"/>
      <c r="I7021" s="48"/>
      <c r="J7021" s="48"/>
      <c r="L7021" s="65"/>
    </row>
    <row r="7022" spans="5:12">
      <c r="E7022" s="49">
        <v>45073.069444421097</v>
      </c>
      <c r="F7022" s="56">
        <v>17.987988521614117</v>
      </c>
      <c r="G7022" s="48"/>
      <c r="H7022" s="48"/>
      <c r="I7022" s="48"/>
      <c r="J7022" s="48"/>
      <c r="L7022" s="65"/>
    </row>
    <row r="7023" spans="5:12">
      <c r="E7023" s="49">
        <v>45073.072916643316</v>
      </c>
      <c r="F7023" s="56">
        <v>17.987988521614117</v>
      </c>
      <c r="G7023" s="48"/>
      <c r="H7023" s="48"/>
      <c r="I7023" s="48"/>
      <c r="J7023" s="48"/>
      <c r="L7023" s="65"/>
    </row>
    <row r="7024" spans="5:12">
      <c r="E7024" s="49">
        <v>45073.076388865535</v>
      </c>
      <c r="F7024" s="56">
        <v>17.987988521614117</v>
      </c>
      <c r="G7024" s="48"/>
      <c r="H7024" s="48"/>
      <c r="I7024" s="48"/>
      <c r="J7024" s="48"/>
      <c r="L7024" s="65"/>
    </row>
    <row r="7025" spans="5:12">
      <c r="E7025" s="49">
        <v>45073.079861087754</v>
      </c>
      <c r="F7025" s="56">
        <v>17.987988521614117</v>
      </c>
      <c r="G7025" s="48"/>
      <c r="H7025" s="48"/>
      <c r="I7025" s="48"/>
      <c r="J7025" s="48"/>
      <c r="L7025" s="65"/>
    </row>
    <row r="7026" spans="5:12">
      <c r="E7026" s="49">
        <v>45073.083333309973</v>
      </c>
      <c r="F7026" s="56">
        <v>17.987988521614117</v>
      </c>
      <c r="G7026" s="48"/>
      <c r="H7026" s="48"/>
      <c r="I7026" s="48"/>
      <c r="J7026" s="48"/>
      <c r="L7026" s="65"/>
    </row>
    <row r="7027" spans="5:12">
      <c r="E7027" s="49">
        <v>45073.086805532192</v>
      </c>
      <c r="F7027" s="56">
        <v>17.987988521614117</v>
      </c>
      <c r="G7027" s="48"/>
      <c r="H7027" s="48"/>
      <c r="I7027" s="48"/>
      <c r="J7027" s="48"/>
      <c r="L7027" s="65"/>
    </row>
    <row r="7028" spans="5:12">
      <c r="E7028" s="49">
        <v>45073.090277754411</v>
      </c>
      <c r="F7028" s="56">
        <v>17.987988521614117</v>
      </c>
      <c r="G7028" s="48"/>
      <c r="H7028" s="48"/>
      <c r="I7028" s="48"/>
      <c r="J7028" s="48"/>
      <c r="L7028" s="65"/>
    </row>
    <row r="7029" spans="5:12">
      <c r="E7029" s="49">
        <v>45073.09374997663</v>
      </c>
      <c r="F7029" s="56">
        <v>17.987988521614117</v>
      </c>
      <c r="G7029" s="48"/>
      <c r="H7029" s="48"/>
      <c r="I7029" s="48"/>
      <c r="J7029" s="48"/>
      <c r="L7029" s="65"/>
    </row>
    <row r="7030" spans="5:12">
      <c r="E7030" s="49">
        <v>45073.097222198849</v>
      </c>
      <c r="F7030" s="56">
        <v>17.987988521614117</v>
      </c>
      <c r="G7030" s="48"/>
      <c r="H7030" s="48"/>
      <c r="I7030" s="48"/>
      <c r="J7030" s="48"/>
      <c r="L7030" s="65"/>
    </row>
    <row r="7031" spans="5:12">
      <c r="E7031" s="49">
        <v>45073.100694421068</v>
      </c>
      <c r="F7031" s="56">
        <v>17.987988521614117</v>
      </c>
      <c r="G7031" s="48"/>
      <c r="H7031" s="48"/>
      <c r="I7031" s="48"/>
      <c r="J7031" s="48"/>
      <c r="L7031" s="65"/>
    </row>
    <row r="7032" spans="5:12">
      <c r="E7032" s="49">
        <v>45073.104166643287</v>
      </c>
      <c r="F7032" s="56">
        <v>17.987988521614117</v>
      </c>
      <c r="G7032" s="48"/>
      <c r="H7032" s="48"/>
      <c r="I7032" s="48"/>
      <c r="J7032" s="48"/>
      <c r="L7032" s="65"/>
    </row>
    <row r="7033" spans="5:12">
      <c r="E7033" s="49">
        <v>45073.107638865506</v>
      </c>
      <c r="F7033" s="56">
        <v>17.987988521614117</v>
      </c>
      <c r="G7033" s="48"/>
      <c r="H7033" s="48"/>
      <c r="I7033" s="48"/>
      <c r="J7033" s="48"/>
      <c r="L7033" s="65"/>
    </row>
    <row r="7034" spans="5:12">
      <c r="E7034" s="49">
        <v>45073.111111087725</v>
      </c>
      <c r="F7034" s="56">
        <v>17.987988521614117</v>
      </c>
      <c r="G7034" s="48"/>
      <c r="H7034" s="48"/>
      <c r="I7034" s="48"/>
      <c r="J7034" s="48"/>
      <c r="L7034" s="65"/>
    </row>
    <row r="7035" spans="5:12">
      <c r="E7035" s="49">
        <v>45073.114583309944</v>
      </c>
      <c r="F7035" s="56">
        <v>17.987988521614117</v>
      </c>
      <c r="G7035" s="48"/>
      <c r="H7035" s="48"/>
      <c r="I7035" s="48"/>
      <c r="J7035" s="48"/>
      <c r="L7035" s="65"/>
    </row>
    <row r="7036" spans="5:12">
      <c r="E7036" s="49">
        <v>45073.118055532163</v>
      </c>
      <c r="F7036" s="56">
        <v>17.987988521614117</v>
      </c>
      <c r="G7036" s="48"/>
      <c r="H7036" s="48"/>
      <c r="I7036" s="48"/>
      <c r="J7036" s="48"/>
      <c r="L7036" s="65"/>
    </row>
    <row r="7037" spans="5:12">
      <c r="E7037" s="49">
        <v>45073.121527754382</v>
      </c>
      <c r="F7037" s="56">
        <v>17.987988521614117</v>
      </c>
      <c r="G7037" s="48"/>
      <c r="H7037" s="48"/>
      <c r="I7037" s="48"/>
      <c r="J7037" s="48"/>
      <c r="L7037" s="65"/>
    </row>
    <row r="7038" spans="5:12">
      <c r="E7038" s="49">
        <v>45073.124999976601</v>
      </c>
      <c r="F7038" s="56">
        <v>17.987988521614117</v>
      </c>
      <c r="G7038" s="48"/>
      <c r="H7038" s="48"/>
      <c r="I7038" s="48"/>
      <c r="J7038" s="48"/>
      <c r="L7038" s="65"/>
    </row>
    <row r="7039" spans="5:12">
      <c r="E7039" s="49">
        <v>45073.12847219882</v>
      </c>
      <c r="F7039" s="56">
        <v>17.987988521614117</v>
      </c>
      <c r="G7039" s="48"/>
      <c r="H7039" s="48"/>
      <c r="I7039" s="48"/>
      <c r="J7039" s="48"/>
      <c r="L7039" s="65"/>
    </row>
    <row r="7040" spans="5:12">
      <c r="E7040" s="49">
        <v>45073.131944421038</v>
      </c>
      <c r="F7040" s="56">
        <v>17.987988521614117</v>
      </c>
      <c r="G7040" s="48"/>
      <c r="H7040" s="48"/>
      <c r="I7040" s="48"/>
      <c r="J7040" s="48"/>
      <c r="L7040" s="65"/>
    </row>
    <row r="7041" spans="5:12">
      <c r="E7041" s="49">
        <v>45073.135416643257</v>
      </c>
      <c r="F7041" s="56">
        <v>17.987988521614117</v>
      </c>
      <c r="G7041" s="48"/>
      <c r="H7041" s="48"/>
      <c r="I7041" s="48"/>
      <c r="J7041" s="48"/>
      <c r="L7041" s="65"/>
    </row>
    <row r="7042" spans="5:12">
      <c r="E7042" s="49">
        <v>45073.138888865476</v>
      </c>
      <c r="F7042" s="56">
        <v>17.987988521614117</v>
      </c>
      <c r="G7042" s="48"/>
      <c r="H7042" s="48"/>
      <c r="I7042" s="48"/>
      <c r="J7042" s="48"/>
      <c r="L7042" s="65"/>
    </row>
    <row r="7043" spans="5:12">
      <c r="E7043" s="49">
        <v>45073.142361087695</v>
      </c>
      <c r="F7043" s="56">
        <v>17.987988521614117</v>
      </c>
      <c r="G7043" s="48"/>
      <c r="H7043" s="48"/>
      <c r="I7043" s="48"/>
      <c r="J7043" s="48"/>
      <c r="L7043" s="65"/>
    </row>
    <row r="7044" spans="5:12">
      <c r="E7044" s="49">
        <v>45073.145833309914</v>
      </c>
      <c r="F7044" s="56">
        <v>17.987988521614117</v>
      </c>
      <c r="G7044" s="48"/>
      <c r="H7044" s="48"/>
      <c r="I7044" s="48"/>
      <c r="J7044" s="48"/>
      <c r="L7044" s="65"/>
    </row>
    <row r="7045" spans="5:12">
      <c r="E7045" s="49">
        <v>45073.149305532133</v>
      </c>
      <c r="F7045" s="56">
        <v>17.987988521614117</v>
      </c>
      <c r="G7045" s="48"/>
      <c r="H7045" s="48"/>
      <c r="I7045" s="48"/>
      <c r="J7045" s="48"/>
      <c r="L7045" s="65"/>
    </row>
    <row r="7046" spans="5:12">
      <c r="E7046" s="49">
        <v>45073.152777754352</v>
      </c>
      <c r="F7046" s="56">
        <v>17.987988521614117</v>
      </c>
      <c r="G7046" s="48"/>
      <c r="H7046" s="48"/>
      <c r="I7046" s="48"/>
      <c r="J7046" s="48"/>
      <c r="L7046" s="65"/>
    </row>
    <row r="7047" spans="5:12">
      <c r="E7047" s="49">
        <v>45073.156249976571</v>
      </c>
      <c r="F7047" s="56">
        <v>17.987988521614117</v>
      </c>
      <c r="G7047" s="48"/>
      <c r="H7047" s="48"/>
      <c r="I7047" s="48"/>
      <c r="J7047" s="48"/>
      <c r="L7047" s="65"/>
    </row>
    <row r="7048" spans="5:12">
      <c r="E7048" s="49">
        <v>45073.15972219879</v>
      </c>
      <c r="F7048" s="56">
        <v>17.987988521614117</v>
      </c>
      <c r="G7048" s="48"/>
      <c r="H7048" s="48"/>
      <c r="I7048" s="48"/>
      <c r="J7048" s="48"/>
      <c r="L7048" s="65"/>
    </row>
    <row r="7049" spans="5:12">
      <c r="E7049" s="49">
        <v>45073.163194421009</v>
      </c>
      <c r="F7049" s="56">
        <v>17.987988521614117</v>
      </c>
      <c r="G7049" s="48"/>
      <c r="H7049" s="48"/>
      <c r="I7049" s="48"/>
      <c r="J7049" s="48"/>
      <c r="L7049" s="65"/>
    </row>
    <row r="7050" spans="5:12">
      <c r="E7050" s="49">
        <v>45073.166666643228</v>
      </c>
      <c r="F7050" s="56">
        <v>17.987988521614117</v>
      </c>
      <c r="G7050" s="48"/>
      <c r="H7050" s="48"/>
      <c r="I7050" s="48"/>
      <c r="J7050" s="48"/>
      <c r="L7050" s="65"/>
    </row>
    <row r="7051" spans="5:12">
      <c r="E7051" s="49">
        <v>45073.170138865447</v>
      </c>
      <c r="F7051" s="56">
        <v>17.987988521614117</v>
      </c>
      <c r="G7051" s="48"/>
      <c r="H7051" s="48"/>
      <c r="I7051" s="48"/>
      <c r="J7051" s="48"/>
      <c r="L7051" s="65"/>
    </row>
    <row r="7052" spans="5:12">
      <c r="E7052" s="49">
        <v>45073.173611087666</v>
      </c>
      <c r="F7052" s="56">
        <v>17.987988521614117</v>
      </c>
      <c r="G7052" s="48"/>
      <c r="H7052" s="48"/>
      <c r="I7052" s="48"/>
      <c r="J7052" s="48"/>
      <c r="L7052" s="65"/>
    </row>
    <row r="7053" spans="5:12">
      <c r="E7053" s="49">
        <v>45073.177083309885</v>
      </c>
      <c r="F7053" s="56">
        <v>17.987988521614117</v>
      </c>
      <c r="G7053" s="48"/>
      <c r="H7053" s="48"/>
      <c r="I7053" s="48"/>
      <c r="J7053" s="48"/>
      <c r="L7053" s="65"/>
    </row>
    <row r="7054" spans="5:12">
      <c r="E7054" s="49">
        <v>45073.180555532104</v>
      </c>
      <c r="F7054" s="56">
        <v>17.987988521614117</v>
      </c>
      <c r="G7054" s="48"/>
      <c r="H7054" s="48"/>
      <c r="I7054" s="48"/>
      <c r="J7054" s="48"/>
      <c r="L7054" s="65"/>
    </row>
    <row r="7055" spans="5:12">
      <c r="E7055" s="49">
        <v>45073.184027754323</v>
      </c>
      <c r="F7055" s="56">
        <v>17.987988521614117</v>
      </c>
      <c r="G7055" s="48"/>
      <c r="H7055" s="48"/>
      <c r="I7055" s="48"/>
      <c r="J7055" s="48"/>
      <c r="L7055" s="65"/>
    </row>
    <row r="7056" spans="5:12">
      <c r="E7056" s="49">
        <v>45073.187499976542</v>
      </c>
      <c r="F7056" s="56">
        <v>17.987988521614117</v>
      </c>
      <c r="G7056" s="48"/>
      <c r="H7056" s="48"/>
      <c r="I7056" s="48"/>
      <c r="J7056" s="48"/>
      <c r="L7056" s="65"/>
    </row>
    <row r="7057" spans="5:12">
      <c r="E7057" s="49">
        <v>45073.190972198761</v>
      </c>
      <c r="F7057" s="56">
        <v>17.987988521614117</v>
      </c>
      <c r="G7057" s="48"/>
      <c r="H7057" s="48"/>
      <c r="I7057" s="48"/>
      <c r="J7057" s="48"/>
      <c r="L7057" s="65"/>
    </row>
    <row r="7058" spans="5:12">
      <c r="E7058" s="49">
        <v>45073.19444442098</v>
      </c>
      <c r="F7058" s="56">
        <v>17.987988521614117</v>
      </c>
      <c r="G7058" s="48"/>
      <c r="H7058" s="48"/>
      <c r="I7058" s="48"/>
      <c r="J7058" s="48"/>
      <c r="L7058" s="65"/>
    </row>
    <row r="7059" spans="5:12">
      <c r="E7059" s="49">
        <v>45073.197916643199</v>
      </c>
      <c r="F7059" s="56">
        <v>17.987988521614117</v>
      </c>
      <c r="G7059" s="48"/>
      <c r="H7059" s="48"/>
      <c r="I7059" s="48"/>
      <c r="J7059" s="48"/>
      <c r="L7059" s="65"/>
    </row>
    <row r="7060" spans="5:12">
      <c r="E7060" s="49">
        <v>45073.201388865418</v>
      </c>
      <c r="F7060" s="56">
        <v>17.987988521614117</v>
      </c>
      <c r="G7060" s="48"/>
      <c r="H7060" s="48"/>
      <c r="I7060" s="48"/>
      <c r="J7060" s="48"/>
      <c r="L7060" s="65"/>
    </row>
    <row r="7061" spans="5:12">
      <c r="E7061" s="49">
        <v>45073.204861087637</v>
      </c>
      <c r="F7061" s="56">
        <v>17.987988521614117</v>
      </c>
      <c r="G7061" s="48"/>
      <c r="H7061" s="48"/>
      <c r="I7061" s="48"/>
      <c r="J7061" s="48"/>
      <c r="L7061" s="65"/>
    </row>
    <row r="7062" spans="5:12">
      <c r="E7062" s="49">
        <v>45073.208333309856</v>
      </c>
      <c r="F7062" s="56">
        <v>17.987988521614117</v>
      </c>
      <c r="G7062" s="48"/>
      <c r="H7062" s="48"/>
      <c r="I7062" s="48"/>
      <c r="J7062" s="48"/>
      <c r="L7062" s="65"/>
    </row>
    <row r="7063" spans="5:12">
      <c r="E7063" s="49">
        <v>45073.211805532075</v>
      </c>
      <c r="F7063" s="56">
        <v>17.987988521614117</v>
      </c>
      <c r="G7063" s="48"/>
      <c r="H7063" s="48"/>
      <c r="I7063" s="48"/>
      <c r="J7063" s="48"/>
      <c r="L7063" s="65"/>
    </row>
    <row r="7064" spans="5:12">
      <c r="E7064" s="49">
        <v>45073.215277754294</v>
      </c>
      <c r="F7064" s="56">
        <v>17.987988521614117</v>
      </c>
      <c r="G7064" s="48"/>
      <c r="H7064" s="48"/>
      <c r="I7064" s="48"/>
      <c r="J7064" s="48"/>
      <c r="L7064" s="65"/>
    </row>
    <row r="7065" spans="5:12">
      <c r="E7065" s="49">
        <v>45073.218749976513</v>
      </c>
      <c r="F7065" s="56">
        <v>17.987988521614117</v>
      </c>
      <c r="G7065" s="48"/>
      <c r="H7065" s="48"/>
      <c r="I7065" s="48"/>
      <c r="J7065" s="48"/>
      <c r="L7065" s="65"/>
    </row>
    <row r="7066" spans="5:12">
      <c r="E7066" s="49">
        <v>45073.222222198732</v>
      </c>
      <c r="F7066" s="56">
        <v>17.987988521614117</v>
      </c>
      <c r="G7066" s="48"/>
      <c r="H7066" s="48"/>
      <c r="I7066" s="48"/>
      <c r="J7066" s="48"/>
      <c r="L7066" s="65"/>
    </row>
    <row r="7067" spans="5:12">
      <c r="E7067" s="49">
        <v>45073.225694420951</v>
      </c>
      <c r="F7067" s="56">
        <v>17.987988521614117</v>
      </c>
      <c r="G7067" s="48"/>
      <c r="H7067" s="48"/>
      <c r="I7067" s="48"/>
      <c r="J7067" s="48"/>
      <c r="L7067" s="65"/>
    </row>
    <row r="7068" spans="5:12">
      <c r="E7068" s="49">
        <v>45073.22916664317</v>
      </c>
      <c r="F7068" s="56">
        <v>17.987988521614117</v>
      </c>
      <c r="G7068" s="48"/>
      <c r="H7068" s="48"/>
      <c r="I7068" s="48"/>
      <c r="J7068" s="48"/>
      <c r="L7068" s="65"/>
    </row>
    <row r="7069" spans="5:12">
      <c r="E7069" s="49">
        <v>45073.232638865389</v>
      </c>
      <c r="F7069" s="56">
        <v>17.987988521614117</v>
      </c>
      <c r="G7069" s="48"/>
      <c r="H7069" s="48"/>
      <c r="I7069" s="48"/>
      <c r="J7069" s="48"/>
      <c r="L7069" s="65"/>
    </row>
    <row r="7070" spans="5:12">
      <c r="E7070" s="49">
        <v>45073.236111087608</v>
      </c>
      <c r="F7070" s="56">
        <v>17.987988521614117</v>
      </c>
      <c r="G7070" s="48"/>
      <c r="H7070" s="48"/>
      <c r="I7070" s="48"/>
      <c r="J7070" s="48"/>
      <c r="L7070" s="65"/>
    </row>
    <row r="7071" spans="5:12">
      <c r="E7071" s="49">
        <v>45073.239583309827</v>
      </c>
      <c r="F7071" s="56">
        <v>17.987988521614117</v>
      </c>
      <c r="G7071" s="48"/>
      <c r="H7071" s="48"/>
      <c r="I7071" s="48"/>
      <c r="J7071" s="48"/>
      <c r="L7071" s="65"/>
    </row>
    <row r="7072" spans="5:12">
      <c r="E7072" s="49">
        <v>45073.243055532046</v>
      </c>
      <c r="F7072" s="56">
        <v>17.987988521614117</v>
      </c>
      <c r="G7072" s="48"/>
      <c r="H7072" s="48"/>
      <c r="I7072" s="48"/>
      <c r="J7072" s="48"/>
      <c r="L7072" s="65"/>
    </row>
    <row r="7073" spans="5:12">
      <c r="E7073" s="49">
        <v>45073.246527754265</v>
      </c>
      <c r="F7073" s="56">
        <v>17.987988521614117</v>
      </c>
      <c r="G7073" s="48"/>
      <c r="H7073" s="48"/>
      <c r="I7073" s="48"/>
      <c r="J7073" s="48"/>
      <c r="L7073" s="65"/>
    </row>
    <row r="7074" spans="5:12">
      <c r="E7074" s="49">
        <v>45073.249999976484</v>
      </c>
      <c r="F7074" s="56">
        <v>17.987988521614117</v>
      </c>
      <c r="G7074" s="48"/>
      <c r="H7074" s="48"/>
      <c r="I7074" s="48"/>
      <c r="J7074" s="48"/>
      <c r="L7074" s="65"/>
    </row>
    <row r="7075" spans="5:12">
      <c r="E7075" s="49">
        <v>45073.253472198703</v>
      </c>
      <c r="F7075" s="56">
        <v>17.987988521614117</v>
      </c>
      <c r="G7075" s="48"/>
      <c r="H7075" s="48"/>
      <c r="I7075" s="48"/>
      <c r="J7075" s="48"/>
      <c r="L7075" s="65"/>
    </row>
    <row r="7076" spans="5:12">
      <c r="E7076" s="49">
        <v>45073.256944420922</v>
      </c>
      <c r="F7076" s="56">
        <v>17.987988521614117</v>
      </c>
      <c r="G7076" s="48"/>
      <c r="H7076" s="48"/>
      <c r="I7076" s="48"/>
      <c r="J7076" s="48"/>
      <c r="L7076" s="65"/>
    </row>
    <row r="7077" spans="5:12">
      <c r="E7077" s="49">
        <v>45073.260416643141</v>
      </c>
      <c r="F7077" s="56">
        <v>17.987988521614117</v>
      </c>
      <c r="G7077" s="48"/>
      <c r="H7077" s="48"/>
      <c r="I7077" s="48"/>
      <c r="J7077" s="48"/>
      <c r="L7077" s="65"/>
    </row>
    <row r="7078" spans="5:12">
      <c r="E7078" s="49">
        <v>45073.26388886536</v>
      </c>
      <c r="F7078" s="56">
        <v>17.987988521614117</v>
      </c>
      <c r="G7078" s="48"/>
      <c r="H7078" s="48"/>
      <c r="I7078" s="48"/>
      <c r="J7078" s="48"/>
      <c r="L7078" s="65"/>
    </row>
    <row r="7079" spans="5:12">
      <c r="E7079" s="49">
        <v>45073.267361087579</v>
      </c>
      <c r="F7079" s="56">
        <v>17.987988521614117</v>
      </c>
      <c r="G7079" s="48"/>
      <c r="H7079" s="48"/>
      <c r="I7079" s="48"/>
      <c r="J7079" s="48"/>
      <c r="L7079" s="65"/>
    </row>
    <row r="7080" spans="5:12">
      <c r="E7080" s="49">
        <v>45073.270833309798</v>
      </c>
      <c r="F7080" s="56">
        <v>17.987988521614117</v>
      </c>
      <c r="G7080" s="48"/>
      <c r="H7080" s="48"/>
      <c r="I7080" s="48"/>
      <c r="J7080" s="48"/>
      <c r="L7080" s="65"/>
    </row>
    <row r="7081" spans="5:12">
      <c r="E7081" s="49">
        <v>45073.274305532017</v>
      </c>
      <c r="F7081" s="56">
        <v>17.987988521614117</v>
      </c>
      <c r="G7081" s="48"/>
      <c r="H7081" s="48"/>
      <c r="I7081" s="48"/>
      <c r="J7081" s="48"/>
      <c r="L7081" s="65"/>
    </row>
    <row r="7082" spans="5:12">
      <c r="E7082" s="49">
        <v>45073.277777754236</v>
      </c>
      <c r="F7082" s="56">
        <v>17.987988521614117</v>
      </c>
      <c r="G7082" s="48"/>
      <c r="H7082" s="48"/>
      <c r="I7082" s="48"/>
      <c r="J7082" s="48"/>
      <c r="L7082" s="65"/>
    </row>
    <row r="7083" spans="5:12">
      <c r="E7083" s="49">
        <v>45073.281249976455</v>
      </c>
      <c r="F7083" s="56">
        <v>17.987988521614117</v>
      </c>
      <c r="G7083" s="48"/>
      <c r="H7083" s="48"/>
      <c r="I7083" s="48"/>
      <c r="J7083" s="48"/>
      <c r="L7083" s="65"/>
    </row>
    <row r="7084" spans="5:12">
      <c r="E7084" s="49">
        <v>45073.284722198674</v>
      </c>
      <c r="F7084" s="56">
        <v>17.987988521614117</v>
      </c>
      <c r="G7084" s="48"/>
      <c r="H7084" s="48"/>
      <c r="I7084" s="48"/>
      <c r="J7084" s="48"/>
      <c r="L7084" s="65"/>
    </row>
    <row r="7085" spans="5:12">
      <c r="E7085" s="49">
        <v>45073.288194420893</v>
      </c>
      <c r="F7085" s="56">
        <v>17.987988521614117</v>
      </c>
      <c r="G7085" s="48"/>
      <c r="H7085" s="48"/>
      <c r="I7085" s="48"/>
      <c r="J7085" s="48"/>
      <c r="L7085" s="65"/>
    </row>
    <row r="7086" spans="5:12">
      <c r="E7086" s="49">
        <v>45073.291666643112</v>
      </c>
      <c r="F7086" s="56">
        <v>17.987988521614117</v>
      </c>
      <c r="G7086" s="48"/>
      <c r="H7086" s="48"/>
      <c r="I7086" s="48"/>
      <c r="J7086" s="48"/>
      <c r="L7086" s="65"/>
    </row>
    <row r="7087" spans="5:12">
      <c r="E7087" s="49">
        <v>45073.295138865331</v>
      </c>
      <c r="F7087" s="56">
        <v>17.987988521614117</v>
      </c>
      <c r="G7087" s="48"/>
      <c r="H7087" s="48"/>
      <c r="I7087" s="48"/>
      <c r="J7087" s="48"/>
      <c r="L7087" s="65"/>
    </row>
    <row r="7088" spans="5:12">
      <c r="E7088" s="49">
        <v>45073.29861108755</v>
      </c>
      <c r="F7088" s="56">
        <v>17.987988521614117</v>
      </c>
      <c r="G7088" s="48"/>
      <c r="H7088" s="48"/>
      <c r="I7088" s="48"/>
      <c r="J7088" s="48"/>
      <c r="L7088" s="65"/>
    </row>
    <row r="7089" spans="5:12">
      <c r="E7089" s="49">
        <v>45073.302083309769</v>
      </c>
      <c r="F7089" s="56">
        <v>17.987988521614117</v>
      </c>
      <c r="G7089" s="48"/>
      <c r="H7089" s="48"/>
      <c r="I7089" s="48"/>
      <c r="J7089" s="48"/>
      <c r="L7089" s="65"/>
    </row>
    <row r="7090" spans="5:12">
      <c r="E7090" s="49">
        <v>45073.305555531988</v>
      </c>
      <c r="F7090" s="56">
        <v>17.987988521614117</v>
      </c>
      <c r="G7090" s="48"/>
      <c r="H7090" s="48"/>
      <c r="I7090" s="48"/>
      <c r="J7090" s="48"/>
      <c r="L7090" s="65"/>
    </row>
    <row r="7091" spans="5:12">
      <c r="E7091" s="49">
        <v>45073.309027754207</v>
      </c>
      <c r="F7091" s="56">
        <v>17.987988521614117</v>
      </c>
      <c r="G7091" s="48"/>
      <c r="H7091" s="48"/>
      <c r="I7091" s="48"/>
      <c r="J7091" s="48"/>
      <c r="L7091" s="65"/>
    </row>
    <row r="7092" spans="5:12">
      <c r="E7092" s="49">
        <v>45073.312499976426</v>
      </c>
      <c r="F7092" s="56">
        <v>17.987988521614117</v>
      </c>
      <c r="G7092" s="48"/>
      <c r="H7092" s="48"/>
      <c r="I7092" s="48"/>
      <c r="J7092" s="48"/>
      <c r="L7092" s="65"/>
    </row>
    <row r="7093" spans="5:12">
      <c r="E7093" s="49">
        <v>45073.315972198645</v>
      </c>
      <c r="F7093" s="56">
        <v>17.987988521614117</v>
      </c>
      <c r="G7093" s="48"/>
      <c r="H7093" s="48"/>
      <c r="I7093" s="48"/>
      <c r="J7093" s="48"/>
      <c r="L7093" s="65"/>
    </row>
    <row r="7094" spans="5:12">
      <c r="E7094" s="49">
        <v>45073.319444420864</v>
      </c>
      <c r="F7094" s="56">
        <v>17.987988521614117</v>
      </c>
      <c r="G7094" s="48"/>
      <c r="H7094" s="48"/>
      <c r="I7094" s="48"/>
      <c r="J7094" s="48"/>
      <c r="L7094" s="65"/>
    </row>
    <row r="7095" spans="5:12">
      <c r="E7095" s="49">
        <v>45073.322916643083</v>
      </c>
      <c r="F7095" s="56">
        <v>17.987988521614117</v>
      </c>
      <c r="G7095" s="48"/>
      <c r="H7095" s="48"/>
      <c r="I7095" s="48"/>
      <c r="J7095" s="48"/>
      <c r="L7095" s="65"/>
    </row>
    <row r="7096" spans="5:12">
      <c r="E7096" s="49">
        <v>45073.326388865302</v>
      </c>
      <c r="F7096" s="56">
        <v>17.987988521614117</v>
      </c>
      <c r="G7096" s="48"/>
      <c r="H7096" s="48"/>
      <c r="I7096" s="48"/>
      <c r="J7096" s="48"/>
      <c r="L7096" s="65"/>
    </row>
    <row r="7097" spans="5:12">
      <c r="E7097" s="49">
        <v>45073.329861087521</v>
      </c>
      <c r="F7097" s="56">
        <v>17.987988521614117</v>
      </c>
      <c r="G7097" s="48"/>
      <c r="H7097" s="48"/>
      <c r="I7097" s="48"/>
      <c r="J7097" s="48"/>
      <c r="L7097" s="65"/>
    </row>
    <row r="7098" spans="5:12">
      <c r="E7098" s="49">
        <v>45073.33333330974</v>
      </c>
      <c r="F7098" s="56">
        <v>17.987988521614117</v>
      </c>
      <c r="G7098" s="48"/>
      <c r="H7098" s="48"/>
      <c r="I7098" s="48"/>
      <c r="J7098" s="48"/>
      <c r="L7098" s="65"/>
    </row>
    <row r="7099" spans="5:12">
      <c r="E7099" s="49">
        <v>45073.336805531959</v>
      </c>
      <c r="F7099" s="56">
        <v>17.987988521614117</v>
      </c>
      <c r="G7099" s="48"/>
      <c r="H7099" s="48"/>
      <c r="I7099" s="48"/>
      <c r="J7099" s="48"/>
      <c r="L7099" s="65"/>
    </row>
    <row r="7100" spans="5:12">
      <c r="E7100" s="49">
        <v>45073.340277754178</v>
      </c>
      <c r="F7100" s="56">
        <v>17.987988521614117</v>
      </c>
      <c r="G7100" s="48"/>
      <c r="H7100" s="48"/>
      <c r="I7100" s="48"/>
      <c r="J7100" s="48"/>
      <c r="L7100" s="65"/>
    </row>
    <row r="7101" spans="5:12">
      <c r="E7101" s="49">
        <v>45073.343749976397</v>
      </c>
      <c r="F7101" s="56">
        <v>17.987988521614117</v>
      </c>
      <c r="G7101" s="48"/>
      <c r="H7101" s="48"/>
      <c r="I7101" s="48"/>
      <c r="J7101" s="48"/>
      <c r="L7101" s="65"/>
    </row>
    <row r="7102" spans="5:12">
      <c r="E7102" s="49">
        <v>45073.347222198616</v>
      </c>
      <c r="F7102" s="56">
        <v>17.987988521614117</v>
      </c>
      <c r="G7102" s="48"/>
      <c r="H7102" s="48"/>
      <c r="I7102" s="48"/>
      <c r="J7102" s="48"/>
      <c r="L7102" s="65"/>
    </row>
    <row r="7103" spans="5:12">
      <c r="E7103" s="49">
        <v>45073.350694420835</v>
      </c>
      <c r="F7103" s="56">
        <v>17.987988521614117</v>
      </c>
      <c r="G7103" s="48"/>
      <c r="H7103" s="48"/>
      <c r="I7103" s="48"/>
      <c r="J7103" s="48"/>
      <c r="L7103" s="65"/>
    </row>
    <row r="7104" spans="5:12">
      <c r="E7104" s="49">
        <v>45073.354166643054</v>
      </c>
      <c r="F7104" s="56">
        <v>17.987988521614117</v>
      </c>
      <c r="G7104" s="48"/>
      <c r="H7104" s="48"/>
      <c r="I7104" s="48"/>
      <c r="J7104" s="48"/>
      <c r="L7104" s="65"/>
    </row>
    <row r="7105" spans="5:12">
      <c r="E7105" s="49">
        <v>45073.357638865273</v>
      </c>
      <c r="F7105" s="56">
        <v>17.987988521614117</v>
      </c>
      <c r="G7105" s="48"/>
      <c r="H7105" s="48"/>
      <c r="I7105" s="48"/>
      <c r="J7105" s="48"/>
      <c r="L7105" s="65"/>
    </row>
    <row r="7106" spans="5:12">
      <c r="E7106" s="49">
        <v>45073.361111087492</v>
      </c>
      <c r="F7106" s="56">
        <v>17.987988521614117</v>
      </c>
      <c r="G7106" s="48"/>
      <c r="H7106" s="48"/>
      <c r="I7106" s="48"/>
      <c r="J7106" s="48"/>
      <c r="L7106" s="65"/>
    </row>
    <row r="7107" spans="5:12">
      <c r="E7107" s="49">
        <v>45073.364583309711</v>
      </c>
      <c r="F7107" s="56">
        <v>17.987988521614117</v>
      </c>
      <c r="G7107" s="48"/>
      <c r="H7107" s="48"/>
      <c r="I7107" s="48"/>
      <c r="J7107" s="48"/>
      <c r="L7107" s="65"/>
    </row>
    <row r="7108" spans="5:12">
      <c r="E7108" s="49">
        <v>45073.36805553193</v>
      </c>
      <c r="F7108" s="56">
        <v>17.987988521614117</v>
      </c>
      <c r="G7108" s="48"/>
      <c r="H7108" s="48"/>
      <c r="I7108" s="48"/>
      <c r="J7108" s="48"/>
      <c r="L7108" s="65"/>
    </row>
    <row r="7109" spans="5:12">
      <c r="E7109" s="49">
        <v>45073.371527754149</v>
      </c>
      <c r="F7109" s="56">
        <v>17.987988521614117</v>
      </c>
      <c r="G7109" s="48"/>
      <c r="H7109" s="48"/>
      <c r="I7109" s="48"/>
      <c r="J7109" s="48"/>
      <c r="L7109" s="65"/>
    </row>
    <row r="7110" spans="5:12">
      <c r="E7110" s="49">
        <v>45073.374999976368</v>
      </c>
      <c r="F7110" s="56">
        <v>17.987988521614117</v>
      </c>
      <c r="G7110" s="48"/>
      <c r="H7110" s="48"/>
      <c r="I7110" s="48"/>
      <c r="J7110" s="48"/>
      <c r="L7110" s="65"/>
    </row>
    <row r="7111" spans="5:12">
      <c r="E7111" s="49">
        <v>45073.378472198587</v>
      </c>
      <c r="F7111" s="56">
        <v>17.987988521614117</v>
      </c>
      <c r="G7111" s="48"/>
      <c r="H7111" s="48"/>
      <c r="I7111" s="48"/>
      <c r="J7111" s="48"/>
      <c r="L7111" s="65"/>
    </row>
    <row r="7112" spans="5:12">
      <c r="E7112" s="49">
        <v>45073.381944420806</v>
      </c>
      <c r="F7112" s="56">
        <v>17.987988521614117</v>
      </c>
      <c r="G7112" s="48"/>
      <c r="H7112" s="48"/>
      <c r="I7112" s="48"/>
      <c r="J7112" s="48"/>
      <c r="L7112" s="65"/>
    </row>
    <row r="7113" spans="5:12">
      <c r="E7113" s="49">
        <v>45073.385416643025</v>
      </c>
      <c r="F7113" s="56">
        <v>17.987988521614117</v>
      </c>
      <c r="G7113" s="48"/>
      <c r="H7113" s="48"/>
      <c r="I7113" s="48"/>
      <c r="J7113" s="48"/>
      <c r="L7113" s="65"/>
    </row>
    <row r="7114" spans="5:12">
      <c r="E7114" s="49">
        <v>45073.388888865244</v>
      </c>
      <c r="F7114" s="56">
        <v>17.987988521614117</v>
      </c>
      <c r="G7114" s="48"/>
      <c r="H7114" s="48"/>
      <c r="I7114" s="48"/>
      <c r="J7114" s="48"/>
      <c r="L7114" s="65"/>
    </row>
    <row r="7115" spans="5:12">
      <c r="E7115" s="49">
        <v>45073.392361087463</v>
      </c>
      <c r="F7115" s="56">
        <v>17.987988521614117</v>
      </c>
      <c r="G7115" s="48"/>
      <c r="H7115" s="48"/>
      <c r="I7115" s="48"/>
      <c r="J7115" s="48"/>
      <c r="L7115" s="65"/>
    </row>
    <row r="7116" spans="5:12">
      <c r="E7116" s="49">
        <v>45073.395833309682</v>
      </c>
      <c r="F7116" s="56">
        <v>17.987988521614117</v>
      </c>
      <c r="G7116" s="48"/>
      <c r="H7116" s="48"/>
      <c r="I7116" s="48"/>
      <c r="J7116" s="48"/>
      <c r="L7116" s="65"/>
    </row>
    <row r="7117" spans="5:12">
      <c r="E7117" s="49">
        <v>45073.399305531901</v>
      </c>
      <c r="F7117" s="56">
        <v>17.987988521614117</v>
      </c>
      <c r="G7117" s="48"/>
      <c r="H7117" s="48"/>
      <c r="I7117" s="48"/>
      <c r="J7117" s="48"/>
      <c r="L7117" s="65"/>
    </row>
    <row r="7118" spans="5:12">
      <c r="E7118" s="49">
        <v>45073.40277775412</v>
      </c>
      <c r="F7118" s="56">
        <v>17.987988521614117</v>
      </c>
      <c r="G7118" s="48"/>
      <c r="H7118" s="48"/>
      <c r="I7118" s="48"/>
      <c r="J7118" s="48"/>
      <c r="L7118" s="65"/>
    </row>
    <row r="7119" spans="5:12">
      <c r="E7119" s="49">
        <v>45073.406249976339</v>
      </c>
      <c r="F7119" s="56">
        <v>17.987988521614117</v>
      </c>
      <c r="G7119" s="48"/>
      <c r="H7119" s="48"/>
      <c r="I7119" s="48"/>
      <c r="J7119" s="48"/>
      <c r="L7119" s="65"/>
    </row>
    <row r="7120" spans="5:12">
      <c r="E7120" s="49">
        <v>45073.409722198558</v>
      </c>
      <c r="F7120" s="56">
        <v>17.987988521614117</v>
      </c>
      <c r="G7120" s="48"/>
      <c r="H7120" s="48"/>
      <c r="I7120" s="48"/>
      <c r="J7120" s="48"/>
      <c r="L7120" s="65"/>
    </row>
    <row r="7121" spans="5:12">
      <c r="E7121" s="49">
        <v>45073.413194420777</v>
      </c>
      <c r="F7121" s="56">
        <v>17.987988521614117</v>
      </c>
      <c r="G7121" s="48"/>
      <c r="H7121" s="48"/>
      <c r="I7121" s="48"/>
      <c r="J7121" s="48"/>
      <c r="L7121" s="65"/>
    </row>
    <row r="7122" spans="5:12">
      <c r="E7122" s="49">
        <v>45073.416666642996</v>
      </c>
      <c r="F7122" s="56">
        <v>17.987988521614117</v>
      </c>
      <c r="G7122" s="48"/>
      <c r="H7122" s="48"/>
      <c r="I7122" s="48"/>
      <c r="J7122" s="48"/>
      <c r="L7122" s="65"/>
    </row>
    <row r="7123" spans="5:12">
      <c r="E7123" s="49">
        <v>45073.420138865215</v>
      </c>
      <c r="F7123" s="56">
        <v>17.987988521614117</v>
      </c>
      <c r="G7123" s="48"/>
      <c r="H7123" s="48"/>
      <c r="I7123" s="48"/>
      <c r="J7123" s="48"/>
      <c r="L7123" s="65"/>
    </row>
    <row r="7124" spans="5:12">
      <c r="E7124" s="49">
        <v>45073.423611087434</v>
      </c>
      <c r="F7124" s="56">
        <v>17.987988521614117</v>
      </c>
      <c r="G7124" s="48"/>
      <c r="H7124" s="48"/>
      <c r="I7124" s="48"/>
      <c r="J7124" s="48"/>
      <c r="L7124" s="65"/>
    </row>
    <row r="7125" spans="5:12">
      <c r="E7125" s="49">
        <v>45073.427083309653</v>
      </c>
      <c r="F7125" s="56">
        <v>17.987988521614117</v>
      </c>
      <c r="G7125" s="48"/>
      <c r="H7125" s="48"/>
      <c r="I7125" s="48"/>
      <c r="J7125" s="48"/>
      <c r="L7125" s="65"/>
    </row>
    <row r="7126" spans="5:12">
      <c r="E7126" s="49">
        <v>45073.430555531872</v>
      </c>
      <c r="F7126" s="56">
        <v>17.987988521614117</v>
      </c>
      <c r="G7126" s="48"/>
      <c r="H7126" s="48"/>
      <c r="I7126" s="48"/>
      <c r="J7126" s="48"/>
      <c r="L7126" s="65"/>
    </row>
    <row r="7127" spans="5:12">
      <c r="E7127" s="49">
        <v>45073.43402775409</v>
      </c>
      <c r="F7127" s="56">
        <v>17.987988521614117</v>
      </c>
      <c r="G7127" s="48"/>
      <c r="H7127" s="48"/>
      <c r="I7127" s="48"/>
      <c r="J7127" s="48"/>
      <c r="L7127" s="65"/>
    </row>
    <row r="7128" spans="5:12">
      <c r="E7128" s="49">
        <v>45073.437499976309</v>
      </c>
      <c r="F7128" s="56">
        <v>17.987988521614117</v>
      </c>
      <c r="G7128" s="48"/>
      <c r="H7128" s="48"/>
      <c r="I7128" s="48"/>
      <c r="J7128" s="48"/>
      <c r="L7128" s="65"/>
    </row>
    <row r="7129" spans="5:12">
      <c r="E7129" s="49">
        <v>45073.440972198528</v>
      </c>
      <c r="F7129" s="56">
        <v>17.987988521614117</v>
      </c>
      <c r="G7129" s="48"/>
      <c r="H7129" s="48"/>
      <c r="I7129" s="48"/>
      <c r="J7129" s="48"/>
      <c r="L7129" s="65"/>
    </row>
    <row r="7130" spans="5:12">
      <c r="E7130" s="49">
        <v>45073.444444420747</v>
      </c>
      <c r="F7130" s="56">
        <v>17.987988521614117</v>
      </c>
      <c r="G7130" s="48"/>
      <c r="H7130" s="48"/>
      <c r="I7130" s="48"/>
      <c r="J7130" s="48"/>
      <c r="L7130" s="65"/>
    </row>
    <row r="7131" spans="5:12">
      <c r="E7131" s="49">
        <v>45073.447916642966</v>
      </c>
      <c r="F7131" s="56">
        <v>17.987988521614117</v>
      </c>
      <c r="G7131" s="48"/>
      <c r="H7131" s="48"/>
      <c r="I7131" s="48"/>
      <c r="J7131" s="48"/>
      <c r="L7131" s="65"/>
    </row>
    <row r="7132" spans="5:12">
      <c r="E7132" s="49">
        <v>45073.451388865185</v>
      </c>
      <c r="F7132" s="56">
        <v>17.987988521614117</v>
      </c>
      <c r="G7132" s="48"/>
      <c r="H7132" s="48"/>
      <c r="I7132" s="48"/>
      <c r="J7132" s="48"/>
      <c r="L7132" s="65"/>
    </row>
    <row r="7133" spans="5:12">
      <c r="E7133" s="49">
        <v>45073.454861087404</v>
      </c>
      <c r="F7133" s="56">
        <v>17.987988521614117</v>
      </c>
      <c r="G7133" s="48"/>
      <c r="H7133" s="48"/>
      <c r="I7133" s="48"/>
      <c r="J7133" s="48"/>
      <c r="L7133" s="65"/>
    </row>
    <row r="7134" spans="5:12">
      <c r="E7134" s="49">
        <v>45073.458333309623</v>
      </c>
      <c r="F7134" s="56">
        <v>17.987988521614117</v>
      </c>
      <c r="G7134" s="48"/>
      <c r="H7134" s="48"/>
      <c r="I7134" s="48"/>
      <c r="J7134" s="48"/>
      <c r="L7134" s="65"/>
    </row>
    <row r="7135" spans="5:12">
      <c r="E7135" s="49">
        <v>45073.461805531842</v>
      </c>
      <c r="F7135" s="56">
        <v>17.987988521614117</v>
      </c>
      <c r="G7135" s="48"/>
      <c r="H7135" s="48"/>
      <c r="I7135" s="48"/>
      <c r="J7135" s="48"/>
      <c r="L7135" s="65"/>
    </row>
    <row r="7136" spans="5:12">
      <c r="E7136" s="49">
        <v>45073.465277754061</v>
      </c>
      <c r="F7136" s="56">
        <v>17.987988521614117</v>
      </c>
      <c r="G7136" s="48"/>
      <c r="H7136" s="48"/>
      <c r="I7136" s="48"/>
      <c r="J7136" s="48"/>
      <c r="L7136" s="65"/>
    </row>
    <row r="7137" spans="5:12">
      <c r="E7137" s="49">
        <v>45073.46874997628</v>
      </c>
      <c r="F7137" s="56">
        <v>17.987988521614117</v>
      </c>
      <c r="G7137" s="48"/>
      <c r="H7137" s="48"/>
      <c r="I7137" s="48"/>
      <c r="J7137" s="48"/>
      <c r="L7137" s="65"/>
    </row>
    <row r="7138" spans="5:12">
      <c r="E7138" s="49">
        <v>45073.472222198499</v>
      </c>
      <c r="F7138" s="56">
        <v>17.987988521614117</v>
      </c>
      <c r="G7138" s="48"/>
      <c r="H7138" s="48"/>
      <c r="I7138" s="48"/>
      <c r="J7138" s="48"/>
      <c r="L7138" s="65"/>
    </row>
    <row r="7139" spans="5:12">
      <c r="E7139" s="49">
        <v>45073.475694420718</v>
      </c>
      <c r="F7139" s="56">
        <v>17.987988521614117</v>
      </c>
      <c r="G7139" s="48"/>
      <c r="H7139" s="48"/>
      <c r="I7139" s="48"/>
      <c r="J7139" s="48"/>
      <c r="L7139" s="65"/>
    </row>
    <row r="7140" spans="5:12">
      <c r="E7140" s="49">
        <v>45073.479166642937</v>
      </c>
      <c r="F7140" s="56">
        <v>17.987988521614117</v>
      </c>
      <c r="G7140" s="48"/>
      <c r="H7140" s="48"/>
      <c r="I7140" s="48"/>
      <c r="J7140" s="48"/>
      <c r="L7140" s="65"/>
    </row>
    <row r="7141" spans="5:12">
      <c r="E7141" s="49">
        <v>45073.482638865156</v>
      </c>
      <c r="F7141" s="56">
        <v>17.987988521614117</v>
      </c>
      <c r="G7141" s="48"/>
      <c r="H7141" s="48"/>
      <c r="I7141" s="48"/>
      <c r="J7141" s="48"/>
      <c r="L7141" s="65"/>
    </row>
    <row r="7142" spans="5:12">
      <c r="E7142" s="49">
        <v>45073.486111087375</v>
      </c>
      <c r="F7142" s="56">
        <v>17.987988521614117</v>
      </c>
      <c r="G7142" s="48"/>
      <c r="H7142" s="48"/>
      <c r="I7142" s="48"/>
      <c r="J7142" s="48"/>
      <c r="L7142" s="65"/>
    </row>
    <row r="7143" spans="5:12">
      <c r="E7143" s="49">
        <v>45073.489583309594</v>
      </c>
      <c r="F7143" s="56">
        <v>17.987988521614117</v>
      </c>
      <c r="G7143" s="48"/>
      <c r="H7143" s="48"/>
      <c r="I7143" s="48"/>
      <c r="J7143" s="48"/>
      <c r="L7143" s="65"/>
    </row>
    <row r="7144" spans="5:12">
      <c r="E7144" s="49">
        <v>45073.493055531813</v>
      </c>
      <c r="F7144" s="56">
        <v>17.987988521614117</v>
      </c>
      <c r="G7144" s="48"/>
      <c r="H7144" s="48"/>
      <c r="I7144" s="48"/>
      <c r="J7144" s="48"/>
      <c r="L7144" s="65"/>
    </row>
    <row r="7145" spans="5:12">
      <c r="E7145" s="49">
        <v>45073.496527754032</v>
      </c>
      <c r="F7145" s="56">
        <v>17.987988521614117</v>
      </c>
      <c r="G7145" s="48"/>
      <c r="H7145" s="48"/>
      <c r="I7145" s="48"/>
      <c r="J7145" s="48"/>
      <c r="L7145" s="65"/>
    </row>
    <row r="7146" spans="5:12">
      <c r="E7146" s="49">
        <v>45073.499999976251</v>
      </c>
      <c r="F7146" s="56">
        <v>17.987988521614117</v>
      </c>
      <c r="G7146" s="48"/>
      <c r="H7146" s="48"/>
      <c r="I7146" s="48"/>
      <c r="J7146" s="48"/>
      <c r="L7146" s="65"/>
    </row>
    <row r="7147" spans="5:12">
      <c r="E7147" s="49">
        <v>45073.50347219847</v>
      </c>
      <c r="F7147" s="56">
        <v>17.987988521614117</v>
      </c>
      <c r="G7147" s="48"/>
      <c r="H7147" s="48"/>
      <c r="I7147" s="48"/>
      <c r="J7147" s="48"/>
      <c r="L7147" s="65"/>
    </row>
    <row r="7148" spans="5:12">
      <c r="E7148" s="49">
        <v>45073.506944420689</v>
      </c>
      <c r="F7148" s="56">
        <v>17.987988521614117</v>
      </c>
      <c r="G7148" s="48"/>
      <c r="H7148" s="48"/>
      <c r="I7148" s="48"/>
      <c r="J7148" s="48"/>
      <c r="L7148" s="65"/>
    </row>
    <row r="7149" spans="5:12">
      <c r="E7149" s="49">
        <v>45073.510416642908</v>
      </c>
      <c r="F7149" s="56">
        <v>17.987988521614117</v>
      </c>
      <c r="G7149" s="48"/>
      <c r="H7149" s="48"/>
      <c r="I7149" s="48"/>
      <c r="J7149" s="48"/>
      <c r="L7149" s="65"/>
    </row>
    <row r="7150" spans="5:12">
      <c r="E7150" s="49">
        <v>45073.513888865127</v>
      </c>
      <c r="F7150" s="56">
        <v>17.987988521614117</v>
      </c>
      <c r="G7150" s="48"/>
      <c r="H7150" s="48"/>
      <c r="I7150" s="48"/>
      <c r="J7150" s="48"/>
      <c r="L7150" s="65"/>
    </row>
    <row r="7151" spans="5:12">
      <c r="E7151" s="49">
        <v>45073.517361087346</v>
      </c>
      <c r="F7151" s="56">
        <v>17.987988521614117</v>
      </c>
      <c r="G7151" s="48"/>
      <c r="H7151" s="48"/>
      <c r="I7151" s="48"/>
      <c r="J7151" s="48"/>
      <c r="L7151" s="65"/>
    </row>
    <row r="7152" spans="5:12">
      <c r="E7152" s="49">
        <v>45073.520833309565</v>
      </c>
      <c r="F7152" s="56">
        <v>17.987988521614117</v>
      </c>
      <c r="G7152" s="48"/>
      <c r="H7152" s="48"/>
      <c r="I7152" s="48"/>
      <c r="J7152" s="48"/>
      <c r="L7152" s="65"/>
    </row>
    <row r="7153" spans="5:12">
      <c r="E7153" s="49">
        <v>45073.524305531784</v>
      </c>
      <c r="F7153" s="56">
        <v>17.987988521614117</v>
      </c>
      <c r="G7153" s="48"/>
      <c r="H7153" s="48"/>
      <c r="I7153" s="48"/>
      <c r="J7153" s="48"/>
      <c r="L7153" s="65"/>
    </row>
    <row r="7154" spans="5:12">
      <c r="E7154" s="49">
        <v>45073.527777754003</v>
      </c>
      <c r="F7154" s="56">
        <v>17.987988521614117</v>
      </c>
      <c r="G7154" s="48"/>
      <c r="H7154" s="48"/>
      <c r="I7154" s="48"/>
      <c r="J7154" s="48"/>
      <c r="L7154" s="65"/>
    </row>
    <row r="7155" spans="5:12">
      <c r="E7155" s="49">
        <v>45073.531249976222</v>
      </c>
      <c r="F7155" s="56">
        <v>17.987988521614117</v>
      </c>
      <c r="G7155" s="48"/>
      <c r="H7155" s="48"/>
      <c r="I7155" s="48"/>
      <c r="J7155" s="48"/>
      <c r="L7155" s="65"/>
    </row>
    <row r="7156" spans="5:12">
      <c r="E7156" s="49">
        <v>45073.534722198441</v>
      </c>
      <c r="F7156" s="56">
        <v>17.987988521614117</v>
      </c>
      <c r="G7156" s="48"/>
      <c r="H7156" s="48"/>
      <c r="I7156" s="48"/>
      <c r="J7156" s="48"/>
      <c r="L7156" s="65"/>
    </row>
    <row r="7157" spans="5:12">
      <c r="E7157" s="49">
        <v>45073.53819442066</v>
      </c>
      <c r="F7157" s="56">
        <v>17.987988521614117</v>
      </c>
      <c r="G7157" s="48"/>
      <c r="H7157" s="48"/>
      <c r="I7157" s="48"/>
      <c r="J7157" s="48"/>
      <c r="L7157" s="65"/>
    </row>
    <row r="7158" spans="5:12">
      <c r="E7158" s="49">
        <v>45073.541666642879</v>
      </c>
      <c r="F7158" s="56">
        <v>17.987988521614117</v>
      </c>
      <c r="G7158" s="48"/>
      <c r="H7158" s="48"/>
      <c r="I7158" s="48"/>
      <c r="J7158" s="48"/>
      <c r="L7158" s="65"/>
    </row>
    <row r="7159" spans="5:12">
      <c r="E7159" s="49">
        <v>45073.545138865098</v>
      </c>
      <c r="F7159" s="56">
        <v>17.987988521614117</v>
      </c>
      <c r="G7159" s="48"/>
      <c r="H7159" s="48"/>
      <c r="I7159" s="48"/>
      <c r="J7159" s="48"/>
      <c r="L7159" s="65"/>
    </row>
    <row r="7160" spans="5:12">
      <c r="E7160" s="49">
        <v>45073.548611087317</v>
      </c>
      <c r="F7160" s="56">
        <v>17.987988521614117</v>
      </c>
      <c r="G7160" s="48"/>
      <c r="H7160" s="48"/>
      <c r="I7160" s="48"/>
      <c r="J7160" s="48"/>
      <c r="L7160" s="65"/>
    </row>
    <row r="7161" spans="5:12">
      <c r="E7161" s="49">
        <v>45073.552083309536</v>
      </c>
      <c r="F7161" s="56">
        <v>17.987988521614117</v>
      </c>
      <c r="G7161" s="48"/>
      <c r="H7161" s="48"/>
      <c r="I7161" s="48"/>
      <c r="J7161" s="48"/>
      <c r="L7161" s="65"/>
    </row>
    <row r="7162" spans="5:12">
      <c r="E7162" s="49">
        <v>45073.555555531755</v>
      </c>
      <c r="F7162" s="56">
        <v>17.987988521614117</v>
      </c>
      <c r="G7162" s="48"/>
      <c r="H7162" s="48"/>
      <c r="I7162" s="48"/>
      <c r="J7162" s="48"/>
      <c r="L7162" s="65"/>
    </row>
    <row r="7163" spans="5:12">
      <c r="E7163" s="49">
        <v>45073.559027753974</v>
      </c>
      <c r="F7163" s="56">
        <v>17.987988521614117</v>
      </c>
      <c r="G7163" s="48"/>
      <c r="H7163" s="48"/>
      <c r="I7163" s="48"/>
      <c r="J7163" s="48"/>
      <c r="L7163" s="65"/>
    </row>
    <row r="7164" spans="5:12">
      <c r="E7164" s="49">
        <v>45073.562499976193</v>
      </c>
      <c r="F7164" s="56">
        <v>17.987988521614117</v>
      </c>
      <c r="G7164" s="48"/>
      <c r="H7164" s="48"/>
      <c r="I7164" s="48"/>
      <c r="J7164" s="48"/>
      <c r="L7164" s="65"/>
    </row>
    <row r="7165" spans="5:12">
      <c r="E7165" s="49">
        <v>45073.565972198412</v>
      </c>
      <c r="F7165" s="56">
        <v>17.987988521614117</v>
      </c>
      <c r="G7165" s="48"/>
      <c r="H7165" s="48"/>
      <c r="I7165" s="48"/>
      <c r="J7165" s="48"/>
      <c r="L7165" s="65"/>
    </row>
    <row r="7166" spans="5:12">
      <c r="E7166" s="49">
        <v>45073.569444420631</v>
      </c>
      <c r="F7166" s="56">
        <v>17.987988521614117</v>
      </c>
      <c r="G7166" s="48"/>
      <c r="H7166" s="48"/>
      <c r="I7166" s="48"/>
      <c r="J7166" s="48"/>
      <c r="L7166" s="65"/>
    </row>
    <row r="7167" spans="5:12">
      <c r="E7167" s="49">
        <v>45073.57291664285</v>
      </c>
      <c r="F7167" s="56">
        <v>17.987988521614117</v>
      </c>
      <c r="G7167" s="48"/>
      <c r="H7167" s="48"/>
      <c r="I7167" s="48"/>
      <c r="J7167" s="48"/>
      <c r="L7167" s="65"/>
    </row>
    <row r="7168" spans="5:12">
      <c r="E7168" s="49">
        <v>45073.576388865069</v>
      </c>
      <c r="F7168" s="56">
        <v>17.987988521614117</v>
      </c>
      <c r="G7168" s="48"/>
      <c r="H7168" s="48"/>
      <c r="I7168" s="48"/>
      <c r="J7168" s="48"/>
      <c r="L7168" s="65"/>
    </row>
    <row r="7169" spans="5:12">
      <c r="E7169" s="49">
        <v>45073.579861087288</v>
      </c>
      <c r="F7169" s="56">
        <v>17.987988521614117</v>
      </c>
      <c r="G7169" s="48"/>
      <c r="H7169" s="48"/>
      <c r="I7169" s="48"/>
      <c r="J7169" s="48"/>
      <c r="L7169" s="65"/>
    </row>
    <row r="7170" spans="5:12">
      <c r="E7170" s="49">
        <v>45073.583333309507</v>
      </c>
      <c r="F7170" s="56">
        <v>17.987988521614117</v>
      </c>
      <c r="G7170" s="48"/>
      <c r="H7170" s="48"/>
      <c r="I7170" s="48"/>
      <c r="J7170" s="48"/>
      <c r="L7170" s="65"/>
    </row>
    <row r="7171" spans="5:12">
      <c r="E7171" s="49">
        <v>45073.586805531726</v>
      </c>
      <c r="F7171" s="56">
        <v>17.987988521614117</v>
      </c>
      <c r="G7171" s="48"/>
      <c r="H7171" s="48"/>
      <c r="I7171" s="48"/>
      <c r="J7171" s="48"/>
      <c r="L7171" s="65"/>
    </row>
    <row r="7172" spans="5:12">
      <c r="E7172" s="49">
        <v>45073.590277753945</v>
      </c>
      <c r="F7172" s="56">
        <v>17.987988521614117</v>
      </c>
      <c r="G7172" s="48"/>
      <c r="H7172" s="48"/>
      <c r="I7172" s="48"/>
      <c r="J7172" s="48"/>
      <c r="L7172" s="65"/>
    </row>
    <row r="7173" spans="5:12">
      <c r="E7173" s="49">
        <v>45073.593749976164</v>
      </c>
      <c r="F7173" s="56">
        <v>17.987988521614117</v>
      </c>
      <c r="G7173" s="48"/>
      <c r="H7173" s="48"/>
      <c r="I7173" s="48"/>
      <c r="J7173" s="48"/>
      <c r="L7173" s="65"/>
    </row>
    <row r="7174" spans="5:12">
      <c r="E7174" s="49">
        <v>45073.597222198383</v>
      </c>
      <c r="F7174" s="56">
        <v>17.987988521614117</v>
      </c>
      <c r="G7174" s="48"/>
      <c r="H7174" s="48"/>
      <c r="I7174" s="48"/>
      <c r="J7174" s="48"/>
      <c r="L7174" s="65"/>
    </row>
    <row r="7175" spans="5:12">
      <c r="E7175" s="49">
        <v>45073.600694420602</v>
      </c>
      <c r="F7175" s="56">
        <v>17.987988521614117</v>
      </c>
      <c r="G7175" s="48"/>
      <c r="H7175" s="48"/>
      <c r="I7175" s="48"/>
      <c r="J7175" s="48"/>
      <c r="L7175" s="65"/>
    </row>
    <row r="7176" spans="5:12">
      <c r="E7176" s="49">
        <v>45073.604166642821</v>
      </c>
      <c r="F7176" s="56">
        <v>17.987988521614117</v>
      </c>
      <c r="G7176" s="48"/>
      <c r="H7176" s="48"/>
      <c r="I7176" s="48"/>
      <c r="J7176" s="48"/>
      <c r="L7176" s="65"/>
    </row>
    <row r="7177" spans="5:12">
      <c r="E7177" s="49">
        <v>45073.60763886504</v>
      </c>
      <c r="F7177" s="56">
        <v>17.987988521614117</v>
      </c>
      <c r="G7177" s="48"/>
      <c r="H7177" s="48"/>
      <c r="I7177" s="48"/>
      <c r="J7177" s="48"/>
      <c r="L7177" s="65"/>
    </row>
    <row r="7178" spans="5:12">
      <c r="E7178" s="49">
        <v>45073.611111087259</v>
      </c>
      <c r="F7178" s="56">
        <v>17.987988521614117</v>
      </c>
      <c r="G7178" s="48"/>
      <c r="H7178" s="48"/>
      <c r="I7178" s="48"/>
      <c r="J7178" s="48"/>
      <c r="L7178" s="65"/>
    </row>
    <row r="7179" spans="5:12">
      <c r="E7179" s="49">
        <v>45073.614583309478</v>
      </c>
      <c r="F7179" s="56">
        <v>63.645435752521273</v>
      </c>
      <c r="G7179" s="48"/>
      <c r="H7179" s="48"/>
      <c r="I7179" s="48"/>
      <c r="J7179" s="48"/>
      <c r="L7179" s="65"/>
    </row>
    <row r="7180" spans="5:12">
      <c r="E7180" s="49">
        <v>45073.618055531697</v>
      </c>
      <c r="F7180" s="56">
        <v>63.645435752521273</v>
      </c>
      <c r="G7180" s="48"/>
      <c r="H7180" s="48"/>
      <c r="I7180" s="48"/>
      <c r="J7180" s="48"/>
      <c r="L7180" s="65"/>
    </row>
    <row r="7181" spans="5:12">
      <c r="E7181" s="49">
        <v>45073.621527753916</v>
      </c>
      <c r="F7181" s="56">
        <v>63.645435752521273</v>
      </c>
      <c r="G7181" s="48"/>
      <c r="H7181" s="48"/>
      <c r="I7181" s="48"/>
      <c r="J7181" s="48"/>
      <c r="L7181" s="65"/>
    </row>
    <row r="7182" spans="5:12">
      <c r="E7182" s="49">
        <v>45073.624999976135</v>
      </c>
      <c r="F7182" s="56">
        <v>63.645435752521273</v>
      </c>
      <c r="G7182" s="48"/>
      <c r="H7182" s="48"/>
      <c r="I7182" s="48"/>
      <c r="J7182" s="48"/>
      <c r="L7182" s="65"/>
    </row>
    <row r="7183" spans="5:12">
      <c r="E7183" s="49">
        <v>45073.628472198354</v>
      </c>
      <c r="F7183" s="56">
        <v>63.645435752521273</v>
      </c>
      <c r="G7183" s="48"/>
      <c r="H7183" s="48"/>
      <c r="I7183" s="48"/>
      <c r="J7183" s="48"/>
      <c r="L7183" s="65"/>
    </row>
    <row r="7184" spans="5:12">
      <c r="E7184" s="49">
        <v>45073.631944420573</v>
      </c>
      <c r="F7184" s="56">
        <v>63.645435752521273</v>
      </c>
      <c r="G7184" s="48"/>
      <c r="H7184" s="48"/>
      <c r="I7184" s="48"/>
      <c r="J7184" s="48"/>
      <c r="L7184" s="65"/>
    </row>
    <row r="7185" spans="5:12">
      <c r="E7185" s="49">
        <v>45073.635416642792</v>
      </c>
      <c r="F7185" s="56">
        <v>63.645435752521273</v>
      </c>
      <c r="G7185" s="48"/>
      <c r="H7185" s="48"/>
      <c r="I7185" s="48"/>
      <c r="J7185" s="48"/>
      <c r="L7185" s="65"/>
    </row>
    <row r="7186" spans="5:12">
      <c r="E7186" s="49">
        <v>45073.638888865011</v>
      </c>
      <c r="F7186" s="56">
        <v>63.645435752521273</v>
      </c>
      <c r="G7186" s="48"/>
      <c r="H7186" s="48"/>
      <c r="I7186" s="48"/>
      <c r="J7186" s="48"/>
      <c r="L7186" s="65"/>
    </row>
    <row r="7187" spans="5:12">
      <c r="E7187" s="49">
        <v>45073.64236108723</v>
      </c>
      <c r="F7187" s="56">
        <v>63.645435752521273</v>
      </c>
      <c r="G7187" s="48"/>
      <c r="H7187" s="48"/>
      <c r="I7187" s="48"/>
      <c r="J7187" s="48"/>
      <c r="L7187" s="65"/>
    </row>
    <row r="7188" spans="5:12">
      <c r="E7188" s="49">
        <v>45073.645833309449</v>
      </c>
      <c r="F7188" s="56">
        <v>63.645435752521273</v>
      </c>
      <c r="G7188" s="48"/>
      <c r="H7188" s="48"/>
      <c r="I7188" s="48"/>
      <c r="J7188" s="48"/>
      <c r="L7188" s="65"/>
    </row>
    <row r="7189" spans="5:12">
      <c r="E7189" s="49">
        <v>45073.649305531668</v>
      </c>
      <c r="F7189" s="56">
        <v>63.645435752521273</v>
      </c>
      <c r="G7189" s="48"/>
      <c r="H7189" s="48"/>
      <c r="I7189" s="48"/>
      <c r="J7189" s="48"/>
      <c r="L7189" s="65"/>
    </row>
    <row r="7190" spans="5:12">
      <c r="E7190" s="49">
        <v>45073.652777753887</v>
      </c>
      <c r="F7190" s="56">
        <v>63.645435752521273</v>
      </c>
      <c r="G7190" s="48"/>
      <c r="H7190" s="48"/>
      <c r="I7190" s="48"/>
      <c r="J7190" s="48"/>
      <c r="L7190" s="65"/>
    </row>
    <row r="7191" spans="5:12">
      <c r="E7191" s="49">
        <v>45073.656249976106</v>
      </c>
      <c r="F7191" s="56">
        <v>63.645435752521273</v>
      </c>
      <c r="G7191" s="48"/>
      <c r="H7191" s="48"/>
      <c r="I7191" s="48"/>
      <c r="J7191" s="48"/>
      <c r="L7191" s="65"/>
    </row>
    <row r="7192" spans="5:12">
      <c r="E7192" s="49">
        <v>45073.659722198325</v>
      </c>
      <c r="F7192" s="56">
        <v>63.645435752521273</v>
      </c>
      <c r="G7192" s="48"/>
      <c r="H7192" s="48"/>
      <c r="I7192" s="48"/>
      <c r="J7192" s="48"/>
      <c r="L7192" s="65"/>
    </row>
    <row r="7193" spans="5:12">
      <c r="E7193" s="49">
        <v>45073.663194420544</v>
      </c>
      <c r="F7193" s="56">
        <v>63.645435752521273</v>
      </c>
      <c r="G7193" s="48"/>
      <c r="H7193" s="48"/>
      <c r="I7193" s="48"/>
      <c r="J7193" s="48"/>
      <c r="L7193" s="65"/>
    </row>
    <row r="7194" spans="5:12">
      <c r="E7194" s="49">
        <v>45073.666666642763</v>
      </c>
      <c r="F7194" s="56">
        <v>63.645435752521273</v>
      </c>
      <c r="G7194" s="48"/>
      <c r="H7194" s="48"/>
      <c r="I7194" s="48"/>
      <c r="J7194" s="48"/>
      <c r="L7194" s="65"/>
    </row>
    <row r="7195" spans="5:12">
      <c r="E7195" s="49">
        <v>45073.670138864982</v>
      </c>
      <c r="F7195" s="56">
        <v>50.76680450337453</v>
      </c>
      <c r="G7195" s="48"/>
      <c r="H7195" s="48"/>
      <c r="I7195" s="48"/>
      <c r="J7195" s="48"/>
      <c r="L7195" s="65"/>
    </row>
    <row r="7196" spans="5:12">
      <c r="E7196" s="49">
        <v>45073.673611087201</v>
      </c>
      <c r="F7196" s="56">
        <v>50.76680450337453</v>
      </c>
      <c r="G7196" s="48"/>
      <c r="H7196" s="48"/>
      <c r="I7196" s="48"/>
      <c r="J7196" s="48"/>
      <c r="L7196" s="65"/>
    </row>
    <row r="7197" spans="5:12">
      <c r="E7197" s="49">
        <v>45073.67708330942</v>
      </c>
      <c r="F7197" s="56">
        <v>50.76680450337453</v>
      </c>
      <c r="G7197" s="48"/>
      <c r="H7197" s="48"/>
      <c r="I7197" s="48"/>
      <c r="J7197" s="48"/>
      <c r="L7197" s="65"/>
    </row>
    <row r="7198" spans="5:12">
      <c r="E7198" s="49">
        <v>45073.680555531639</v>
      </c>
      <c r="F7198" s="56">
        <v>50.76680450337453</v>
      </c>
      <c r="G7198" s="48"/>
      <c r="H7198" s="48"/>
      <c r="I7198" s="48"/>
      <c r="J7198" s="48"/>
      <c r="L7198" s="65"/>
    </row>
    <row r="7199" spans="5:12">
      <c r="E7199" s="49">
        <v>45073.684027753858</v>
      </c>
      <c r="F7199" s="56">
        <v>50.76680450337453</v>
      </c>
      <c r="G7199" s="48"/>
      <c r="H7199" s="48"/>
      <c r="I7199" s="48"/>
      <c r="J7199" s="48"/>
      <c r="L7199" s="65"/>
    </row>
    <row r="7200" spans="5:12">
      <c r="E7200" s="49">
        <v>45073.687499976077</v>
      </c>
      <c r="F7200" s="56">
        <v>50.76680450337453</v>
      </c>
      <c r="G7200" s="48"/>
      <c r="H7200" s="48"/>
      <c r="I7200" s="48"/>
      <c r="J7200" s="48"/>
      <c r="L7200" s="65"/>
    </row>
    <row r="7201" spans="5:12">
      <c r="E7201" s="49">
        <v>45073.690972198296</v>
      </c>
      <c r="F7201" s="56">
        <v>50.76680450337453</v>
      </c>
      <c r="G7201" s="48"/>
      <c r="H7201" s="48"/>
      <c r="I7201" s="48"/>
      <c r="J7201" s="48"/>
      <c r="L7201" s="65"/>
    </row>
    <row r="7202" spans="5:12">
      <c r="E7202" s="49">
        <v>45073.694444420515</v>
      </c>
      <c r="F7202" s="56">
        <v>50.76680450337453</v>
      </c>
      <c r="G7202" s="48"/>
      <c r="H7202" s="48"/>
      <c r="I7202" s="48"/>
      <c r="J7202" s="48"/>
      <c r="L7202" s="65"/>
    </row>
    <row r="7203" spans="5:12">
      <c r="L7203" s="65"/>
    </row>
    <row r="7204" spans="5:12">
      <c r="L7204" s="65"/>
    </row>
    <row r="7205" spans="5:12">
      <c r="L7205" s="65"/>
    </row>
    <row r="7206" spans="5:12">
      <c r="L7206" s="65"/>
    </row>
    <row r="7207" spans="5:12">
      <c r="L7207" s="65"/>
    </row>
    <row r="7208" spans="5:12">
      <c r="L7208" s="65"/>
    </row>
    <row r="7209" spans="5:12">
      <c r="L7209" s="65"/>
    </row>
    <row r="7210" spans="5:12">
      <c r="L7210" s="65"/>
    </row>
    <row r="7211" spans="5:12">
      <c r="L7211" s="65"/>
    </row>
    <row r="7212" spans="5:12">
      <c r="L7212" s="65"/>
    </row>
    <row r="7213" spans="5:12">
      <c r="L7213" s="65"/>
    </row>
    <row r="7214" spans="5:12">
      <c r="L7214" s="65"/>
    </row>
    <row r="7215" spans="5:12">
      <c r="L7215" s="65"/>
    </row>
    <row r="7216" spans="5:12">
      <c r="L7216" s="65"/>
    </row>
    <row r="7217" spans="12:12">
      <c r="L7217" s="65"/>
    </row>
    <row r="7218" spans="12:12">
      <c r="L7218" s="65"/>
    </row>
    <row r="7219" spans="12:12">
      <c r="L7219" s="65"/>
    </row>
    <row r="7220" spans="12:12">
      <c r="L7220" s="65"/>
    </row>
    <row r="7221" spans="12:12">
      <c r="L7221" s="65"/>
    </row>
    <row r="7222" spans="12:12">
      <c r="L7222" s="65"/>
    </row>
    <row r="7223" spans="12:12">
      <c r="L7223" s="65"/>
    </row>
    <row r="7224" spans="12:12">
      <c r="L7224" s="65"/>
    </row>
    <row r="7225" spans="12:12">
      <c r="L7225" s="65"/>
    </row>
    <row r="7226" spans="12:12">
      <c r="L7226" s="65"/>
    </row>
    <row r="7227" spans="12:12">
      <c r="L7227" s="65"/>
    </row>
    <row r="7228" spans="12:12">
      <c r="L7228" s="65"/>
    </row>
    <row r="7229" spans="12:12">
      <c r="L7229" s="65"/>
    </row>
    <row r="7230" spans="12:12">
      <c r="L7230" s="65"/>
    </row>
    <row r="7231" spans="12:12">
      <c r="L7231" s="65"/>
    </row>
    <row r="7232" spans="12:12">
      <c r="L7232" s="65"/>
    </row>
    <row r="7233" spans="12:12">
      <c r="L7233" s="65"/>
    </row>
    <row r="7234" spans="12:12">
      <c r="L7234" s="65"/>
    </row>
    <row r="7235" spans="12:12">
      <c r="L7235" s="65"/>
    </row>
    <row r="7236" spans="12:12">
      <c r="L7236" s="65"/>
    </row>
    <row r="7237" spans="12:12">
      <c r="L7237" s="65"/>
    </row>
    <row r="7238" spans="12:12">
      <c r="L7238" s="65"/>
    </row>
    <row r="7239" spans="12:12">
      <c r="L7239" s="65"/>
    </row>
    <row r="7240" spans="12:12">
      <c r="L7240" s="65"/>
    </row>
    <row r="7241" spans="12:12">
      <c r="L7241" s="65"/>
    </row>
    <row r="7242" spans="12:12">
      <c r="L7242" s="65"/>
    </row>
    <row r="7243" spans="12:12">
      <c r="L7243" s="65"/>
    </row>
    <row r="7244" spans="12:12">
      <c r="L7244" s="65"/>
    </row>
    <row r="7245" spans="12:12">
      <c r="L7245" s="65"/>
    </row>
    <row r="7246" spans="12:12">
      <c r="L7246" s="65"/>
    </row>
    <row r="7247" spans="12:12">
      <c r="L7247" s="65"/>
    </row>
    <row r="7248" spans="12:12">
      <c r="L7248" s="65"/>
    </row>
    <row r="7249" spans="12:12">
      <c r="L7249" s="65"/>
    </row>
    <row r="7250" spans="12:12">
      <c r="L7250" s="65"/>
    </row>
    <row r="7251" spans="12:12">
      <c r="L7251" s="65"/>
    </row>
    <row r="7252" spans="12:12">
      <c r="L7252" s="65"/>
    </row>
    <row r="7253" spans="12:12">
      <c r="L7253" s="65"/>
    </row>
    <row r="7254" spans="12:12">
      <c r="L7254" s="65"/>
    </row>
    <row r="7255" spans="12:12">
      <c r="L7255" s="65"/>
    </row>
    <row r="7256" spans="12:12">
      <c r="L7256" s="65"/>
    </row>
    <row r="7257" spans="12:12">
      <c r="L7257" s="65"/>
    </row>
    <row r="7258" spans="12:12">
      <c r="L7258" s="65"/>
    </row>
    <row r="7259" spans="12:12">
      <c r="L7259" s="65"/>
    </row>
    <row r="7260" spans="12:12">
      <c r="L7260" s="65"/>
    </row>
    <row r="7261" spans="12:12">
      <c r="L7261" s="65"/>
    </row>
    <row r="7262" spans="12:12">
      <c r="L7262" s="65"/>
    </row>
    <row r="7263" spans="12:12">
      <c r="L7263" s="65"/>
    </row>
    <row r="7264" spans="12:12">
      <c r="L7264" s="65"/>
    </row>
    <row r="7265" spans="12:12">
      <c r="L7265" s="65"/>
    </row>
    <row r="7266" spans="12:12">
      <c r="L7266" s="65"/>
    </row>
    <row r="7267" spans="12:12">
      <c r="L7267" s="65"/>
    </row>
    <row r="7268" spans="12:12">
      <c r="L7268" s="65"/>
    </row>
    <row r="7269" spans="12:12">
      <c r="L7269" s="65"/>
    </row>
    <row r="7270" spans="12:12">
      <c r="L7270" s="65"/>
    </row>
    <row r="7271" spans="12:12">
      <c r="L7271" s="65"/>
    </row>
    <row r="7272" spans="12:12">
      <c r="L7272" s="65"/>
    </row>
    <row r="7273" spans="12:12">
      <c r="L7273" s="65"/>
    </row>
    <row r="7274" spans="12:12">
      <c r="L7274" s="65"/>
    </row>
    <row r="7275" spans="12:12">
      <c r="L7275" s="65"/>
    </row>
    <row r="7276" spans="12:12">
      <c r="L7276" s="65"/>
    </row>
    <row r="7277" spans="12:12">
      <c r="L7277" s="65"/>
    </row>
    <row r="7278" spans="12:12">
      <c r="L7278" s="65"/>
    </row>
    <row r="7279" spans="12:12">
      <c r="L7279" s="65"/>
    </row>
    <row r="7280" spans="12:12">
      <c r="L7280" s="65"/>
    </row>
    <row r="7281" spans="12:12">
      <c r="L7281" s="65"/>
    </row>
    <row r="7282" spans="12:12">
      <c r="L7282" s="65"/>
    </row>
    <row r="7283" spans="12:12">
      <c r="L7283" s="65"/>
    </row>
    <row r="7284" spans="12:12">
      <c r="L7284" s="65"/>
    </row>
    <row r="7285" spans="12:12">
      <c r="L7285" s="65"/>
    </row>
    <row r="7286" spans="12:12">
      <c r="L7286" s="65"/>
    </row>
    <row r="7287" spans="12:12">
      <c r="L7287" s="65"/>
    </row>
    <row r="7288" spans="12:12">
      <c r="L7288" s="65"/>
    </row>
    <row r="7289" spans="12:12">
      <c r="L7289" s="65"/>
    </row>
    <row r="7290" spans="12:12">
      <c r="L7290" s="65"/>
    </row>
    <row r="7291" spans="12:12">
      <c r="L7291" s="65"/>
    </row>
    <row r="7292" spans="12:12">
      <c r="L7292" s="65"/>
    </row>
    <row r="7293" spans="12:12">
      <c r="L7293" s="65"/>
    </row>
    <row r="7294" spans="12:12">
      <c r="L7294" s="65"/>
    </row>
    <row r="7295" spans="12:12">
      <c r="L7295" s="65"/>
    </row>
    <row r="7296" spans="12:12">
      <c r="L7296" s="65"/>
    </row>
    <row r="7297" spans="12:12">
      <c r="L7297" s="65"/>
    </row>
    <row r="7298" spans="12:12">
      <c r="L7298" s="65"/>
    </row>
    <row r="7299" spans="12:12">
      <c r="L7299" s="65"/>
    </row>
    <row r="7300" spans="12:12">
      <c r="L7300" s="65"/>
    </row>
    <row r="7301" spans="12:12">
      <c r="L7301" s="65"/>
    </row>
    <row r="7302" spans="12:12">
      <c r="L7302" s="65"/>
    </row>
    <row r="7303" spans="12:12">
      <c r="L7303" s="65"/>
    </row>
    <row r="7304" spans="12:12">
      <c r="L7304" s="65"/>
    </row>
    <row r="7305" spans="12:12">
      <c r="L7305" s="65"/>
    </row>
    <row r="7306" spans="12:12">
      <c r="L7306" s="65"/>
    </row>
    <row r="7307" spans="12:12">
      <c r="L7307" s="65"/>
    </row>
    <row r="7308" spans="12:12">
      <c r="L7308" s="65"/>
    </row>
    <row r="7309" spans="12:12">
      <c r="L7309" s="65"/>
    </row>
    <row r="7310" spans="12:12">
      <c r="L7310" s="65"/>
    </row>
    <row r="7311" spans="12:12">
      <c r="L7311" s="65"/>
    </row>
    <row r="7312" spans="12:12">
      <c r="L7312" s="65"/>
    </row>
    <row r="7313" spans="12:12">
      <c r="L7313" s="65"/>
    </row>
    <row r="7314" spans="12:12">
      <c r="L7314" s="65"/>
    </row>
    <row r="7315" spans="12:12">
      <c r="L7315" s="65"/>
    </row>
    <row r="7316" spans="12:12">
      <c r="L7316" s="65"/>
    </row>
    <row r="7317" spans="12:12">
      <c r="L7317" s="65"/>
    </row>
    <row r="7318" spans="12:12">
      <c r="L7318" s="65"/>
    </row>
    <row r="7319" spans="12:12">
      <c r="L7319" s="65"/>
    </row>
    <row r="7320" spans="12:12">
      <c r="L7320" s="65"/>
    </row>
    <row r="7321" spans="12:12">
      <c r="L7321" s="65"/>
    </row>
    <row r="7322" spans="12:12">
      <c r="L7322" s="65"/>
    </row>
    <row r="7323" spans="12:12">
      <c r="L7323" s="65"/>
    </row>
    <row r="7324" spans="12:12">
      <c r="L7324" s="65"/>
    </row>
    <row r="7325" spans="12:12">
      <c r="L7325" s="65"/>
    </row>
    <row r="7326" spans="12:12">
      <c r="L7326" s="65"/>
    </row>
    <row r="7327" spans="12:12">
      <c r="L7327" s="65"/>
    </row>
    <row r="7328" spans="12:12">
      <c r="L7328" s="65"/>
    </row>
    <row r="7329" spans="12:12">
      <c r="L7329" s="65"/>
    </row>
    <row r="7330" spans="12:12">
      <c r="L7330" s="65"/>
    </row>
    <row r="7331" spans="12:12">
      <c r="L7331" s="65"/>
    </row>
    <row r="7332" spans="12:12">
      <c r="L7332" s="65"/>
    </row>
    <row r="7333" spans="12:12">
      <c r="L7333" s="65"/>
    </row>
    <row r="7334" spans="12:12">
      <c r="L7334" s="65"/>
    </row>
    <row r="7335" spans="12:12">
      <c r="L7335" s="65"/>
    </row>
    <row r="7336" spans="12:12">
      <c r="L7336" s="65"/>
    </row>
    <row r="7337" spans="12:12">
      <c r="L7337" s="65"/>
    </row>
    <row r="7338" spans="12:12">
      <c r="L7338" s="65"/>
    </row>
    <row r="7339" spans="12:12">
      <c r="L7339" s="65"/>
    </row>
    <row r="7340" spans="12:12">
      <c r="L7340" s="65"/>
    </row>
    <row r="7341" spans="12:12">
      <c r="L7341" s="65"/>
    </row>
    <row r="7342" spans="12:12">
      <c r="L7342" s="65"/>
    </row>
    <row r="7343" spans="12:12">
      <c r="L7343" s="65"/>
    </row>
    <row r="7344" spans="12:12">
      <c r="L7344" s="65"/>
    </row>
    <row r="7345" spans="12:12">
      <c r="L7345" s="65"/>
    </row>
    <row r="7346" spans="12:12">
      <c r="L7346" s="65"/>
    </row>
    <row r="7347" spans="12:12">
      <c r="L7347" s="65"/>
    </row>
    <row r="7348" spans="12:12">
      <c r="L7348" s="65"/>
    </row>
    <row r="7349" spans="12:12">
      <c r="L7349" s="65"/>
    </row>
    <row r="7350" spans="12:12">
      <c r="L7350" s="65"/>
    </row>
    <row r="7351" spans="12:12">
      <c r="L7351" s="65"/>
    </row>
    <row r="7352" spans="12:12">
      <c r="L7352" s="65"/>
    </row>
    <row r="7353" spans="12:12">
      <c r="L7353" s="65"/>
    </row>
    <row r="7354" spans="12:12">
      <c r="L7354" s="65"/>
    </row>
    <row r="7355" spans="12:12">
      <c r="L7355" s="65"/>
    </row>
    <row r="7356" spans="12:12">
      <c r="L7356" s="65"/>
    </row>
    <row r="7357" spans="12:12">
      <c r="L7357" s="65"/>
    </row>
    <row r="7358" spans="12:12">
      <c r="L7358" s="65"/>
    </row>
    <row r="7359" spans="12:12">
      <c r="L7359" s="65"/>
    </row>
    <row r="7360" spans="12:12">
      <c r="L7360" s="65"/>
    </row>
    <row r="7361" spans="12:12">
      <c r="L7361" s="65"/>
    </row>
    <row r="7362" spans="12:12">
      <c r="L7362" s="65"/>
    </row>
    <row r="7363" spans="12:12">
      <c r="L7363" s="65"/>
    </row>
    <row r="7364" spans="12:12">
      <c r="L7364" s="65"/>
    </row>
    <row r="7365" spans="12:12">
      <c r="L7365" s="65"/>
    </row>
    <row r="7366" spans="12:12">
      <c r="L7366" s="65"/>
    </row>
    <row r="7367" spans="12:12">
      <c r="L7367" s="65"/>
    </row>
    <row r="7368" spans="12:12">
      <c r="L7368" s="65"/>
    </row>
    <row r="7369" spans="12:12">
      <c r="L7369" s="65"/>
    </row>
    <row r="7370" spans="12:12">
      <c r="L7370" s="65"/>
    </row>
    <row r="7371" spans="12:12">
      <c r="L7371" s="65"/>
    </row>
    <row r="7372" spans="12:12">
      <c r="L7372" s="65"/>
    </row>
    <row r="7373" spans="12:12">
      <c r="L7373" s="65"/>
    </row>
    <row r="7374" spans="12:12">
      <c r="L7374" s="65"/>
    </row>
    <row r="7375" spans="12:12">
      <c r="L7375" s="65"/>
    </row>
    <row r="7376" spans="12:12">
      <c r="L7376" s="65"/>
    </row>
    <row r="7377" spans="12:12">
      <c r="L7377" s="65"/>
    </row>
    <row r="7378" spans="12:12">
      <c r="L7378" s="65"/>
    </row>
    <row r="7379" spans="12:12">
      <c r="L7379" s="65"/>
    </row>
    <row r="7380" spans="12:12">
      <c r="L7380" s="65"/>
    </row>
    <row r="7381" spans="12:12">
      <c r="L7381" s="65"/>
    </row>
    <row r="7382" spans="12:12">
      <c r="L7382" s="65"/>
    </row>
    <row r="7383" spans="12:12">
      <c r="L7383" s="65"/>
    </row>
    <row r="7384" spans="12:12">
      <c r="L7384" s="65"/>
    </row>
    <row r="7385" spans="12:12">
      <c r="L7385" s="65"/>
    </row>
    <row r="7386" spans="12:12">
      <c r="L7386" s="65"/>
    </row>
    <row r="7387" spans="12:12">
      <c r="L7387" s="65"/>
    </row>
    <row r="7388" spans="12:12">
      <c r="L7388" s="65"/>
    </row>
    <row r="7389" spans="12:12">
      <c r="L7389" s="65"/>
    </row>
    <row r="7390" spans="12:12">
      <c r="L7390" s="65"/>
    </row>
    <row r="7391" spans="12:12">
      <c r="L7391" s="65"/>
    </row>
    <row r="7392" spans="12:12">
      <c r="L7392" s="65"/>
    </row>
    <row r="7393" spans="12:12">
      <c r="L7393" s="65"/>
    </row>
    <row r="7394" spans="12:12">
      <c r="L7394" s="65"/>
    </row>
    <row r="7395" spans="12:12">
      <c r="L7395" s="65"/>
    </row>
    <row r="7396" spans="12:12">
      <c r="L7396" s="65"/>
    </row>
    <row r="7397" spans="12:12">
      <c r="L7397" s="65"/>
    </row>
    <row r="7398" spans="12:12">
      <c r="L7398" s="65"/>
    </row>
    <row r="7399" spans="12:12">
      <c r="L7399" s="65"/>
    </row>
    <row r="7400" spans="12:12">
      <c r="L7400" s="65"/>
    </row>
    <row r="7401" spans="12:12">
      <c r="L7401" s="65"/>
    </row>
    <row r="7402" spans="12:12">
      <c r="L7402" s="65"/>
    </row>
    <row r="7403" spans="12:12">
      <c r="L7403" s="65"/>
    </row>
    <row r="7404" spans="12:12">
      <c r="L7404" s="65"/>
    </row>
    <row r="7405" spans="12:12">
      <c r="L7405" s="65"/>
    </row>
  </sheetData>
  <sheetProtection algorithmName="SHA-512" hashValue="lJZnZXTJ/YkvLfVd2A96fN6CyLBYLDmQc+pMV0E/oa9DvsY0riBaJmFYlG62pMphwOxKdEcpvJ4RoaBYMq7ymw==" saltValue="6h5dyrbcpv4VRqrZ2KPaWg==" spinCount="100000" sheet="1" objects="1" scenarios="1"/>
  <mergeCells count="2">
    <mergeCell ref="F4:J4"/>
    <mergeCell ref="B2:J2"/>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CA259-DE8C-459A-9F46-64DAEDF974E2}">
  <sheetPr>
    <tabColor theme="5"/>
  </sheetPr>
  <dimension ref="B2:D5"/>
  <sheetViews>
    <sheetView showGridLines="0" view="pageLayout" zoomScale="90" zoomScaleNormal="90" zoomScalePageLayoutView="90" workbookViewId="0">
      <selection activeCell="D17" sqref="D17"/>
    </sheetView>
  </sheetViews>
  <sheetFormatPr defaultRowHeight="14.25"/>
  <cols>
    <col min="1" max="1" width="4.25" customWidth="1"/>
    <col min="2" max="2" width="19.25" customWidth="1"/>
    <col min="3" max="3" width="20.875" customWidth="1"/>
    <col min="4" max="5" width="27.375" customWidth="1"/>
    <col min="6" max="6" width="24.125" customWidth="1"/>
  </cols>
  <sheetData>
    <row r="2" spans="2:4" ht="23.25" thickBot="1">
      <c r="B2" s="66" t="s">
        <v>76</v>
      </c>
      <c r="C2" s="66"/>
      <c r="D2" s="66"/>
    </row>
    <row r="4" spans="2:4">
      <c r="B4" s="54" t="s">
        <v>77</v>
      </c>
      <c r="C4" s="54" t="s">
        <v>78</v>
      </c>
      <c r="D4" s="54" t="s">
        <v>79</v>
      </c>
    </row>
    <row r="5" spans="2:4" ht="15" customHeight="1">
      <c r="B5" s="57">
        <v>1</v>
      </c>
      <c r="C5" s="58">
        <v>45314</v>
      </c>
      <c r="D5" s="57" t="s">
        <v>80</v>
      </c>
    </row>
  </sheetData>
  <sheetProtection algorithmName="SHA-512" hashValue="yOb5aSvD4a98yLJnYQ+ABuzlwvgSkB4aqsgjOh1CP/zwelN8y4nesNIzlcrIPF70YDHH0p8ppQyevWFAf5MsOg==" saltValue="hJp7+6jDIeRc8oXCED79Mg==" spinCount="100000" sheet="1" objects="1" scenarios="1"/>
  <mergeCells count="1">
    <mergeCell ref="B2:D2"/>
  </mergeCells>
  <pageMargins left="0.7" right="0.7" top="0.75" bottom="0.75" header="0.3" footer="0.3"/>
  <pageSetup paperSize="9" orientation="portrait" r:id="rId1"/>
  <headerFooter>
    <oddFooter>&amp;L&amp;10Copyright: © 2023 Australian Energy Market Operator Limited.  
The material in this publication may be used in accordance with the copyright permissions on AEMO’s website.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6F468-225E-4845-AF6E-6C0713B07AB4}">
  <dimension ref="B1:V8961"/>
  <sheetViews>
    <sheetView zoomScale="80" zoomScaleNormal="80" workbookViewId="0">
      <selection activeCell="V3" sqref="V3"/>
    </sheetView>
  </sheetViews>
  <sheetFormatPr defaultRowHeight="14.25"/>
  <cols>
    <col min="2" max="2" width="18.875" bestFit="1" customWidth="1"/>
    <col min="3" max="3" width="18.375" bestFit="1" customWidth="1"/>
    <col min="4" max="4" width="17" customWidth="1"/>
    <col min="5" max="5" width="14.125" bestFit="1" customWidth="1"/>
    <col min="6" max="6" width="20.375" customWidth="1"/>
    <col min="7" max="7" width="26" customWidth="1"/>
    <col min="8" max="8" width="27" customWidth="1"/>
    <col min="9" max="9" width="9.5" customWidth="1"/>
    <col min="10" max="10" width="15.75" customWidth="1"/>
    <col min="12" max="12" width="16.25" bestFit="1" customWidth="1"/>
    <col min="13" max="13" width="11.375" bestFit="1" customWidth="1"/>
    <col min="14" max="17" width="10.625" customWidth="1"/>
    <col min="19" max="21" width="15.625" bestFit="1" customWidth="1"/>
    <col min="22" max="22" width="11.375" bestFit="1" customWidth="1"/>
  </cols>
  <sheetData>
    <row r="1" spans="2:17">
      <c r="B1" t="s">
        <v>68</v>
      </c>
      <c r="C1" t="s">
        <v>69</v>
      </c>
    </row>
    <row r="2" spans="2:17">
      <c r="B2" s="18">
        <v>44652</v>
      </c>
      <c r="C2" s="17">
        <f>EOMONTH(B2,0)</f>
        <v>44681</v>
      </c>
    </row>
    <row r="4" spans="2:17" ht="15">
      <c r="B4" s="6" t="s">
        <v>81</v>
      </c>
      <c r="C4" s="6" t="s">
        <v>82</v>
      </c>
      <c r="D4" s="6" t="s">
        <v>83</v>
      </c>
      <c r="E4" s="6" t="s">
        <v>84</v>
      </c>
      <c r="F4" s="6" t="s">
        <v>85</v>
      </c>
      <c r="G4" s="5" t="s">
        <v>86</v>
      </c>
      <c r="H4" s="5" t="s">
        <v>87</v>
      </c>
      <c r="I4" s="6" t="s">
        <v>88</v>
      </c>
      <c r="J4" s="6" t="s">
        <v>89</v>
      </c>
      <c r="M4" s="11" t="s">
        <v>17</v>
      </c>
      <c r="N4" s="11" t="s">
        <v>72</v>
      </c>
      <c r="O4" s="11" t="s">
        <v>73</v>
      </c>
      <c r="P4" s="11" t="s">
        <v>74</v>
      </c>
      <c r="Q4" s="11" t="s">
        <v>75</v>
      </c>
    </row>
    <row r="5" spans="2:17" hidden="1">
      <c r="B5" t="e" cm="1">
        <f t="array" ref="B5">_xlfn.UNIQUE(#REF!)</f>
        <v>#REF!</v>
      </c>
      <c r="C5" s="3" t="e">
        <f>VLOOKUP($B5,#REF!,5,FALSE)</f>
        <v>#REF!</v>
      </c>
      <c r="D5" s="3" t="e">
        <f>VLOOKUP($B5,#REF!,6,FALSE)</f>
        <v>#REF!</v>
      </c>
      <c r="E5" s="4" t="e">
        <f>VLOOKUP($B5,#REF!,17,FALSE)</f>
        <v>#REF!</v>
      </c>
      <c r="F5" s="4" t="e">
        <f>VLOOKUP($B5,#REF!,7,FALSE)</f>
        <v>#REF!</v>
      </c>
      <c r="G5" s="4"/>
      <c r="H5" s="4"/>
      <c r="I5" s="4" t="e">
        <f>VLOOKUP($B5,#REF!,19,FALSE)</f>
        <v>#REF!</v>
      </c>
      <c r="J5" s="4" t="e">
        <f>VLOOKUP($B5,#REF!,6,FALSE)</f>
        <v>#REF!</v>
      </c>
    </row>
    <row r="6" spans="2:17">
      <c r="B6" s="7"/>
      <c r="C6" s="8" t="e">
        <f>VLOOKUP($B6,#REF!,5,FALSE)</f>
        <v>#REF!</v>
      </c>
      <c r="D6" s="8" t="e">
        <f>VLOOKUP($B6,#REF!,6,FALSE)</f>
        <v>#REF!</v>
      </c>
      <c r="E6" s="9" t="e">
        <f>VLOOKUP($B6,#REF!,17,FALSE)</f>
        <v>#REF!</v>
      </c>
      <c r="F6" s="10" t="e">
        <f>VLOOKUP($B6,#REF!,7,FALSE)</f>
        <v>#REF!</v>
      </c>
      <c r="G6" s="10"/>
      <c r="H6" s="10"/>
      <c r="I6" s="11" t="e">
        <f>VLOOKUP($B6,#REF!,19,FALSE)</f>
        <v>#REF!</v>
      </c>
      <c r="J6" s="11" t="e">
        <f>VLOOKUP($B6,#REF!,6,FALSE)</f>
        <v>#REF!</v>
      </c>
      <c r="L6" s="3" cm="1">
        <f t="array" ref="L6:L8645">_xlfn.SEQUENCE((C2-B2+1)*288,1,B2,1/288)</f>
        <v>44652</v>
      </c>
      <c r="M6" s="15"/>
    </row>
    <row r="7" spans="2:17">
      <c r="B7" s="7"/>
      <c r="C7" s="8" t="e">
        <f>VLOOKUP($B7,#REF!,5,FALSE)</f>
        <v>#REF!</v>
      </c>
      <c r="D7" s="8" t="e">
        <f>VLOOKUP($B7,#REF!,6,FALSE)</f>
        <v>#REF!</v>
      </c>
      <c r="E7" s="9" t="e">
        <f>VLOOKUP($B7,#REF!,17,FALSE)</f>
        <v>#REF!</v>
      </c>
      <c r="F7" s="10" t="e">
        <f>VLOOKUP($B7,#REF!,7,FALSE)</f>
        <v>#REF!</v>
      </c>
      <c r="G7" s="10"/>
      <c r="H7" s="10"/>
      <c r="I7" s="11" t="e">
        <f>VLOOKUP($B7,#REF!,19,FALSE)</f>
        <v>#REF!</v>
      </c>
      <c r="J7" s="11" t="e">
        <f>VLOOKUP($B7,#REF!,6,FALSE)</f>
        <v>#REF!</v>
      </c>
      <c r="L7" s="3">
        <v>44652.003472222219</v>
      </c>
      <c r="M7" s="15"/>
    </row>
    <row r="8" spans="2:17">
      <c r="B8" s="7"/>
      <c r="C8" s="8" t="e">
        <f>VLOOKUP($B8,#REF!,5,FALSE)</f>
        <v>#REF!</v>
      </c>
      <c r="D8" s="8" t="e">
        <f>VLOOKUP($B8,#REF!,6,FALSE)</f>
        <v>#REF!</v>
      </c>
      <c r="E8" s="9" t="e">
        <f>VLOOKUP($B8,#REF!,17,FALSE)</f>
        <v>#REF!</v>
      </c>
      <c r="F8" s="10" t="e">
        <f>VLOOKUP($B8,#REF!,7,FALSE)</f>
        <v>#REF!</v>
      </c>
      <c r="G8" s="10"/>
      <c r="H8" s="10"/>
      <c r="I8" s="11" t="e">
        <f>VLOOKUP($B8,#REF!,19,FALSE)</f>
        <v>#REF!</v>
      </c>
      <c r="J8" s="11" t="e">
        <f>VLOOKUP($B8,#REF!,6,FALSE)</f>
        <v>#REF!</v>
      </c>
      <c r="L8" s="3">
        <v>44652.006944444438</v>
      </c>
      <c r="M8" s="15"/>
    </row>
    <row r="9" spans="2:17">
      <c r="B9" s="7"/>
      <c r="C9" s="8" t="e">
        <f>VLOOKUP($B9,#REF!,5,FALSE)</f>
        <v>#REF!</v>
      </c>
      <c r="D9" s="8" t="e">
        <f>VLOOKUP($B9,#REF!,6,FALSE)</f>
        <v>#REF!</v>
      </c>
      <c r="E9" s="9" t="e">
        <f>VLOOKUP($B9,#REF!,17,FALSE)</f>
        <v>#REF!</v>
      </c>
      <c r="F9" s="10" t="e">
        <f>VLOOKUP($B9,#REF!,7,FALSE)</f>
        <v>#REF!</v>
      </c>
      <c r="G9" s="10"/>
      <c r="H9" s="10"/>
      <c r="I9" s="11" t="e">
        <f>VLOOKUP($B9,#REF!,19,FALSE)</f>
        <v>#REF!</v>
      </c>
      <c r="J9" s="11" t="e">
        <f>VLOOKUP($B9,#REF!,6,FALSE)</f>
        <v>#REF!</v>
      </c>
      <c r="L9" s="3">
        <v>44652.010416666657</v>
      </c>
      <c r="M9" s="15"/>
    </row>
    <row r="10" spans="2:17">
      <c r="B10" s="7"/>
      <c r="C10" s="8" t="e">
        <f>VLOOKUP($B10,#REF!,5,FALSE)</f>
        <v>#REF!</v>
      </c>
      <c r="D10" s="8" t="e">
        <f>VLOOKUP($B10,#REF!,6,FALSE)</f>
        <v>#REF!</v>
      </c>
      <c r="E10" s="9" t="e">
        <f>VLOOKUP($B10,#REF!,17,FALSE)</f>
        <v>#REF!</v>
      </c>
      <c r="F10" s="10" t="e">
        <f>VLOOKUP($B10,#REF!,7,FALSE)</f>
        <v>#REF!</v>
      </c>
      <c r="G10" s="10"/>
      <c r="H10" s="10"/>
      <c r="I10" s="11" t="e">
        <f>VLOOKUP($B10,#REF!,19,FALSE)</f>
        <v>#REF!</v>
      </c>
      <c r="J10" s="11" t="e">
        <f>VLOOKUP($B10,#REF!,6,FALSE)</f>
        <v>#REF!</v>
      </c>
      <c r="L10" s="3">
        <v>44652.013888888876</v>
      </c>
      <c r="M10" s="15"/>
    </row>
    <row r="11" spans="2:17">
      <c r="B11" s="7"/>
      <c r="C11" s="8" t="e">
        <f>VLOOKUP($B11,#REF!,5,FALSE)</f>
        <v>#REF!</v>
      </c>
      <c r="D11" s="8" t="e">
        <f>VLOOKUP($B11,#REF!,6,FALSE)</f>
        <v>#REF!</v>
      </c>
      <c r="E11" s="9" t="e">
        <f>VLOOKUP($B11,#REF!,17,FALSE)</f>
        <v>#REF!</v>
      </c>
      <c r="F11" s="10" t="e">
        <f>VLOOKUP($B11,#REF!,7,FALSE)</f>
        <v>#REF!</v>
      </c>
      <c r="G11" s="10"/>
      <c r="H11" s="10"/>
      <c r="I11" s="11" t="e">
        <f>VLOOKUP($B11,#REF!,19,FALSE)</f>
        <v>#REF!</v>
      </c>
      <c r="J11" s="11" t="e">
        <f>VLOOKUP($B11,#REF!,6,FALSE)</f>
        <v>#REF!</v>
      </c>
      <c r="L11" s="3">
        <v>44652.017361111095</v>
      </c>
      <c r="M11" s="15"/>
    </row>
    <row r="12" spans="2:17">
      <c r="B12" s="7"/>
      <c r="C12" s="8" t="e">
        <f>VLOOKUP($B12,#REF!,5,FALSE)</f>
        <v>#REF!</v>
      </c>
      <c r="D12" s="8" t="e">
        <f>VLOOKUP($B12,#REF!,6,FALSE)</f>
        <v>#REF!</v>
      </c>
      <c r="E12" s="9" t="e">
        <f>VLOOKUP($B12,#REF!,17,FALSE)</f>
        <v>#REF!</v>
      </c>
      <c r="F12" s="10" t="e">
        <f>VLOOKUP($B12,#REF!,7,FALSE)</f>
        <v>#REF!</v>
      </c>
      <c r="G12" s="10"/>
      <c r="H12" s="10"/>
      <c r="I12" s="11" t="e">
        <f>VLOOKUP($B12,#REF!,19,FALSE)</f>
        <v>#REF!</v>
      </c>
      <c r="J12" s="11" t="e">
        <f>VLOOKUP($B12,#REF!,6,FALSE)</f>
        <v>#REF!</v>
      </c>
      <c r="L12" s="3">
        <v>44652.020833333314</v>
      </c>
      <c r="M12" s="15"/>
    </row>
    <row r="13" spans="2:17">
      <c r="B13" s="7"/>
      <c r="C13" s="8" t="e">
        <f>VLOOKUP($B13,#REF!,5,FALSE)</f>
        <v>#REF!</v>
      </c>
      <c r="D13" s="8" t="e">
        <f>VLOOKUP($B13,#REF!,6,FALSE)</f>
        <v>#REF!</v>
      </c>
      <c r="E13" s="9" t="e">
        <f>VLOOKUP($B13,#REF!,17,FALSE)</f>
        <v>#REF!</v>
      </c>
      <c r="F13" s="10" t="e">
        <f>VLOOKUP($B13,#REF!,7,FALSE)</f>
        <v>#REF!</v>
      </c>
      <c r="G13" s="10"/>
      <c r="H13" s="10"/>
      <c r="I13" s="11" t="e">
        <f>VLOOKUP($B13,#REF!,19,FALSE)</f>
        <v>#REF!</v>
      </c>
      <c r="J13" s="11" t="e">
        <f>VLOOKUP($B13,#REF!,6,FALSE)</f>
        <v>#REF!</v>
      </c>
      <c r="L13" s="3">
        <v>44652.024305555533</v>
      </c>
      <c r="M13" s="15"/>
    </row>
    <row r="14" spans="2:17">
      <c r="B14" s="7"/>
      <c r="C14" s="8" t="e">
        <f>VLOOKUP($B14,#REF!,5,FALSE)</f>
        <v>#REF!</v>
      </c>
      <c r="D14" s="8" t="e">
        <f>VLOOKUP($B14,#REF!,6,FALSE)</f>
        <v>#REF!</v>
      </c>
      <c r="E14" s="9" t="e">
        <f>VLOOKUP($B14,#REF!,17,FALSE)</f>
        <v>#REF!</v>
      </c>
      <c r="F14" s="10" t="e">
        <f>VLOOKUP($B14,#REF!,7,FALSE)</f>
        <v>#REF!</v>
      </c>
      <c r="G14" s="10"/>
      <c r="H14" s="10"/>
      <c r="I14" s="11" t="e">
        <f>VLOOKUP($B14,#REF!,19,FALSE)</f>
        <v>#REF!</v>
      </c>
      <c r="J14" s="11" t="e">
        <f>VLOOKUP($B14,#REF!,6,FALSE)</f>
        <v>#REF!</v>
      </c>
      <c r="L14" s="3">
        <v>44652.027777777752</v>
      </c>
      <c r="M14" s="15"/>
    </row>
    <row r="15" spans="2:17">
      <c r="B15" s="7"/>
      <c r="C15" s="8" t="e">
        <f>VLOOKUP($B15,#REF!,5,FALSE)</f>
        <v>#REF!</v>
      </c>
      <c r="D15" s="8" t="e">
        <f>VLOOKUP($B15,#REF!,6,FALSE)</f>
        <v>#REF!</v>
      </c>
      <c r="E15" s="9" t="e">
        <f>VLOOKUP($B15,#REF!,17,FALSE)</f>
        <v>#REF!</v>
      </c>
      <c r="F15" s="10" t="e">
        <f>VLOOKUP($B15,#REF!,7,FALSE)</f>
        <v>#REF!</v>
      </c>
      <c r="G15" s="10"/>
      <c r="H15" s="10"/>
      <c r="I15" s="11" t="e">
        <f>VLOOKUP($B15,#REF!,19,FALSE)</f>
        <v>#REF!</v>
      </c>
      <c r="J15" s="11" t="e">
        <f>VLOOKUP($B15,#REF!,6,FALSE)</f>
        <v>#REF!</v>
      </c>
      <c r="L15" s="3">
        <v>44652.031249999971</v>
      </c>
      <c r="M15" s="15"/>
    </row>
    <row r="16" spans="2:17">
      <c r="B16" s="7"/>
      <c r="C16" s="8" t="e">
        <f>VLOOKUP($B16,#REF!,5,FALSE)</f>
        <v>#REF!</v>
      </c>
      <c r="D16" s="8" t="e">
        <f>VLOOKUP($B16,#REF!,6,FALSE)</f>
        <v>#REF!</v>
      </c>
      <c r="E16" s="9" t="e">
        <f>VLOOKUP($B16,#REF!,17,FALSE)</f>
        <v>#REF!</v>
      </c>
      <c r="F16" s="10" t="e">
        <f>VLOOKUP($B16,#REF!,7,FALSE)</f>
        <v>#REF!</v>
      </c>
      <c r="G16" s="10"/>
      <c r="H16" s="10"/>
      <c r="I16" s="11" t="e">
        <f>VLOOKUP($B16,#REF!,19,FALSE)</f>
        <v>#REF!</v>
      </c>
      <c r="J16" s="11" t="e">
        <f>VLOOKUP($B16,#REF!,6,FALSE)</f>
        <v>#REF!</v>
      </c>
      <c r="L16" s="3">
        <v>44652.03472222219</v>
      </c>
      <c r="M16" s="15"/>
    </row>
    <row r="17" spans="2:13">
      <c r="B17" s="7"/>
      <c r="C17" s="8" t="e">
        <f>VLOOKUP($B17,#REF!,5,FALSE)</f>
        <v>#REF!</v>
      </c>
      <c r="D17" s="8" t="e">
        <f>VLOOKUP($B17,#REF!,6,FALSE)</f>
        <v>#REF!</v>
      </c>
      <c r="E17" s="9" t="e">
        <f>VLOOKUP($B17,#REF!,17,FALSE)</f>
        <v>#REF!</v>
      </c>
      <c r="F17" s="10" t="e">
        <f>VLOOKUP($B17,#REF!,7,FALSE)</f>
        <v>#REF!</v>
      </c>
      <c r="G17" s="10"/>
      <c r="H17" s="10"/>
      <c r="I17" s="11" t="e">
        <f>VLOOKUP($B17,#REF!,19,FALSE)</f>
        <v>#REF!</v>
      </c>
      <c r="J17" s="11" t="e">
        <f>VLOOKUP($B17,#REF!,6,FALSE)</f>
        <v>#REF!</v>
      </c>
      <c r="L17" s="3">
        <v>44652.038194444409</v>
      </c>
      <c r="M17" s="15"/>
    </row>
    <row r="18" spans="2:13">
      <c r="B18" s="7"/>
      <c r="C18" s="8" t="e">
        <f>VLOOKUP($B18,#REF!,5,FALSE)</f>
        <v>#REF!</v>
      </c>
      <c r="D18" s="8" t="e">
        <f>VLOOKUP($B18,#REF!,6,FALSE)</f>
        <v>#REF!</v>
      </c>
      <c r="E18" s="9" t="e">
        <f>VLOOKUP($B18,#REF!,17,FALSE)</f>
        <v>#REF!</v>
      </c>
      <c r="F18" s="10" t="e">
        <f>VLOOKUP($B18,#REF!,7,FALSE)</f>
        <v>#REF!</v>
      </c>
      <c r="G18" s="10"/>
      <c r="H18" s="10"/>
      <c r="I18" s="11" t="e">
        <f>VLOOKUP($B18,#REF!,19,FALSE)</f>
        <v>#REF!</v>
      </c>
      <c r="J18" s="11" t="e">
        <f>VLOOKUP($B18,#REF!,6,FALSE)</f>
        <v>#REF!</v>
      </c>
      <c r="L18" s="3">
        <v>44652.041666666628</v>
      </c>
      <c r="M18" s="15"/>
    </row>
    <row r="19" spans="2:13">
      <c r="B19" s="7"/>
      <c r="C19" s="8" t="e">
        <f>VLOOKUP($B19,#REF!,5,FALSE)</f>
        <v>#REF!</v>
      </c>
      <c r="D19" s="8" t="e">
        <f>VLOOKUP($B19,#REF!,6,FALSE)</f>
        <v>#REF!</v>
      </c>
      <c r="E19" s="9" t="e">
        <f>VLOOKUP($B19,#REF!,17,FALSE)</f>
        <v>#REF!</v>
      </c>
      <c r="F19" s="10" t="e">
        <f>VLOOKUP($B19,#REF!,7,FALSE)</f>
        <v>#REF!</v>
      </c>
      <c r="G19" s="10"/>
      <c r="H19" s="10"/>
      <c r="I19" s="11" t="e">
        <f>VLOOKUP($B19,#REF!,19,FALSE)</f>
        <v>#REF!</v>
      </c>
      <c r="J19" s="11" t="e">
        <f>VLOOKUP($B19,#REF!,6,FALSE)</f>
        <v>#REF!</v>
      </c>
      <c r="L19" s="3">
        <v>44652.045138888847</v>
      </c>
      <c r="M19" s="15"/>
    </row>
    <row r="20" spans="2:13">
      <c r="B20" s="7"/>
      <c r="C20" s="8" t="e">
        <f>VLOOKUP($B20,#REF!,5,FALSE)</f>
        <v>#REF!</v>
      </c>
      <c r="D20" s="8" t="e">
        <f>VLOOKUP($B20,#REF!,6,FALSE)</f>
        <v>#REF!</v>
      </c>
      <c r="E20" s="9" t="e">
        <f>VLOOKUP($B20,#REF!,17,FALSE)</f>
        <v>#REF!</v>
      </c>
      <c r="F20" s="10" t="e">
        <f>VLOOKUP($B20,#REF!,7,FALSE)</f>
        <v>#REF!</v>
      </c>
      <c r="G20" s="10"/>
      <c r="H20" s="10"/>
      <c r="I20" s="11" t="e">
        <f>VLOOKUP($B20,#REF!,19,FALSE)</f>
        <v>#REF!</v>
      </c>
      <c r="J20" s="11" t="e">
        <f>VLOOKUP($B20,#REF!,6,FALSE)</f>
        <v>#REF!</v>
      </c>
      <c r="L20" s="3">
        <v>44652.048611111066</v>
      </c>
      <c r="M20" s="15"/>
    </row>
    <row r="21" spans="2:13">
      <c r="B21" s="7"/>
      <c r="C21" s="8" t="e">
        <f>VLOOKUP($B21,#REF!,5,FALSE)</f>
        <v>#REF!</v>
      </c>
      <c r="D21" s="8" t="e">
        <f>VLOOKUP($B21,#REF!,6,FALSE)</f>
        <v>#REF!</v>
      </c>
      <c r="E21" s="9" t="e">
        <f>VLOOKUP($B21,#REF!,17,FALSE)</f>
        <v>#REF!</v>
      </c>
      <c r="F21" s="10" t="e">
        <f>VLOOKUP($B21,#REF!,7,FALSE)</f>
        <v>#REF!</v>
      </c>
      <c r="G21" s="10"/>
      <c r="H21" s="10"/>
      <c r="I21" s="11" t="e">
        <f>VLOOKUP($B21,#REF!,19,FALSE)</f>
        <v>#REF!</v>
      </c>
      <c r="J21" s="11" t="e">
        <f>VLOOKUP($B21,#REF!,6,FALSE)</f>
        <v>#REF!</v>
      </c>
      <c r="L21" s="3">
        <v>44652.052083333285</v>
      </c>
      <c r="M21" s="15"/>
    </row>
    <row r="22" spans="2:13">
      <c r="B22" s="7"/>
      <c r="C22" s="8" t="e">
        <f>VLOOKUP($B22,#REF!,5,FALSE)</f>
        <v>#REF!</v>
      </c>
      <c r="D22" s="8" t="e">
        <f>VLOOKUP($B22,#REF!,6,FALSE)</f>
        <v>#REF!</v>
      </c>
      <c r="E22" s="9" t="e">
        <f>VLOOKUP($B22,#REF!,17,FALSE)</f>
        <v>#REF!</v>
      </c>
      <c r="F22" s="10" t="e">
        <f>VLOOKUP($B22,#REF!,7,FALSE)</f>
        <v>#REF!</v>
      </c>
      <c r="G22" s="10"/>
      <c r="H22" s="10"/>
      <c r="I22" s="11" t="e">
        <f>VLOOKUP($B22,#REF!,19,FALSE)</f>
        <v>#REF!</v>
      </c>
      <c r="J22" s="11" t="e">
        <f>VLOOKUP($B22,#REF!,6,FALSE)</f>
        <v>#REF!</v>
      </c>
      <c r="L22" s="3">
        <v>44652.055555555504</v>
      </c>
      <c r="M22" s="15"/>
    </row>
    <row r="23" spans="2:13">
      <c r="B23" s="7"/>
      <c r="C23" s="8" t="e">
        <f>VLOOKUP($B23,#REF!,5,FALSE)</f>
        <v>#REF!</v>
      </c>
      <c r="D23" s="8" t="e">
        <f>VLOOKUP($B23,#REF!,6,FALSE)</f>
        <v>#REF!</v>
      </c>
      <c r="E23" s="9" t="e">
        <f>VLOOKUP($B23,#REF!,17,FALSE)</f>
        <v>#REF!</v>
      </c>
      <c r="F23" s="10" t="e">
        <f>VLOOKUP($B23,#REF!,7,FALSE)</f>
        <v>#REF!</v>
      </c>
      <c r="G23" s="10"/>
      <c r="H23" s="10"/>
      <c r="I23" s="11" t="e">
        <f>VLOOKUP($B23,#REF!,19,FALSE)</f>
        <v>#REF!</v>
      </c>
      <c r="J23" s="11" t="e">
        <f>VLOOKUP($B23,#REF!,6,FALSE)</f>
        <v>#REF!</v>
      </c>
      <c r="L23" s="3">
        <v>44652.059027777723</v>
      </c>
      <c r="M23" s="15"/>
    </row>
    <row r="24" spans="2:13">
      <c r="B24" s="7"/>
      <c r="C24" s="8" t="e">
        <f>VLOOKUP($B24,#REF!,5,FALSE)</f>
        <v>#REF!</v>
      </c>
      <c r="D24" s="8" t="e">
        <f>VLOOKUP($B24,#REF!,6,FALSE)</f>
        <v>#REF!</v>
      </c>
      <c r="E24" s="9" t="e">
        <f>VLOOKUP($B24,#REF!,17,FALSE)</f>
        <v>#REF!</v>
      </c>
      <c r="F24" s="10" t="e">
        <f>VLOOKUP($B24,#REF!,7,FALSE)</f>
        <v>#REF!</v>
      </c>
      <c r="G24" s="10"/>
      <c r="H24" s="10"/>
      <c r="I24" s="11" t="e">
        <f>VLOOKUP($B24,#REF!,19,FALSE)</f>
        <v>#REF!</v>
      </c>
      <c r="J24" s="11" t="e">
        <f>VLOOKUP($B24,#REF!,6,FALSE)</f>
        <v>#REF!</v>
      </c>
      <c r="L24" s="3">
        <v>44652.062499999942</v>
      </c>
      <c r="M24" s="15"/>
    </row>
    <row r="25" spans="2:13">
      <c r="B25" s="7"/>
      <c r="C25" s="8" t="e">
        <f>VLOOKUP($B25,#REF!,5,FALSE)</f>
        <v>#REF!</v>
      </c>
      <c r="D25" s="8" t="e">
        <f>VLOOKUP($B25,#REF!,6,FALSE)</f>
        <v>#REF!</v>
      </c>
      <c r="E25" s="9" t="e">
        <f>VLOOKUP($B25,#REF!,17,FALSE)</f>
        <v>#REF!</v>
      </c>
      <c r="F25" s="10" t="e">
        <f>VLOOKUP($B25,#REF!,7,FALSE)</f>
        <v>#REF!</v>
      </c>
      <c r="G25" s="10"/>
      <c r="H25" s="10"/>
      <c r="I25" s="11" t="e">
        <f>VLOOKUP($B25,#REF!,19,FALSE)</f>
        <v>#REF!</v>
      </c>
      <c r="J25" s="11" t="e">
        <f>VLOOKUP($B25,#REF!,6,FALSE)</f>
        <v>#REF!</v>
      </c>
      <c r="L25" s="3">
        <v>44652.065972222161</v>
      </c>
      <c r="M25" s="15"/>
    </row>
    <row r="26" spans="2:13">
      <c r="B26" s="7"/>
      <c r="C26" s="8" t="e">
        <f>VLOOKUP($B26,#REF!,5,FALSE)</f>
        <v>#REF!</v>
      </c>
      <c r="D26" s="8" t="e">
        <f>VLOOKUP($B26,#REF!,6,FALSE)</f>
        <v>#REF!</v>
      </c>
      <c r="E26" s="9" t="e">
        <f>VLOOKUP($B26,#REF!,17,FALSE)</f>
        <v>#REF!</v>
      </c>
      <c r="F26" s="10" t="e">
        <f>VLOOKUP($B26,#REF!,7,FALSE)</f>
        <v>#REF!</v>
      </c>
      <c r="G26" s="10"/>
      <c r="H26" s="10"/>
      <c r="I26" s="11" t="e">
        <f>VLOOKUP($B26,#REF!,19,FALSE)</f>
        <v>#REF!</v>
      </c>
      <c r="J26" s="11" t="e">
        <f>VLOOKUP($B26,#REF!,6,FALSE)</f>
        <v>#REF!</v>
      </c>
      <c r="L26" s="3">
        <v>44652.06944444438</v>
      </c>
      <c r="M26" s="15"/>
    </row>
    <row r="27" spans="2:13">
      <c r="B27" s="7"/>
      <c r="C27" s="8" t="e">
        <f>VLOOKUP($B27,#REF!,5,FALSE)</f>
        <v>#REF!</v>
      </c>
      <c r="D27" s="8" t="e">
        <f>VLOOKUP($B27,#REF!,6,FALSE)</f>
        <v>#REF!</v>
      </c>
      <c r="E27" s="9" t="e">
        <f>VLOOKUP($B27,#REF!,17,FALSE)</f>
        <v>#REF!</v>
      </c>
      <c r="F27" s="10" t="e">
        <f>VLOOKUP($B27,#REF!,7,FALSE)</f>
        <v>#REF!</v>
      </c>
      <c r="G27" s="10"/>
      <c r="H27" s="10"/>
      <c r="I27" s="11" t="e">
        <f>VLOOKUP($B27,#REF!,19,FALSE)</f>
        <v>#REF!</v>
      </c>
      <c r="J27" s="11" t="e">
        <f>VLOOKUP($B27,#REF!,6,FALSE)</f>
        <v>#REF!</v>
      </c>
      <c r="L27" s="3">
        <v>44652.072916666599</v>
      </c>
      <c r="M27" s="15"/>
    </row>
    <row r="28" spans="2:13">
      <c r="B28" s="7"/>
      <c r="C28" s="8" t="e">
        <f>VLOOKUP($B28,#REF!,5,FALSE)</f>
        <v>#REF!</v>
      </c>
      <c r="D28" s="8" t="e">
        <f>VLOOKUP($B28,#REF!,6,FALSE)</f>
        <v>#REF!</v>
      </c>
      <c r="E28" s="9" t="e">
        <f>VLOOKUP($B28,#REF!,17,FALSE)</f>
        <v>#REF!</v>
      </c>
      <c r="F28" s="10" t="e">
        <f>VLOOKUP($B28,#REF!,7,FALSE)</f>
        <v>#REF!</v>
      </c>
      <c r="G28" s="10"/>
      <c r="H28" s="10"/>
      <c r="I28" s="11" t="e">
        <f>VLOOKUP($B28,#REF!,19,FALSE)</f>
        <v>#REF!</v>
      </c>
      <c r="J28" s="11" t="e">
        <f>VLOOKUP($B28,#REF!,6,FALSE)</f>
        <v>#REF!</v>
      </c>
      <c r="L28" s="3">
        <v>44652.076388888818</v>
      </c>
      <c r="M28" s="15"/>
    </row>
    <row r="29" spans="2:13">
      <c r="B29" s="7"/>
      <c r="C29" s="8" t="e">
        <f>VLOOKUP($B29,#REF!,5,FALSE)</f>
        <v>#REF!</v>
      </c>
      <c r="D29" s="8" t="e">
        <f>VLOOKUP($B29,#REF!,6,FALSE)</f>
        <v>#REF!</v>
      </c>
      <c r="E29" s="9" t="e">
        <f>VLOOKUP($B29,#REF!,17,FALSE)</f>
        <v>#REF!</v>
      </c>
      <c r="F29" s="10" t="e">
        <f>VLOOKUP($B29,#REF!,7,FALSE)</f>
        <v>#REF!</v>
      </c>
      <c r="G29" s="10"/>
      <c r="H29" s="10"/>
      <c r="I29" s="11" t="e">
        <f>VLOOKUP($B29,#REF!,19,FALSE)</f>
        <v>#REF!</v>
      </c>
      <c r="J29" s="11" t="e">
        <f>VLOOKUP($B29,#REF!,6,FALSE)</f>
        <v>#REF!</v>
      </c>
      <c r="L29" s="3">
        <v>44652.079861111037</v>
      </c>
      <c r="M29" s="15"/>
    </row>
    <row r="30" spans="2:13">
      <c r="B30" s="7"/>
      <c r="C30" s="8" t="e">
        <f>VLOOKUP($B30,#REF!,5,FALSE)</f>
        <v>#REF!</v>
      </c>
      <c r="D30" s="8" t="e">
        <f>VLOOKUP($B30,#REF!,6,FALSE)</f>
        <v>#REF!</v>
      </c>
      <c r="E30" s="9" t="e">
        <f>VLOOKUP($B30,#REF!,17,FALSE)</f>
        <v>#REF!</v>
      </c>
      <c r="F30" s="10" t="e">
        <f>VLOOKUP($B30,#REF!,7,FALSE)</f>
        <v>#REF!</v>
      </c>
      <c r="G30" s="10"/>
      <c r="H30" s="10"/>
      <c r="I30" s="11" t="e">
        <f>VLOOKUP($B30,#REF!,19,FALSE)</f>
        <v>#REF!</v>
      </c>
      <c r="J30" s="11" t="e">
        <f>VLOOKUP($B30,#REF!,6,FALSE)</f>
        <v>#REF!</v>
      </c>
      <c r="L30" s="3">
        <v>44652.083333333256</v>
      </c>
      <c r="M30" s="15"/>
    </row>
    <row r="31" spans="2:13">
      <c r="B31" s="7"/>
      <c r="C31" s="8" t="e">
        <f>VLOOKUP($B31,#REF!,5,FALSE)</f>
        <v>#REF!</v>
      </c>
      <c r="D31" s="8" t="e">
        <f>VLOOKUP($B31,#REF!,6,FALSE)</f>
        <v>#REF!</v>
      </c>
      <c r="E31" s="9" t="e">
        <f>VLOOKUP($B31,#REF!,17,FALSE)</f>
        <v>#REF!</v>
      </c>
      <c r="F31" s="10" t="e">
        <f>VLOOKUP($B31,#REF!,7,FALSE)</f>
        <v>#REF!</v>
      </c>
      <c r="G31" s="10"/>
      <c r="H31" s="10"/>
      <c r="I31" s="11" t="e">
        <f>VLOOKUP($B31,#REF!,19,FALSE)</f>
        <v>#REF!</v>
      </c>
      <c r="J31" s="11" t="e">
        <f>VLOOKUP($B31,#REF!,6,FALSE)</f>
        <v>#REF!</v>
      </c>
      <c r="L31" s="3">
        <v>44652.086805555475</v>
      </c>
      <c r="M31" s="15"/>
    </row>
    <row r="32" spans="2:13">
      <c r="B32" s="7"/>
      <c r="C32" s="8" t="e">
        <f>VLOOKUP($B32,#REF!,5,FALSE)</f>
        <v>#REF!</v>
      </c>
      <c r="D32" s="8" t="e">
        <f>VLOOKUP($B32,#REF!,6,FALSE)</f>
        <v>#REF!</v>
      </c>
      <c r="E32" s="9" t="e">
        <f>VLOOKUP($B32,#REF!,17,FALSE)</f>
        <v>#REF!</v>
      </c>
      <c r="F32" s="10" t="e">
        <f>VLOOKUP($B32,#REF!,7,FALSE)</f>
        <v>#REF!</v>
      </c>
      <c r="G32" s="10"/>
      <c r="H32" s="10"/>
      <c r="I32" s="11" t="e">
        <f>VLOOKUP($B32,#REF!,19,FALSE)</f>
        <v>#REF!</v>
      </c>
      <c r="J32" s="11" t="e">
        <f>VLOOKUP($B32,#REF!,6,FALSE)</f>
        <v>#REF!</v>
      </c>
      <c r="L32" s="3">
        <v>44652.090277777694</v>
      </c>
      <c r="M32" s="15"/>
    </row>
    <row r="33" spans="2:13">
      <c r="B33" s="7"/>
      <c r="C33" s="8" t="e">
        <f>VLOOKUP($B33,#REF!,5,FALSE)</f>
        <v>#REF!</v>
      </c>
      <c r="D33" s="8" t="e">
        <f>VLOOKUP($B33,#REF!,6,FALSE)</f>
        <v>#REF!</v>
      </c>
      <c r="E33" s="9" t="e">
        <f>VLOOKUP($B33,#REF!,17,FALSE)</f>
        <v>#REF!</v>
      </c>
      <c r="F33" s="10" t="e">
        <f>VLOOKUP($B33,#REF!,7,FALSE)</f>
        <v>#REF!</v>
      </c>
      <c r="G33" s="10"/>
      <c r="H33" s="10"/>
      <c r="I33" s="11" t="e">
        <f>VLOOKUP($B33,#REF!,19,FALSE)</f>
        <v>#REF!</v>
      </c>
      <c r="J33" s="11" t="e">
        <f>VLOOKUP($B33,#REF!,6,FALSE)</f>
        <v>#REF!</v>
      </c>
      <c r="L33" s="3">
        <v>44652.093749999913</v>
      </c>
      <c r="M33" s="15"/>
    </row>
    <row r="34" spans="2:13">
      <c r="B34" s="7"/>
      <c r="C34" s="8" t="e">
        <f>VLOOKUP($B34,#REF!,5,FALSE)</f>
        <v>#REF!</v>
      </c>
      <c r="D34" s="8" t="e">
        <f>VLOOKUP($B34,#REF!,6,FALSE)</f>
        <v>#REF!</v>
      </c>
      <c r="E34" s="9" t="e">
        <f>VLOOKUP($B34,#REF!,17,FALSE)</f>
        <v>#REF!</v>
      </c>
      <c r="F34" s="10" t="e">
        <f>VLOOKUP($B34,#REF!,7,FALSE)</f>
        <v>#REF!</v>
      </c>
      <c r="G34" s="10"/>
      <c r="H34" s="10"/>
      <c r="I34" s="11" t="e">
        <f>VLOOKUP($B34,#REF!,19,FALSE)</f>
        <v>#REF!</v>
      </c>
      <c r="J34" s="11" t="e">
        <f>VLOOKUP($B34,#REF!,6,FALSE)</f>
        <v>#REF!</v>
      </c>
      <c r="L34" s="3">
        <v>44652.097222222132</v>
      </c>
      <c r="M34" s="15"/>
    </row>
    <row r="35" spans="2:13">
      <c r="B35" s="7"/>
      <c r="C35" s="8" t="e">
        <f>VLOOKUP($B35,#REF!,5,FALSE)</f>
        <v>#REF!</v>
      </c>
      <c r="D35" s="8" t="e">
        <f>VLOOKUP($B35,#REF!,6,FALSE)</f>
        <v>#REF!</v>
      </c>
      <c r="E35" s="9" t="e">
        <f>VLOOKUP($B35,#REF!,17,FALSE)</f>
        <v>#REF!</v>
      </c>
      <c r="F35" s="10" t="e">
        <f>VLOOKUP($B35,#REF!,7,FALSE)</f>
        <v>#REF!</v>
      </c>
      <c r="G35" s="10"/>
      <c r="H35" s="10"/>
      <c r="I35" s="11" t="e">
        <f>VLOOKUP($B35,#REF!,19,FALSE)</f>
        <v>#REF!</v>
      </c>
      <c r="J35" s="11" t="e">
        <f>VLOOKUP($B35,#REF!,6,FALSE)</f>
        <v>#REF!</v>
      </c>
      <c r="L35" s="3">
        <v>44652.100694444351</v>
      </c>
      <c r="M35" s="15"/>
    </row>
    <row r="36" spans="2:13">
      <c r="B36" s="7"/>
      <c r="C36" s="8" t="e">
        <f>VLOOKUP($B36,#REF!,5,FALSE)</f>
        <v>#REF!</v>
      </c>
      <c r="D36" s="8" t="e">
        <f>VLOOKUP($B36,#REF!,6,FALSE)</f>
        <v>#REF!</v>
      </c>
      <c r="E36" s="9" t="e">
        <f>VLOOKUP($B36,#REF!,17,FALSE)</f>
        <v>#REF!</v>
      </c>
      <c r="F36" s="10" t="e">
        <f>VLOOKUP($B36,#REF!,7,FALSE)</f>
        <v>#REF!</v>
      </c>
      <c r="G36" s="10"/>
      <c r="H36" s="10"/>
      <c r="I36" s="11" t="e">
        <f>VLOOKUP($B36,#REF!,19,FALSE)</f>
        <v>#REF!</v>
      </c>
      <c r="J36" s="11" t="e">
        <f>VLOOKUP($B36,#REF!,6,FALSE)</f>
        <v>#REF!</v>
      </c>
      <c r="L36" s="3">
        <v>44652.10416666657</v>
      </c>
      <c r="M36" s="15"/>
    </row>
    <row r="37" spans="2:13">
      <c r="B37" s="7"/>
      <c r="C37" s="8" t="e">
        <f>VLOOKUP($B37,#REF!,5,FALSE)</f>
        <v>#REF!</v>
      </c>
      <c r="D37" s="8" t="e">
        <f>VLOOKUP($B37,#REF!,6,FALSE)</f>
        <v>#REF!</v>
      </c>
      <c r="E37" s="9" t="e">
        <f>VLOOKUP($B37,#REF!,17,FALSE)</f>
        <v>#REF!</v>
      </c>
      <c r="F37" s="10" t="e">
        <f>VLOOKUP($B37,#REF!,7,FALSE)</f>
        <v>#REF!</v>
      </c>
      <c r="G37" s="10"/>
      <c r="H37" s="10"/>
      <c r="I37" s="11" t="e">
        <f>VLOOKUP($B37,#REF!,19,FALSE)</f>
        <v>#REF!</v>
      </c>
      <c r="J37" s="11" t="e">
        <f>VLOOKUP($B37,#REF!,6,FALSE)</f>
        <v>#REF!</v>
      </c>
      <c r="L37" s="3">
        <v>44652.107638888789</v>
      </c>
      <c r="M37" s="15"/>
    </row>
    <row r="38" spans="2:13">
      <c r="B38" s="7"/>
      <c r="C38" s="8" t="e">
        <f>VLOOKUP($B38,#REF!,5,FALSE)</f>
        <v>#REF!</v>
      </c>
      <c r="D38" s="8" t="e">
        <f>VLOOKUP($B38,#REF!,6,FALSE)</f>
        <v>#REF!</v>
      </c>
      <c r="E38" s="9" t="e">
        <f>VLOOKUP($B38,#REF!,17,FALSE)</f>
        <v>#REF!</v>
      </c>
      <c r="F38" s="10" t="e">
        <f>VLOOKUP($B38,#REF!,7,FALSE)</f>
        <v>#REF!</v>
      </c>
      <c r="G38" s="10"/>
      <c r="H38" s="10"/>
      <c r="I38" s="11" t="e">
        <f>VLOOKUP($B38,#REF!,19,FALSE)</f>
        <v>#REF!</v>
      </c>
      <c r="J38" s="11" t="e">
        <f>VLOOKUP($B38,#REF!,6,FALSE)</f>
        <v>#REF!</v>
      </c>
      <c r="L38" s="3">
        <v>44652.111111111008</v>
      </c>
      <c r="M38" s="15"/>
    </row>
    <row r="39" spans="2:13">
      <c r="B39" s="7"/>
      <c r="C39" s="8" t="e">
        <f>VLOOKUP($B39,#REF!,5,FALSE)</f>
        <v>#REF!</v>
      </c>
      <c r="D39" s="8" t="e">
        <f>VLOOKUP($B39,#REF!,6,FALSE)</f>
        <v>#REF!</v>
      </c>
      <c r="E39" s="9" t="e">
        <f>VLOOKUP($B39,#REF!,17,FALSE)</f>
        <v>#REF!</v>
      </c>
      <c r="F39" s="10" t="e">
        <f>VLOOKUP($B39,#REF!,7,FALSE)</f>
        <v>#REF!</v>
      </c>
      <c r="G39" s="10"/>
      <c r="H39" s="10"/>
      <c r="I39" s="11" t="e">
        <f>VLOOKUP($B39,#REF!,19,FALSE)</f>
        <v>#REF!</v>
      </c>
      <c r="J39" s="11" t="e">
        <f>VLOOKUP($B39,#REF!,6,FALSE)</f>
        <v>#REF!</v>
      </c>
      <c r="L39" s="3">
        <v>44652.114583333227</v>
      </c>
      <c r="M39" s="15"/>
    </row>
    <row r="40" spans="2:13">
      <c r="B40" s="7"/>
      <c r="C40" s="8" t="e">
        <f>VLOOKUP($B40,#REF!,5,FALSE)</f>
        <v>#REF!</v>
      </c>
      <c r="D40" s="8" t="e">
        <f>VLOOKUP($B40,#REF!,6,FALSE)</f>
        <v>#REF!</v>
      </c>
      <c r="E40" s="9" t="e">
        <f>VLOOKUP($B40,#REF!,17,FALSE)</f>
        <v>#REF!</v>
      </c>
      <c r="F40" s="10" t="e">
        <f>VLOOKUP($B40,#REF!,7,FALSE)</f>
        <v>#REF!</v>
      </c>
      <c r="G40" s="10"/>
      <c r="H40" s="10"/>
      <c r="I40" s="11" t="e">
        <f>VLOOKUP($B40,#REF!,19,FALSE)</f>
        <v>#REF!</v>
      </c>
      <c r="J40" s="11" t="e">
        <f>VLOOKUP($B40,#REF!,6,FALSE)</f>
        <v>#REF!</v>
      </c>
      <c r="L40" s="3">
        <v>44652.118055555446</v>
      </c>
      <c r="M40" s="15"/>
    </row>
    <row r="41" spans="2:13">
      <c r="B41" s="7"/>
      <c r="C41" s="8" t="e">
        <f>VLOOKUP($B41,#REF!,5,FALSE)</f>
        <v>#REF!</v>
      </c>
      <c r="D41" s="8" t="e">
        <f>VLOOKUP($B41,#REF!,6,FALSE)</f>
        <v>#REF!</v>
      </c>
      <c r="E41" s="9" t="e">
        <f>VLOOKUP($B41,#REF!,17,FALSE)</f>
        <v>#REF!</v>
      </c>
      <c r="F41" s="10" t="e">
        <f>VLOOKUP($B41,#REF!,7,FALSE)</f>
        <v>#REF!</v>
      </c>
      <c r="G41" s="10"/>
      <c r="H41" s="10"/>
      <c r="I41" s="11" t="e">
        <f>VLOOKUP($B41,#REF!,19,FALSE)</f>
        <v>#REF!</v>
      </c>
      <c r="J41" s="11" t="e">
        <f>VLOOKUP($B41,#REF!,6,FALSE)</f>
        <v>#REF!</v>
      </c>
      <c r="L41" s="3">
        <v>44652.121527777665</v>
      </c>
      <c r="M41" s="15"/>
    </row>
    <row r="42" spans="2:13">
      <c r="B42" s="7"/>
      <c r="C42" s="8" t="e">
        <f>VLOOKUP($B42,#REF!,5,FALSE)</f>
        <v>#REF!</v>
      </c>
      <c r="D42" s="8" t="e">
        <f>VLOOKUP($B42,#REF!,6,FALSE)</f>
        <v>#REF!</v>
      </c>
      <c r="E42" s="9" t="e">
        <f>VLOOKUP($B42,#REF!,17,FALSE)</f>
        <v>#REF!</v>
      </c>
      <c r="F42" s="10" t="e">
        <f>VLOOKUP($B42,#REF!,7,FALSE)</f>
        <v>#REF!</v>
      </c>
      <c r="G42" s="10"/>
      <c r="H42" s="10"/>
      <c r="I42" s="11" t="e">
        <f>VLOOKUP($B42,#REF!,19,FALSE)</f>
        <v>#REF!</v>
      </c>
      <c r="J42" s="11" t="e">
        <f>VLOOKUP($B42,#REF!,6,FALSE)</f>
        <v>#REF!</v>
      </c>
      <c r="L42" s="3">
        <v>44652.124999999884</v>
      </c>
      <c r="M42" s="15"/>
    </row>
    <row r="43" spans="2:13">
      <c r="B43" s="7"/>
      <c r="C43" s="8" t="e">
        <f>VLOOKUP($B43,#REF!,5,FALSE)</f>
        <v>#REF!</v>
      </c>
      <c r="D43" s="8" t="e">
        <f>VLOOKUP($B43,#REF!,6,FALSE)</f>
        <v>#REF!</v>
      </c>
      <c r="E43" s="9" t="e">
        <f>VLOOKUP($B43,#REF!,17,FALSE)</f>
        <v>#REF!</v>
      </c>
      <c r="F43" s="10" t="e">
        <f>VLOOKUP($B43,#REF!,7,FALSE)</f>
        <v>#REF!</v>
      </c>
      <c r="G43" s="10"/>
      <c r="H43" s="10"/>
      <c r="I43" s="11" t="e">
        <f>VLOOKUP($B43,#REF!,19,FALSE)</f>
        <v>#REF!</v>
      </c>
      <c r="J43" s="11" t="e">
        <f>VLOOKUP($B43,#REF!,6,FALSE)</f>
        <v>#REF!</v>
      </c>
      <c r="L43" s="3">
        <v>44652.128472222103</v>
      </c>
      <c r="M43" s="15"/>
    </row>
    <row r="44" spans="2:13">
      <c r="B44" s="7"/>
      <c r="C44" s="8" t="e">
        <f>VLOOKUP($B44,#REF!,5,FALSE)</f>
        <v>#REF!</v>
      </c>
      <c r="D44" s="8" t="e">
        <f>VLOOKUP($B44,#REF!,6,FALSE)</f>
        <v>#REF!</v>
      </c>
      <c r="E44" s="9" t="e">
        <f>VLOOKUP($B44,#REF!,17,FALSE)</f>
        <v>#REF!</v>
      </c>
      <c r="F44" s="10" t="e">
        <f>VLOOKUP($B44,#REF!,7,FALSE)</f>
        <v>#REF!</v>
      </c>
      <c r="G44" s="10"/>
      <c r="H44" s="10"/>
      <c r="I44" s="11" t="e">
        <f>VLOOKUP($B44,#REF!,19,FALSE)</f>
        <v>#REF!</v>
      </c>
      <c r="J44" s="11" t="e">
        <f>VLOOKUP($B44,#REF!,6,FALSE)</f>
        <v>#REF!</v>
      </c>
      <c r="L44" s="3">
        <v>44652.131944444322</v>
      </c>
      <c r="M44" s="15"/>
    </row>
    <row r="45" spans="2:13">
      <c r="B45" s="7"/>
      <c r="C45" s="8" t="e">
        <f>VLOOKUP($B45,#REF!,5,FALSE)</f>
        <v>#REF!</v>
      </c>
      <c r="D45" s="8" t="e">
        <f>VLOOKUP($B45,#REF!,6,FALSE)</f>
        <v>#REF!</v>
      </c>
      <c r="E45" s="9" t="e">
        <f>VLOOKUP($B45,#REF!,17,FALSE)</f>
        <v>#REF!</v>
      </c>
      <c r="F45" s="10" t="e">
        <f>VLOOKUP($B45,#REF!,7,FALSE)</f>
        <v>#REF!</v>
      </c>
      <c r="G45" s="10"/>
      <c r="H45" s="10"/>
      <c r="I45" s="11" t="e">
        <f>VLOOKUP($B45,#REF!,19,FALSE)</f>
        <v>#REF!</v>
      </c>
      <c r="J45" s="11" t="e">
        <f>VLOOKUP($B45,#REF!,6,FALSE)</f>
        <v>#REF!</v>
      </c>
      <c r="L45" s="3">
        <v>44652.135416666541</v>
      </c>
      <c r="M45" s="15"/>
    </row>
    <row r="46" spans="2:13">
      <c r="B46" s="7"/>
      <c r="C46" s="8" t="e">
        <f>VLOOKUP($B46,#REF!,5,FALSE)</f>
        <v>#REF!</v>
      </c>
      <c r="D46" s="8" t="e">
        <f>VLOOKUP($B46,#REF!,6,FALSE)</f>
        <v>#REF!</v>
      </c>
      <c r="E46" s="9" t="e">
        <f>VLOOKUP($B46,#REF!,17,FALSE)</f>
        <v>#REF!</v>
      </c>
      <c r="F46" s="10" t="e">
        <f>VLOOKUP($B46,#REF!,7,FALSE)</f>
        <v>#REF!</v>
      </c>
      <c r="G46" s="10"/>
      <c r="H46" s="10"/>
      <c r="I46" s="11" t="e">
        <f>VLOOKUP($B46,#REF!,19,FALSE)</f>
        <v>#REF!</v>
      </c>
      <c r="J46" s="11" t="e">
        <f>VLOOKUP($B46,#REF!,6,FALSE)</f>
        <v>#REF!</v>
      </c>
      <c r="L46" s="3">
        <v>44652.13888888876</v>
      </c>
      <c r="M46" s="15"/>
    </row>
    <row r="47" spans="2:13">
      <c r="B47" s="7"/>
      <c r="C47" s="8" t="e">
        <f>VLOOKUP($B47,#REF!,5,FALSE)</f>
        <v>#REF!</v>
      </c>
      <c r="D47" s="8" t="e">
        <f>VLOOKUP($B47,#REF!,6,FALSE)</f>
        <v>#REF!</v>
      </c>
      <c r="E47" s="9" t="e">
        <f>VLOOKUP($B47,#REF!,17,FALSE)</f>
        <v>#REF!</v>
      </c>
      <c r="F47" s="10" t="e">
        <f>VLOOKUP($B47,#REF!,7,FALSE)</f>
        <v>#REF!</v>
      </c>
      <c r="G47" s="10"/>
      <c r="H47" s="10"/>
      <c r="I47" s="11" t="e">
        <f>VLOOKUP($B47,#REF!,19,FALSE)</f>
        <v>#REF!</v>
      </c>
      <c r="J47" s="11" t="e">
        <f>VLOOKUP($B47,#REF!,6,FALSE)</f>
        <v>#REF!</v>
      </c>
      <c r="L47" s="3">
        <v>44652.142361110979</v>
      </c>
      <c r="M47" s="15"/>
    </row>
    <row r="48" spans="2:13">
      <c r="B48" s="7"/>
      <c r="C48" s="8" t="e">
        <f>VLOOKUP($B48,#REF!,5,FALSE)</f>
        <v>#REF!</v>
      </c>
      <c r="D48" s="8" t="e">
        <f>VLOOKUP($B48,#REF!,6,FALSE)</f>
        <v>#REF!</v>
      </c>
      <c r="E48" s="9" t="e">
        <f>VLOOKUP($B48,#REF!,17,FALSE)</f>
        <v>#REF!</v>
      </c>
      <c r="F48" s="10" t="e">
        <f>VLOOKUP($B48,#REF!,7,FALSE)</f>
        <v>#REF!</v>
      </c>
      <c r="G48" s="10"/>
      <c r="H48" s="10"/>
      <c r="I48" s="11" t="e">
        <f>VLOOKUP($B48,#REF!,19,FALSE)</f>
        <v>#REF!</v>
      </c>
      <c r="J48" s="11" t="e">
        <f>VLOOKUP($B48,#REF!,6,FALSE)</f>
        <v>#REF!</v>
      </c>
      <c r="L48" s="3">
        <v>44652.145833333198</v>
      </c>
      <c r="M48" s="15"/>
    </row>
    <row r="49" spans="2:13">
      <c r="B49" s="7"/>
      <c r="C49" s="8" t="e">
        <f>VLOOKUP($B49,#REF!,5,FALSE)</f>
        <v>#REF!</v>
      </c>
      <c r="D49" s="8" t="e">
        <f>VLOOKUP($B49,#REF!,6,FALSE)</f>
        <v>#REF!</v>
      </c>
      <c r="E49" s="9" t="e">
        <f>VLOOKUP($B49,#REF!,17,FALSE)</f>
        <v>#REF!</v>
      </c>
      <c r="F49" s="10" t="e">
        <f>VLOOKUP($B49,#REF!,7,FALSE)</f>
        <v>#REF!</v>
      </c>
      <c r="G49" s="10"/>
      <c r="H49" s="10"/>
      <c r="I49" s="11" t="e">
        <f>VLOOKUP($B49,#REF!,19,FALSE)</f>
        <v>#REF!</v>
      </c>
      <c r="J49" s="11" t="e">
        <f>VLOOKUP($B49,#REF!,6,FALSE)</f>
        <v>#REF!</v>
      </c>
      <c r="L49" s="3">
        <v>44652.149305555417</v>
      </c>
      <c r="M49" s="15"/>
    </row>
    <row r="50" spans="2:13">
      <c r="B50" s="7"/>
      <c r="C50" s="8" t="e">
        <f>VLOOKUP($B50,#REF!,5,FALSE)</f>
        <v>#REF!</v>
      </c>
      <c r="D50" s="8" t="e">
        <f>VLOOKUP($B50,#REF!,6,FALSE)</f>
        <v>#REF!</v>
      </c>
      <c r="E50" s="9" t="e">
        <f>VLOOKUP($B50,#REF!,17,FALSE)</f>
        <v>#REF!</v>
      </c>
      <c r="F50" s="10" t="e">
        <f>VLOOKUP($B50,#REF!,7,FALSE)</f>
        <v>#REF!</v>
      </c>
      <c r="G50" s="10"/>
      <c r="H50" s="10"/>
      <c r="I50" s="11" t="e">
        <f>VLOOKUP($B50,#REF!,19,FALSE)</f>
        <v>#REF!</v>
      </c>
      <c r="J50" s="11" t="e">
        <f>VLOOKUP($B50,#REF!,6,FALSE)</f>
        <v>#REF!</v>
      </c>
      <c r="L50" s="3">
        <v>44652.152777777635</v>
      </c>
      <c r="M50" s="15"/>
    </row>
    <row r="51" spans="2:13">
      <c r="B51" s="7"/>
      <c r="C51" s="8" t="e">
        <f>VLOOKUP($B51,#REF!,5,FALSE)</f>
        <v>#REF!</v>
      </c>
      <c r="D51" s="8" t="e">
        <f>VLOOKUP($B51,#REF!,6,FALSE)</f>
        <v>#REF!</v>
      </c>
      <c r="E51" s="9" t="e">
        <f>VLOOKUP($B51,#REF!,17,FALSE)</f>
        <v>#REF!</v>
      </c>
      <c r="F51" s="10" t="e">
        <f>VLOOKUP($B51,#REF!,7,FALSE)</f>
        <v>#REF!</v>
      </c>
      <c r="G51" s="10"/>
      <c r="H51" s="10"/>
      <c r="I51" s="11" t="e">
        <f>VLOOKUP($B51,#REF!,19,FALSE)</f>
        <v>#REF!</v>
      </c>
      <c r="J51" s="11" t="e">
        <f>VLOOKUP($B51,#REF!,6,FALSE)</f>
        <v>#REF!</v>
      </c>
      <c r="L51" s="3">
        <v>44652.156249999854</v>
      </c>
      <c r="M51" s="15"/>
    </row>
    <row r="52" spans="2:13">
      <c r="B52" s="7"/>
      <c r="C52" s="8" t="e">
        <f>VLOOKUP($B52,#REF!,5,FALSE)</f>
        <v>#REF!</v>
      </c>
      <c r="D52" s="8" t="e">
        <f>VLOOKUP($B52,#REF!,6,FALSE)</f>
        <v>#REF!</v>
      </c>
      <c r="E52" s="9" t="e">
        <f>VLOOKUP($B52,#REF!,17,FALSE)</f>
        <v>#REF!</v>
      </c>
      <c r="F52" s="10" t="e">
        <f>VLOOKUP($B52,#REF!,7,FALSE)</f>
        <v>#REF!</v>
      </c>
      <c r="G52" s="10"/>
      <c r="H52" s="10"/>
      <c r="I52" s="11" t="e">
        <f>VLOOKUP($B52,#REF!,19,FALSE)</f>
        <v>#REF!</v>
      </c>
      <c r="J52" s="11" t="e">
        <f>VLOOKUP($B52,#REF!,6,FALSE)</f>
        <v>#REF!</v>
      </c>
      <c r="L52" s="3">
        <v>44652.159722222073</v>
      </c>
      <c r="M52" s="15"/>
    </row>
    <row r="53" spans="2:13">
      <c r="B53" s="7"/>
      <c r="C53" s="8" t="e">
        <f>VLOOKUP($B53,#REF!,5,FALSE)</f>
        <v>#REF!</v>
      </c>
      <c r="D53" s="8" t="e">
        <f>VLOOKUP($B53,#REF!,6,FALSE)</f>
        <v>#REF!</v>
      </c>
      <c r="E53" s="9" t="e">
        <f>VLOOKUP($B53,#REF!,17,FALSE)</f>
        <v>#REF!</v>
      </c>
      <c r="F53" s="10" t="e">
        <f>VLOOKUP($B53,#REF!,7,FALSE)</f>
        <v>#REF!</v>
      </c>
      <c r="G53" s="10"/>
      <c r="H53" s="10"/>
      <c r="I53" s="11" t="e">
        <f>VLOOKUP($B53,#REF!,19,FALSE)</f>
        <v>#REF!</v>
      </c>
      <c r="J53" s="11" t="e">
        <f>VLOOKUP($B53,#REF!,6,FALSE)</f>
        <v>#REF!</v>
      </c>
      <c r="L53" s="3">
        <v>44652.163194444292</v>
      </c>
      <c r="M53" s="15"/>
    </row>
    <row r="54" spans="2:13">
      <c r="B54" s="7"/>
      <c r="C54" s="8" t="e">
        <f>VLOOKUP($B54,#REF!,5,FALSE)</f>
        <v>#REF!</v>
      </c>
      <c r="D54" s="8" t="e">
        <f>VLOOKUP($B54,#REF!,6,FALSE)</f>
        <v>#REF!</v>
      </c>
      <c r="E54" s="9" t="e">
        <f>VLOOKUP($B54,#REF!,17,FALSE)</f>
        <v>#REF!</v>
      </c>
      <c r="F54" s="10" t="e">
        <f>VLOOKUP($B54,#REF!,7,FALSE)</f>
        <v>#REF!</v>
      </c>
      <c r="G54" s="10"/>
      <c r="H54" s="10"/>
      <c r="I54" s="11" t="e">
        <f>VLOOKUP($B54,#REF!,19,FALSE)</f>
        <v>#REF!</v>
      </c>
      <c r="J54" s="11" t="e">
        <f>VLOOKUP($B54,#REF!,6,FALSE)</f>
        <v>#REF!</v>
      </c>
      <c r="L54" s="3">
        <v>44652.166666666511</v>
      </c>
      <c r="M54" s="15"/>
    </row>
    <row r="55" spans="2:13">
      <c r="B55" s="7"/>
      <c r="C55" s="8" t="e">
        <f>VLOOKUP($B55,#REF!,5,FALSE)</f>
        <v>#REF!</v>
      </c>
      <c r="D55" s="8" t="e">
        <f>VLOOKUP($B55,#REF!,6,FALSE)</f>
        <v>#REF!</v>
      </c>
      <c r="E55" s="9" t="e">
        <f>VLOOKUP($B55,#REF!,17,FALSE)</f>
        <v>#REF!</v>
      </c>
      <c r="F55" s="10" t="e">
        <f>VLOOKUP($B55,#REF!,7,FALSE)</f>
        <v>#REF!</v>
      </c>
      <c r="G55" s="10"/>
      <c r="H55" s="10"/>
      <c r="I55" s="11" t="e">
        <f>VLOOKUP($B55,#REF!,19,FALSE)</f>
        <v>#REF!</v>
      </c>
      <c r="J55" s="11" t="e">
        <f>VLOOKUP($B55,#REF!,6,FALSE)</f>
        <v>#REF!</v>
      </c>
      <c r="L55" s="3">
        <v>44652.17013888873</v>
      </c>
      <c r="M55" s="15"/>
    </row>
    <row r="56" spans="2:13">
      <c r="B56" s="7"/>
      <c r="C56" s="8" t="e">
        <f>VLOOKUP($B56,#REF!,5,FALSE)</f>
        <v>#REF!</v>
      </c>
      <c r="D56" s="8" t="e">
        <f>VLOOKUP($B56,#REF!,6,FALSE)</f>
        <v>#REF!</v>
      </c>
      <c r="E56" s="9" t="e">
        <f>VLOOKUP($B56,#REF!,17,FALSE)</f>
        <v>#REF!</v>
      </c>
      <c r="F56" s="10" t="e">
        <f>VLOOKUP($B56,#REF!,7,FALSE)</f>
        <v>#REF!</v>
      </c>
      <c r="G56" s="10"/>
      <c r="H56" s="10"/>
      <c r="I56" s="11" t="e">
        <f>VLOOKUP($B56,#REF!,19,FALSE)</f>
        <v>#REF!</v>
      </c>
      <c r="J56" s="11" t="e">
        <f>VLOOKUP($B56,#REF!,6,FALSE)</f>
        <v>#REF!</v>
      </c>
      <c r="L56" s="3">
        <v>44652.173611110949</v>
      </c>
      <c r="M56" s="15"/>
    </row>
    <row r="57" spans="2:13">
      <c r="B57" s="7"/>
      <c r="C57" s="8" t="e">
        <f>VLOOKUP($B57,#REF!,5,FALSE)</f>
        <v>#REF!</v>
      </c>
      <c r="D57" s="8" t="e">
        <f>VLOOKUP($B57,#REF!,6,FALSE)</f>
        <v>#REF!</v>
      </c>
      <c r="E57" s="9" t="e">
        <f>VLOOKUP($B57,#REF!,17,FALSE)</f>
        <v>#REF!</v>
      </c>
      <c r="F57" s="10" t="e">
        <f>VLOOKUP($B57,#REF!,7,FALSE)</f>
        <v>#REF!</v>
      </c>
      <c r="G57" s="10"/>
      <c r="H57" s="10"/>
      <c r="I57" s="11" t="e">
        <f>VLOOKUP($B57,#REF!,19,FALSE)</f>
        <v>#REF!</v>
      </c>
      <c r="J57" s="11" t="e">
        <f>VLOOKUP($B57,#REF!,6,FALSE)</f>
        <v>#REF!</v>
      </c>
      <c r="L57" s="3">
        <v>44652.177083333168</v>
      </c>
      <c r="M57" s="15"/>
    </row>
    <row r="58" spans="2:13">
      <c r="B58" s="7"/>
      <c r="C58" s="8" t="e">
        <f>VLOOKUP($B58,#REF!,5,FALSE)</f>
        <v>#REF!</v>
      </c>
      <c r="D58" s="8" t="e">
        <f>VLOOKUP($B58,#REF!,6,FALSE)</f>
        <v>#REF!</v>
      </c>
      <c r="E58" s="9" t="e">
        <f>VLOOKUP($B58,#REF!,17,FALSE)</f>
        <v>#REF!</v>
      </c>
      <c r="F58" s="10" t="e">
        <f>VLOOKUP($B58,#REF!,7,FALSE)</f>
        <v>#REF!</v>
      </c>
      <c r="G58" s="10"/>
      <c r="H58" s="10"/>
      <c r="I58" s="11" t="e">
        <f>VLOOKUP($B58,#REF!,19,FALSE)</f>
        <v>#REF!</v>
      </c>
      <c r="J58" s="11" t="e">
        <f>VLOOKUP($B58,#REF!,6,FALSE)</f>
        <v>#REF!</v>
      </c>
      <c r="L58" s="3">
        <v>44652.180555555387</v>
      </c>
      <c r="M58" s="15"/>
    </row>
    <row r="59" spans="2:13">
      <c r="B59" s="7"/>
      <c r="C59" s="8" t="e">
        <f>VLOOKUP($B59,#REF!,5,FALSE)</f>
        <v>#REF!</v>
      </c>
      <c r="D59" s="8" t="e">
        <f>VLOOKUP($B59,#REF!,6,FALSE)</f>
        <v>#REF!</v>
      </c>
      <c r="E59" s="9" t="e">
        <f>VLOOKUP($B59,#REF!,17,FALSE)</f>
        <v>#REF!</v>
      </c>
      <c r="F59" s="10" t="e">
        <f>VLOOKUP($B59,#REF!,7,FALSE)</f>
        <v>#REF!</v>
      </c>
      <c r="G59" s="10"/>
      <c r="H59" s="10"/>
      <c r="I59" s="11" t="e">
        <f>VLOOKUP($B59,#REF!,19,FALSE)</f>
        <v>#REF!</v>
      </c>
      <c r="J59" s="11" t="e">
        <f>VLOOKUP($B59,#REF!,6,FALSE)</f>
        <v>#REF!</v>
      </c>
      <c r="L59" s="3">
        <v>44652.184027777606</v>
      </c>
      <c r="M59" s="15"/>
    </row>
    <row r="60" spans="2:13">
      <c r="B60" s="7"/>
      <c r="C60" s="8" t="e">
        <f>VLOOKUP($B60,#REF!,5,FALSE)</f>
        <v>#REF!</v>
      </c>
      <c r="D60" s="8" t="e">
        <f>VLOOKUP($B60,#REF!,6,FALSE)</f>
        <v>#REF!</v>
      </c>
      <c r="E60" s="9" t="e">
        <f>VLOOKUP($B60,#REF!,17,FALSE)</f>
        <v>#REF!</v>
      </c>
      <c r="F60" s="10" t="e">
        <f>VLOOKUP($B60,#REF!,7,FALSE)</f>
        <v>#REF!</v>
      </c>
      <c r="G60" s="10"/>
      <c r="H60" s="10"/>
      <c r="I60" s="11" t="e">
        <f>VLOOKUP($B60,#REF!,19,FALSE)</f>
        <v>#REF!</v>
      </c>
      <c r="J60" s="11" t="e">
        <f>VLOOKUP($B60,#REF!,6,FALSE)</f>
        <v>#REF!</v>
      </c>
      <c r="L60" s="3">
        <v>44652.187499999825</v>
      </c>
      <c r="M60" s="15"/>
    </row>
    <row r="61" spans="2:13">
      <c r="B61" s="7"/>
      <c r="C61" s="8" t="e">
        <f>VLOOKUP($B61,#REF!,5,FALSE)</f>
        <v>#REF!</v>
      </c>
      <c r="D61" s="8" t="e">
        <f>VLOOKUP($B61,#REF!,6,FALSE)</f>
        <v>#REF!</v>
      </c>
      <c r="E61" s="9" t="e">
        <f>VLOOKUP($B61,#REF!,17,FALSE)</f>
        <v>#REF!</v>
      </c>
      <c r="F61" s="10" t="e">
        <f>VLOOKUP($B61,#REF!,7,FALSE)</f>
        <v>#REF!</v>
      </c>
      <c r="G61" s="10"/>
      <c r="H61" s="10"/>
      <c r="I61" s="11" t="e">
        <f>VLOOKUP($B61,#REF!,19,FALSE)</f>
        <v>#REF!</v>
      </c>
      <c r="J61" s="11" t="e">
        <f>VLOOKUP($B61,#REF!,6,FALSE)</f>
        <v>#REF!</v>
      </c>
      <c r="L61" s="3">
        <v>44652.190972222044</v>
      </c>
      <c r="M61" s="15"/>
    </row>
    <row r="62" spans="2:13">
      <c r="B62" s="7"/>
      <c r="C62" s="8" t="e">
        <f>VLOOKUP($B62,#REF!,5,FALSE)</f>
        <v>#REF!</v>
      </c>
      <c r="D62" s="8" t="e">
        <f>VLOOKUP($B62,#REF!,6,FALSE)</f>
        <v>#REF!</v>
      </c>
      <c r="E62" s="9" t="e">
        <f>VLOOKUP($B62,#REF!,17,FALSE)</f>
        <v>#REF!</v>
      </c>
      <c r="F62" s="10" t="e">
        <f>VLOOKUP($B62,#REF!,7,FALSE)</f>
        <v>#REF!</v>
      </c>
      <c r="G62" s="10"/>
      <c r="H62" s="10"/>
      <c r="I62" s="11" t="e">
        <f>VLOOKUP($B62,#REF!,19,FALSE)</f>
        <v>#REF!</v>
      </c>
      <c r="J62" s="11" t="e">
        <f>VLOOKUP($B62,#REF!,6,FALSE)</f>
        <v>#REF!</v>
      </c>
      <c r="L62" s="3">
        <v>44652.194444444263</v>
      </c>
      <c r="M62" s="15"/>
    </row>
    <row r="63" spans="2:13">
      <c r="B63" s="7"/>
      <c r="C63" s="8" t="e">
        <f>VLOOKUP($B63,#REF!,5,FALSE)</f>
        <v>#REF!</v>
      </c>
      <c r="D63" s="8" t="e">
        <f>VLOOKUP($B63,#REF!,6,FALSE)</f>
        <v>#REF!</v>
      </c>
      <c r="E63" s="9" t="e">
        <f>VLOOKUP($B63,#REF!,17,FALSE)</f>
        <v>#REF!</v>
      </c>
      <c r="F63" s="10" t="e">
        <f>VLOOKUP($B63,#REF!,7,FALSE)</f>
        <v>#REF!</v>
      </c>
      <c r="G63" s="10"/>
      <c r="H63" s="10"/>
      <c r="I63" s="11" t="e">
        <f>VLOOKUP($B63,#REF!,19,FALSE)</f>
        <v>#REF!</v>
      </c>
      <c r="J63" s="11" t="e">
        <f>VLOOKUP($B63,#REF!,6,FALSE)</f>
        <v>#REF!</v>
      </c>
      <c r="L63" s="3">
        <v>44652.197916666482</v>
      </c>
      <c r="M63" s="15"/>
    </row>
    <row r="64" spans="2:13">
      <c r="B64" s="7"/>
      <c r="C64" s="8" t="e">
        <f>VLOOKUP($B64,#REF!,5,FALSE)</f>
        <v>#REF!</v>
      </c>
      <c r="D64" s="8" t="e">
        <f>VLOOKUP($B64,#REF!,6,FALSE)</f>
        <v>#REF!</v>
      </c>
      <c r="E64" s="9" t="e">
        <f>VLOOKUP($B64,#REF!,17,FALSE)</f>
        <v>#REF!</v>
      </c>
      <c r="F64" s="10" t="e">
        <f>VLOOKUP($B64,#REF!,7,FALSE)</f>
        <v>#REF!</v>
      </c>
      <c r="G64" s="10"/>
      <c r="H64" s="10"/>
      <c r="I64" s="11" t="e">
        <f>VLOOKUP($B64,#REF!,19,FALSE)</f>
        <v>#REF!</v>
      </c>
      <c r="J64" s="11" t="e">
        <f>VLOOKUP($B64,#REF!,6,FALSE)</f>
        <v>#REF!</v>
      </c>
      <c r="L64" s="3">
        <v>44652.201388888701</v>
      </c>
      <c r="M64" s="15"/>
    </row>
    <row r="65" spans="2:13">
      <c r="B65" s="7"/>
      <c r="C65" s="8" t="e">
        <f>VLOOKUP($B65,#REF!,5,FALSE)</f>
        <v>#REF!</v>
      </c>
      <c r="D65" s="8" t="e">
        <f>VLOOKUP($B65,#REF!,6,FALSE)</f>
        <v>#REF!</v>
      </c>
      <c r="E65" s="9" t="e">
        <f>VLOOKUP($B65,#REF!,17,FALSE)</f>
        <v>#REF!</v>
      </c>
      <c r="F65" s="10" t="e">
        <f>VLOOKUP($B65,#REF!,7,FALSE)</f>
        <v>#REF!</v>
      </c>
      <c r="G65" s="10"/>
      <c r="H65" s="10"/>
      <c r="I65" s="11" t="e">
        <f>VLOOKUP($B65,#REF!,19,FALSE)</f>
        <v>#REF!</v>
      </c>
      <c r="J65" s="11" t="e">
        <f>VLOOKUP($B65,#REF!,6,FALSE)</f>
        <v>#REF!</v>
      </c>
      <c r="L65" s="3">
        <v>44652.20486111092</v>
      </c>
      <c r="M65" s="15"/>
    </row>
    <row r="66" spans="2:13">
      <c r="B66" s="7"/>
      <c r="C66" s="8" t="e">
        <f>VLOOKUP($B66,#REF!,5,FALSE)</f>
        <v>#REF!</v>
      </c>
      <c r="D66" s="8" t="e">
        <f>VLOOKUP($B66,#REF!,6,FALSE)</f>
        <v>#REF!</v>
      </c>
      <c r="E66" s="9" t="e">
        <f>VLOOKUP($B66,#REF!,17,FALSE)</f>
        <v>#REF!</v>
      </c>
      <c r="F66" s="10" t="e">
        <f>VLOOKUP($B66,#REF!,7,FALSE)</f>
        <v>#REF!</v>
      </c>
      <c r="G66" s="10"/>
      <c r="H66" s="10"/>
      <c r="I66" s="11" t="e">
        <f>VLOOKUP($B66,#REF!,19,FALSE)</f>
        <v>#REF!</v>
      </c>
      <c r="J66" s="11" t="e">
        <f>VLOOKUP($B66,#REF!,6,FALSE)</f>
        <v>#REF!</v>
      </c>
      <c r="L66" s="3">
        <v>44652.208333333139</v>
      </c>
      <c r="M66" s="15"/>
    </row>
    <row r="67" spans="2:13">
      <c r="B67" s="7"/>
      <c r="C67" s="8" t="e">
        <f>VLOOKUP($B67,#REF!,5,FALSE)</f>
        <v>#REF!</v>
      </c>
      <c r="D67" s="8" t="e">
        <f>VLOOKUP($B67,#REF!,6,FALSE)</f>
        <v>#REF!</v>
      </c>
      <c r="E67" s="9" t="e">
        <f>VLOOKUP($B67,#REF!,17,FALSE)</f>
        <v>#REF!</v>
      </c>
      <c r="F67" s="10" t="e">
        <f>VLOOKUP($B67,#REF!,7,FALSE)</f>
        <v>#REF!</v>
      </c>
      <c r="G67" s="10"/>
      <c r="H67" s="10"/>
      <c r="I67" s="11" t="e">
        <f>VLOOKUP($B67,#REF!,19,FALSE)</f>
        <v>#REF!</v>
      </c>
      <c r="J67" s="11" t="e">
        <f>VLOOKUP($B67,#REF!,6,FALSE)</f>
        <v>#REF!</v>
      </c>
      <c r="L67" s="3">
        <v>44652.211805555358</v>
      </c>
      <c r="M67" s="15"/>
    </row>
    <row r="68" spans="2:13">
      <c r="B68" s="7"/>
      <c r="C68" s="8" t="e">
        <f>VLOOKUP($B68,#REF!,5,FALSE)</f>
        <v>#REF!</v>
      </c>
      <c r="D68" s="8" t="e">
        <f>VLOOKUP($B68,#REF!,6,FALSE)</f>
        <v>#REF!</v>
      </c>
      <c r="E68" s="9" t="e">
        <f>VLOOKUP($B68,#REF!,17,FALSE)</f>
        <v>#REF!</v>
      </c>
      <c r="F68" s="10" t="e">
        <f>VLOOKUP($B68,#REF!,7,FALSE)</f>
        <v>#REF!</v>
      </c>
      <c r="G68" s="10"/>
      <c r="H68" s="10"/>
      <c r="I68" s="11" t="e">
        <f>VLOOKUP($B68,#REF!,19,FALSE)</f>
        <v>#REF!</v>
      </c>
      <c r="J68" s="11" t="e">
        <f>VLOOKUP($B68,#REF!,6,FALSE)</f>
        <v>#REF!</v>
      </c>
      <c r="L68" s="3">
        <v>44652.215277777577</v>
      </c>
      <c r="M68" s="15"/>
    </row>
    <row r="69" spans="2:13">
      <c r="B69" s="7"/>
      <c r="C69" s="8" t="e">
        <f>VLOOKUP($B69,#REF!,5,FALSE)</f>
        <v>#REF!</v>
      </c>
      <c r="D69" s="8" t="e">
        <f>VLOOKUP($B69,#REF!,6,FALSE)</f>
        <v>#REF!</v>
      </c>
      <c r="E69" s="9" t="e">
        <f>VLOOKUP($B69,#REF!,17,FALSE)</f>
        <v>#REF!</v>
      </c>
      <c r="F69" s="10" t="e">
        <f>VLOOKUP($B69,#REF!,7,FALSE)</f>
        <v>#REF!</v>
      </c>
      <c r="G69" s="10"/>
      <c r="H69" s="10"/>
      <c r="I69" s="11" t="e">
        <f>VLOOKUP($B69,#REF!,19,FALSE)</f>
        <v>#REF!</v>
      </c>
      <c r="J69" s="11" t="e">
        <f>VLOOKUP($B69,#REF!,6,FALSE)</f>
        <v>#REF!</v>
      </c>
      <c r="L69" s="3">
        <v>44652.218749999796</v>
      </c>
      <c r="M69" s="15"/>
    </row>
    <row r="70" spans="2:13">
      <c r="B70" s="7"/>
      <c r="C70" s="8" t="e">
        <f>VLOOKUP($B70,#REF!,5,FALSE)</f>
        <v>#REF!</v>
      </c>
      <c r="D70" s="8" t="e">
        <f>VLOOKUP($B70,#REF!,6,FALSE)</f>
        <v>#REF!</v>
      </c>
      <c r="E70" s="9" t="e">
        <f>VLOOKUP($B70,#REF!,17,FALSE)</f>
        <v>#REF!</v>
      </c>
      <c r="F70" s="10" t="e">
        <f>VLOOKUP($B70,#REF!,7,FALSE)</f>
        <v>#REF!</v>
      </c>
      <c r="G70" s="10"/>
      <c r="H70" s="10"/>
      <c r="I70" s="11" t="e">
        <f>VLOOKUP($B70,#REF!,19,FALSE)</f>
        <v>#REF!</v>
      </c>
      <c r="J70" s="11" t="e">
        <f>VLOOKUP($B70,#REF!,6,FALSE)</f>
        <v>#REF!</v>
      </c>
      <c r="L70" s="3">
        <v>44652.222222222015</v>
      </c>
      <c r="M70" s="15"/>
    </row>
    <row r="71" spans="2:13">
      <c r="B71" s="7"/>
      <c r="C71" s="8" t="e">
        <f>VLOOKUP($B71,#REF!,5,FALSE)</f>
        <v>#REF!</v>
      </c>
      <c r="D71" s="8" t="e">
        <f>VLOOKUP($B71,#REF!,6,FALSE)</f>
        <v>#REF!</v>
      </c>
      <c r="E71" s="9" t="e">
        <f>VLOOKUP($B71,#REF!,17,FALSE)</f>
        <v>#REF!</v>
      </c>
      <c r="F71" s="10" t="e">
        <f>VLOOKUP($B71,#REF!,7,FALSE)</f>
        <v>#REF!</v>
      </c>
      <c r="G71" s="10"/>
      <c r="H71" s="10"/>
      <c r="I71" s="11" t="e">
        <f>VLOOKUP($B71,#REF!,19,FALSE)</f>
        <v>#REF!</v>
      </c>
      <c r="J71" s="11" t="e">
        <f>VLOOKUP($B71,#REF!,6,FALSE)</f>
        <v>#REF!</v>
      </c>
      <c r="L71" s="3">
        <v>44652.225694444234</v>
      </c>
      <c r="M71" s="15"/>
    </row>
    <row r="72" spans="2:13">
      <c r="B72" s="7"/>
      <c r="C72" s="8" t="e">
        <f>VLOOKUP($B72,#REF!,5,FALSE)</f>
        <v>#REF!</v>
      </c>
      <c r="D72" s="8" t="e">
        <f>VLOOKUP($B72,#REF!,6,FALSE)</f>
        <v>#REF!</v>
      </c>
      <c r="E72" s="9" t="e">
        <f>VLOOKUP($B72,#REF!,17,FALSE)</f>
        <v>#REF!</v>
      </c>
      <c r="F72" s="10" t="e">
        <f>VLOOKUP($B72,#REF!,7,FALSE)</f>
        <v>#REF!</v>
      </c>
      <c r="G72" s="10"/>
      <c r="H72" s="10"/>
      <c r="I72" s="11" t="e">
        <f>VLOOKUP($B72,#REF!,19,FALSE)</f>
        <v>#REF!</v>
      </c>
      <c r="J72" s="11" t="e">
        <f>VLOOKUP($B72,#REF!,6,FALSE)</f>
        <v>#REF!</v>
      </c>
      <c r="L72" s="3">
        <v>44652.229166666453</v>
      </c>
      <c r="M72" s="15"/>
    </row>
    <row r="73" spans="2:13">
      <c r="B73" s="7"/>
      <c r="C73" s="8" t="e">
        <f>VLOOKUP($B73,#REF!,5,FALSE)</f>
        <v>#REF!</v>
      </c>
      <c r="D73" s="8" t="e">
        <f>VLOOKUP($B73,#REF!,6,FALSE)</f>
        <v>#REF!</v>
      </c>
      <c r="E73" s="9" t="e">
        <f>VLOOKUP($B73,#REF!,17,FALSE)</f>
        <v>#REF!</v>
      </c>
      <c r="F73" s="10" t="e">
        <f>VLOOKUP($B73,#REF!,7,FALSE)</f>
        <v>#REF!</v>
      </c>
      <c r="G73" s="10"/>
      <c r="H73" s="10"/>
      <c r="I73" s="11" t="e">
        <f>VLOOKUP($B73,#REF!,19,FALSE)</f>
        <v>#REF!</v>
      </c>
      <c r="J73" s="11" t="e">
        <f>VLOOKUP($B73,#REF!,6,FALSE)</f>
        <v>#REF!</v>
      </c>
      <c r="L73" s="3">
        <v>44652.232638888672</v>
      </c>
      <c r="M73" s="15"/>
    </row>
    <row r="74" spans="2:13">
      <c r="B74" s="7"/>
      <c r="C74" s="8" t="e">
        <f>VLOOKUP($B74,#REF!,5,FALSE)</f>
        <v>#REF!</v>
      </c>
      <c r="D74" s="8" t="e">
        <f>VLOOKUP($B74,#REF!,6,FALSE)</f>
        <v>#REF!</v>
      </c>
      <c r="E74" s="9" t="e">
        <f>VLOOKUP($B74,#REF!,17,FALSE)</f>
        <v>#REF!</v>
      </c>
      <c r="F74" s="10" t="e">
        <f>VLOOKUP($B74,#REF!,7,FALSE)</f>
        <v>#REF!</v>
      </c>
      <c r="G74" s="10"/>
      <c r="H74" s="10"/>
      <c r="I74" s="11" t="e">
        <f>VLOOKUP($B74,#REF!,19,FALSE)</f>
        <v>#REF!</v>
      </c>
      <c r="J74" s="11" t="e">
        <f>VLOOKUP($B74,#REF!,6,FALSE)</f>
        <v>#REF!</v>
      </c>
      <c r="L74" s="3">
        <v>44652.236111110891</v>
      </c>
      <c r="M74" s="15"/>
    </row>
    <row r="75" spans="2:13">
      <c r="B75" s="7"/>
      <c r="C75" s="8" t="e">
        <f>VLOOKUP($B75,#REF!,5,FALSE)</f>
        <v>#REF!</v>
      </c>
      <c r="D75" s="8" t="e">
        <f>VLOOKUP($B75,#REF!,6,FALSE)</f>
        <v>#REF!</v>
      </c>
      <c r="E75" s="9" t="e">
        <f>VLOOKUP($B75,#REF!,17,FALSE)</f>
        <v>#REF!</v>
      </c>
      <c r="F75" s="10" t="e">
        <f>VLOOKUP($B75,#REF!,7,FALSE)</f>
        <v>#REF!</v>
      </c>
      <c r="G75" s="10"/>
      <c r="H75" s="10"/>
      <c r="I75" s="11" t="e">
        <f>VLOOKUP($B75,#REF!,19,FALSE)</f>
        <v>#REF!</v>
      </c>
      <c r="J75" s="11" t="e">
        <f>VLOOKUP($B75,#REF!,6,FALSE)</f>
        <v>#REF!</v>
      </c>
      <c r="L75" s="3">
        <v>44652.23958333311</v>
      </c>
      <c r="M75" s="15"/>
    </row>
    <row r="76" spans="2:13">
      <c r="B76" s="7"/>
      <c r="C76" s="8" t="e">
        <f>VLOOKUP($B76,#REF!,5,FALSE)</f>
        <v>#REF!</v>
      </c>
      <c r="D76" s="8" t="e">
        <f>VLOOKUP($B76,#REF!,6,FALSE)</f>
        <v>#REF!</v>
      </c>
      <c r="E76" s="9" t="e">
        <f>VLOOKUP($B76,#REF!,17,FALSE)</f>
        <v>#REF!</v>
      </c>
      <c r="F76" s="10" t="e">
        <f>VLOOKUP($B76,#REF!,7,FALSE)</f>
        <v>#REF!</v>
      </c>
      <c r="G76" s="10"/>
      <c r="H76" s="10"/>
      <c r="I76" s="11" t="e">
        <f>VLOOKUP($B76,#REF!,19,FALSE)</f>
        <v>#REF!</v>
      </c>
      <c r="J76" s="11" t="e">
        <f>VLOOKUP($B76,#REF!,6,FALSE)</f>
        <v>#REF!</v>
      </c>
      <c r="L76" s="3">
        <v>44652.243055555329</v>
      </c>
      <c r="M76" s="15"/>
    </row>
    <row r="77" spans="2:13">
      <c r="B77" s="7"/>
      <c r="C77" s="8" t="e">
        <f>VLOOKUP($B77,#REF!,5,FALSE)</f>
        <v>#REF!</v>
      </c>
      <c r="D77" s="8" t="e">
        <f>VLOOKUP($B77,#REF!,6,FALSE)</f>
        <v>#REF!</v>
      </c>
      <c r="E77" s="9" t="e">
        <f>VLOOKUP($B77,#REF!,17,FALSE)</f>
        <v>#REF!</v>
      </c>
      <c r="F77" s="10" t="e">
        <f>VLOOKUP($B77,#REF!,7,FALSE)</f>
        <v>#REF!</v>
      </c>
      <c r="G77" s="10"/>
      <c r="H77" s="10"/>
      <c r="I77" s="11" t="e">
        <f>VLOOKUP($B77,#REF!,19,FALSE)</f>
        <v>#REF!</v>
      </c>
      <c r="J77" s="11" t="e">
        <f>VLOOKUP($B77,#REF!,6,FALSE)</f>
        <v>#REF!</v>
      </c>
      <c r="L77" s="3">
        <v>44652.246527777548</v>
      </c>
      <c r="M77" s="15"/>
    </row>
    <row r="78" spans="2:13">
      <c r="B78" s="7"/>
      <c r="C78" s="8" t="e">
        <f>VLOOKUP($B78,#REF!,5,FALSE)</f>
        <v>#REF!</v>
      </c>
      <c r="D78" s="8" t="e">
        <f>VLOOKUP($B78,#REF!,6,FALSE)</f>
        <v>#REF!</v>
      </c>
      <c r="E78" s="9" t="e">
        <f>VLOOKUP($B78,#REF!,17,FALSE)</f>
        <v>#REF!</v>
      </c>
      <c r="F78" s="10" t="e">
        <f>VLOOKUP($B78,#REF!,7,FALSE)</f>
        <v>#REF!</v>
      </c>
      <c r="G78" s="10"/>
      <c r="H78" s="10"/>
      <c r="I78" s="11" t="e">
        <f>VLOOKUP($B78,#REF!,19,FALSE)</f>
        <v>#REF!</v>
      </c>
      <c r="J78" s="11" t="e">
        <f>VLOOKUP($B78,#REF!,6,FALSE)</f>
        <v>#REF!</v>
      </c>
      <c r="L78" s="3">
        <v>44652.249999999767</v>
      </c>
      <c r="M78" s="15"/>
    </row>
    <row r="79" spans="2:13">
      <c r="B79" s="7"/>
      <c r="C79" s="8" t="e">
        <f>VLOOKUP($B79,#REF!,5,FALSE)</f>
        <v>#REF!</v>
      </c>
      <c r="D79" s="8" t="e">
        <f>VLOOKUP($B79,#REF!,6,FALSE)</f>
        <v>#REF!</v>
      </c>
      <c r="E79" s="9" t="e">
        <f>VLOOKUP($B79,#REF!,17,FALSE)</f>
        <v>#REF!</v>
      </c>
      <c r="F79" s="10" t="e">
        <f>VLOOKUP($B79,#REF!,7,FALSE)</f>
        <v>#REF!</v>
      </c>
      <c r="G79" s="10"/>
      <c r="H79" s="10"/>
      <c r="I79" s="11" t="e">
        <f>VLOOKUP($B79,#REF!,19,FALSE)</f>
        <v>#REF!</v>
      </c>
      <c r="J79" s="11" t="e">
        <f>VLOOKUP($B79,#REF!,6,FALSE)</f>
        <v>#REF!</v>
      </c>
      <c r="L79" s="3">
        <v>44652.253472221986</v>
      </c>
      <c r="M79" s="15"/>
    </row>
    <row r="80" spans="2:13">
      <c r="B80" s="7"/>
      <c r="C80" s="8" t="e">
        <f>VLOOKUP($B80,#REF!,5,FALSE)</f>
        <v>#REF!</v>
      </c>
      <c r="D80" s="8" t="e">
        <f>VLOOKUP($B80,#REF!,6,FALSE)</f>
        <v>#REF!</v>
      </c>
      <c r="E80" s="9" t="e">
        <f>VLOOKUP($B80,#REF!,17,FALSE)</f>
        <v>#REF!</v>
      </c>
      <c r="F80" s="10" t="e">
        <f>VLOOKUP($B80,#REF!,7,FALSE)</f>
        <v>#REF!</v>
      </c>
      <c r="G80" s="10"/>
      <c r="H80" s="10"/>
      <c r="I80" s="11" t="e">
        <f>VLOOKUP($B80,#REF!,19,FALSE)</f>
        <v>#REF!</v>
      </c>
      <c r="J80" s="11" t="e">
        <f>VLOOKUP($B80,#REF!,6,FALSE)</f>
        <v>#REF!</v>
      </c>
      <c r="L80" s="3">
        <v>44652.256944444205</v>
      </c>
      <c r="M80" s="15"/>
    </row>
    <row r="81" spans="2:13">
      <c r="B81" s="7"/>
      <c r="C81" s="8" t="e">
        <f>VLOOKUP($B81,#REF!,5,FALSE)</f>
        <v>#REF!</v>
      </c>
      <c r="D81" s="8" t="e">
        <f>VLOOKUP($B81,#REF!,6,FALSE)</f>
        <v>#REF!</v>
      </c>
      <c r="E81" s="9" t="e">
        <f>VLOOKUP($B81,#REF!,17,FALSE)</f>
        <v>#REF!</v>
      </c>
      <c r="F81" s="10" t="e">
        <f>VLOOKUP($B81,#REF!,7,FALSE)</f>
        <v>#REF!</v>
      </c>
      <c r="G81" s="10"/>
      <c r="H81" s="10"/>
      <c r="I81" s="11" t="e">
        <f>VLOOKUP($B81,#REF!,19,FALSE)</f>
        <v>#REF!</v>
      </c>
      <c r="J81" s="11" t="e">
        <f>VLOOKUP($B81,#REF!,6,FALSE)</f>
        <v>#REF!</v>
      </c>
      <c r="L81" s="3">
        <v>44652.260416666424</v>
      </c>
      <c r="M81" s="15"/>
    </row>
    <row r="82" spans="2:13">
      <c r="B82" s="7"/>
      <c r="C82" s="8" t="e">
        <f>VLOOKUP($B82,#REF!,5,FALSE)</f>
        <v>#REF!</v>
      </c>
      <c r="D82" s="8" t="e">
        <f>VLOOKUP($B82,#REF!,6,FALSE)</f>
        <v>#REF!</v>
      </c>
      <c r="E82" s="9" t="e">
        <f>VLOOKUP($B82,#REF!,17,FALSE)</f>
        <v>#REF!</v>
      </c>
      <c r="F82" s="10" t="e">
        <f>VLOOKUP($B82,#REF!,7,FALSE)</f>
        <v>#REF!</v>
      </c>
      <c r="G82" s="10"/>
      <c r="H82" s="10"/>
      <c r="I82" s="11" t="e">
        <f>VLOOKUP($B82,#REF!,19,FALSE)</f>
        <v>#REF!</v>
      </c>
      <c r="J82" s="11" t="e">
        <f>VLOOKUP($B82,#REF!,6,FALSE)</f>
        <v>#REF!</v>
      </c>
      <c r="L82" s="3">
        <v>44652.263888888643</v>
      </c>
      <c r="M82" s="15"/>
    </row>
    <row r="83" spans="2:13">
      <c r="B83" s="7"/>
      <c r="C83" s="8" t="e">
        <f>VLOOKUP($B83,#REF!,5,FALSE)</f>
        <v>#REF!</v>
      </c>
      <c r="D83" s="8" t="e">
        <f>VLOOKUP($B83,#REF!,6,FALSE)</f>
        <v>#REF!</v>
      </c>
      <c r="E83" s="9" t="e">
        <f>VLOOKUP($B83,#REF!,17,FALSE)</f>
        <v>#REF!</v>
      </c>
      <c r="F83" s="10" t="e">
        <f>VLOOKUP($B83,#REF!,7,FALSE)</f>
        <v>#REF!</v>
      </c>
      <c r="G83" s="10"/>
      <c r="H83" s="10"/>
      <c r="I83" s="11" t="e">
        <f>VLOOKUP($B83,#REF!,19,FALSE)</f>
        <v>#REF!</v>
      </c>
      <c r="J83" s="11" t="e">
        <f>VLOOKUP($B83,#REF!,6,FALSE)</f>
        <v>#REF!</v>
      </c>
      <c r="L83" s="3">
        <v>44652.267361110862</v>
      </c>
      <c r="M83" s="15"/>
    </row>
    <row r="84" spans="2:13">
      <c r="B84" s="7"/>
      <c r="C84" s="8" t="e">
        <f>VLOOKUP($B84,#REF!,5,FALSE)</f>
        <v>#REF!</v>
      </c>
      <c r="D84" s="8" t="e">
        <f>VLOOKUP($B84,#REF!,6,FALSE)</f>
        <v>#REF!</v>
      </c>
      <c r="E84" s="9" t="e">
        <f>VLOOKUP($B84,#REF!,17,FALSE)</f>
        <v>#REF!</v>
      </c>
      <c r="F84" s="10" t="e">
        <f>VLOOKUP($B84,#REF!,7,FALSE)</f>
        <v>#REF!</v>
      </c>
      <c r="G84" s="10"/>
      <c r="H84" s="10"/>
      <c r="I84" s="11" t="e">
        <f>VLOOKUP($B84,#REF!,19,FALSE)</f>
        <v>#REF!</v>
      </c>
      <c r="J84" s="11" t="e">
        <f>VLOOKUP($B84,#REF!,6,FALSE)</f>
        <v>#REF!</v>
      </c>
      <c r="L84" s="3">
        <v>44652.270833333081</v>
      </c>
      <c r="M84" s="15"/>
    </row>
    <row r="85" spans="2:13">
      <c r="B85" s="7"/>
      <c r="C85" s="8" t="e">
        <f>VLOOKUP($B85,#REF!,5,FALSE)</f>
        <v>#REF!</v>
      </c>
      <c r="D85" s="8" t="e">
        <f>VLOOKUP($B85,#REF!,6,FALSE)</f>
        <v>#REF!</v>
      </c>
      <c r="E85" s="9" t="e">
        <f>VLOOKUP($B85,#REF!,17,FALSE)</f>
        <v>#REF!</v>
      </c>
      <c r="F85" s="10" t="e">
        <f>VLOOKUP($B85,#REF!,7,FALSE)</f>
        <v>#REF!</v>
      </c>
      <c r="G85" s="10"/>
      <c r="H85" s="10"/>
      <c r="I85" s="11" t="e">
        <f>VLOOKUP($B85,#REF!,19,FALSE)</f>
        <v>#REF!</v>
      </c>
      <c r="J85" s="11" t="e">
        <f>VLOOKUP($B85,#REF!,6,FALSE)</f>
        <v>#REF!</v>
      </c>
      <c r="L85" s="3">
        <v>44652.2743055553</v>
      </c>
      <c r="M85" s="15"/>
    </row>
    <row r="86" spans="2:13">
      <c r="B86" s="7"/>
      <c r="C86" s="8" t="e">
        <f>VLOOKUP($B86,#REF!,5,FALSE)</f>
        <v>#REF!</v>
      </c>
      <c r="D86" s="8" t="e">
        <f>VLOOKUP($B86,#REF!,6,FALSE)</f>
        <v>#REF!</v>
      </c>
      <c r="E86" s="9" t="e">
        <f>VLOOKUP($B86,#REF!,17,FALSE)</f>
        <v>#REF!</v>
      </c>
      <c r="F86" s="10" t="e">
        <f>VLOOKUP($B86,#REF!,7,FALSE)</f>
        <v>#REF!</v>
      </c>
      <c r="G86" s="10"/>
      <c r="H86" s="10"/>
      <c r="I86" s="11" t="e">
        <f>VLOOKUP($B86,#REF!,19,FALSE)</f>
        <v>#REF!</v>
      </c>
      <c r="J86" s="11" t="e">
        <f>VLOOKUP($B86,#REF!,6,FALSE)</f>
        <v>#REF!</v>
      </c>
      <c r="L86" s="3">
        <v>44652.277777777519</v>
      </c>
      <c r="M86" s="15"/>
    </row>
    <row r="87" spans="2:13">
      <c r="B87" s="7"/>
      <c r="C87" s="8" t="e">
        <f>VLOOKUP($B87,#REF!,5,FALSE)</f>
        <v>#REF!</v>
      </c>
      <c r="D87" s="8" t="e">
        <f>VLOOKUP($B87,#REF!,6,FALSE)</f>
        <v>#REF!</v>
      </c>
      <c r="E87" s="9" t="e">
        <f>VLOOKUP($B87,#REF!,17,FALSE)</f>
        <v>#REF!</v>
      </c>
      <c r="F87" s="10" t="e">
        <f>VLOOKUP($B87,#REF!,7,FALSE)</f>
        <v>#REF!</v>
      </c>
      <c r="G87" s="10"/>
      <c r="H87" s="10"/>
      <c r="I87" s="11" t="e">
        <f>VLOOKUP($B87,#REF!,19,FALSE)</f>
        <v>#REF!</v>
      </c>
      <c r="J87" s="11" t="e">
        <f>VLOOKUP($B87,#REF!,6,FALSE)</f>
        <v>#REF!</v>
      </c>
      <c r="L87" s="3">
        <v>44652.281249999738</v>
      </c>
      <c r="M87" s="15"/>
    </row>
    <row r="88" spans="2:13">
      <c r="B88" s="7"/>
      <c r="C88" s="8" t="e">
        <f>VLOOKUP($B88,#REF!,5,FALSE)</f>
        <v>#REF!</v>
      </c>
      <c r="D88" s="8" t="e">
        <f>VLOOKUP($B88,#REF!,6,FALSE)</f>
        <v>#REF!</v>
      </c>
      <c r="E88" s="9" t="e">
        <f>VLOOKUP($B88,#REF!,17,FALSE)</f>
        <v>#REF!</v>
      </c>
      <c r="F88" s="10" t="e">
        <f>VLOOKUP($B88,#REF!,7,FALSE)</f>
        <v>#REF!</v>
      </c>
      <c r="G88" s="10"/>
      <c r="H88" s="10"/>
      <c r="I88" s="11" t="e">
        <f>VLOOKUP($B88,#REF!,19,FALSE)</f>
        <v>#REF!</v>
      </c>
      <c r="J88" s="11" t="e">
        <f>VLOOKUP($B88,#REF!,6,FALSE)</f>
        <v>#REF!</v>
      </c>
      <c r="L88" s="3">
        <v>44652.284722221957</v>
      </c>
      <c r="M88" s="15"/>
    </row>
    <row r="89" spans="2:13">
      <c r="B89" s="7"/>
      <c r="C89" s="8" t="e">
        <f>VLOOKUP($B89,#REF!,5,FALSE)</f>
        <v>#REF!</v>
      </c>
      <c r="D89" s="8" t="e">
        <f>VLOOKUP($B89,#REF!,6,FALSE)</f>
        <v>#REF!</v>
      </c>
      <c r="E89" s="9" t="e">
        <f>VLOOKUP($B89,#REF!,17,FALSE)</f>
        <v>#REF!</v>
      </c>
      <c r="F89" s="10" t="e">
        <f>VLOOKUP($B89,#REF!,7,FALSE)</f>
        <v>#REF!</v>
      </c>
      <c r="G89" s="10"/>
      <c r="H89" s="10"/>
      <c r="I89" s="11" t="e">
        <f>VLOOKUP($B89,#REF!,19,FALSE)</f>
        <v>#REF!</v>
      </c>
      <c r="J89" s="11" t="e">
        <f>VLOOKUP($B89,#REF!,6,FALSE)</f>
        <v>#REF!</v>
      </c>
      <c r="L89" s="3">
        <v>44652.288194444176</v>
      </c>
      <c r="M89" s="15"/>
    </row>
    <row r="90" spans="2:13">
      <c r="B90" s="7"/>
      <c r="C90" s="8" t="e">
        <f>VLOOKUP($B90,#REF!,5,FALSE)</f>
        <v>#REF!</v>
      </c>
      <c r="D90" s="8" t="e">
        <f>VLOOKUP($B90,#REF!,6,FALSE)</f>
        <v>#REF!</v>
      </c>
      <c r="E90" s="9" t="e">
        <f>VLOOKUP($B90,#REF!,17,FALSE)</f>
        <v>#REF!</v>
      </c>
      <c r="F90" s="10" t="e">
        <f>VLOOKUP($B90,#REF!,7,FALSE)</f>
        <v>#REF!</v>
      </c>
      <c r="G90" s="10"/>
      <c r="H90" s="10"/>
      <c r="I90" s="11" t="e">
        <f>VLOOKUP($B90,#REF!,19,FALSE)</f>
        <v>#REF!</v>
      </c>
      <c r="J90" s="11" t="e">
        <f>VLOOKUP($B90,#REF!,6,FALSE)</f>
        <v>#REF!</v>
      </c>
      <c r="L90" s="3">
        <v>44652.291666666395</v>
      </c>
      <c r="M90" s="15"/>
    </row>
    <row r="91" spans="2:13">
      <c r="B91" s="7"/>
      <c r="C91" s="8" t="e">
        <f>VLOOKUP($B91,#REF!,5,FALSE)</f>
        <v>#REF!</v>
      </c>
      <c r="D91" s="8" t="e">
        <f>VLOOKUP($B91,#REF!,6,FALSE)</f>
        <v>#REF!</v>
      </c>
      <c r="E91" s="9" t="e">
        <f>VLOOKUP($B91,#REF!,17,FALSE)</f>
        <v>#REF!</v>
      </c>
      <c r="F91" s="10" t="e">
        <f>VLOOKUP($B91,#REF!,7,FALSE)</f>
        <v>#REF!</v>
      </c>
      <c r="G91" s="10"/>
      <c r="H91" s="10"/>
      <c r="I91" s="11" t="e">
        <f>VLOOKUP($B91,#REF!,19,FALSE)</f>
        <v>#REF!</v>
      </c>
      <c r="J91" s="11" t="e">
        <f>VLOOKUP($B91,#REF!,6,FALSE)</f>
        <v>#REF!</v>
      </c>
      <c r="L91" s="3">
        <v>44652.295138888614</v>
      </c>
      <c r="M91" s="15"/>
    </row>
    <row r="92" spans="2:13">
      <c r="B92" s="7"/>
      <c r="C92" s="8" t="e">
        <f>VLOOKUP($B92,#REF!,5,FALSE)</f>
        <v>#REF!</v>
      </c>
      <c r="D92" s="8" t="e">
        <f>VLOOKUP($B92,#REF!,6,FALSE)</f>
        <v>#REF!</v>
      </c>
      <c r="E92" s="9" t="e">
        <f>VLOOKUP($B92,#REF!,17,FALSE)</f>
        <v>#REF!</v>
      </c>
      <c r="F92" s="10" t="e">
        <f>VLOOKUP($B92,#REF!,7,FALSE)</f>
        <v>#REF!</v>
      </c>
      <c r="G92" s="10"/>
      <c r="H92" s="10"/>
      <c r="I92" s="11" t="e">
        <f>VLOOKUP($B92,#REF!,19,FALSE)</f>
        <v>#REF!</v>
      </c>
      <c r="J92" s="11" t="e">
        <f>VLOOKUP($B92,#REF!,6,FALSE)</f>
        <v>#REF!</v>
      </c>
      <c r="L92" s="3">
        <v>44652.298611110833</v>
      </c>
      <c r="M92" s="15"/>
    </row>
    <row r="93" spans="2:13">
      <c r="B93" s="7"/>
      <c r="C93" s="8" t="e">
        <f>VLOOKUP($B93,#REF!,5,FALSE)</f>
        <v>#REF!</v>
      </c>
      <c r="D93" s="8" t="e">
        <f>VLOOKUP($B93,#REF!,6,FALSE)</f>
        <v>#REF!</v>
      </c>
      <c r="E93" s="9" t="e">
        <f>VLOOKUP($B93,#REF!,17,FALSE)</f>
        <v>#REF!</v>
      </c>
      <c r="F93" s="10" t="e">
        <f>VLOOKUP($B93,#REF!,7,FALSE)</f>
        <v>#REF!</v>
      </c>
      <c r="G93" s="10"/>
      <c r="H93" s="10"/>
      <c r="I93" s="11" t="e">
        <f>VLOOKUP($B93,#REF!,19,FALSE)</f>
        <v>#REF!</v>
      </c>
      <c r="J93" s="11" t="e">
        <f>VLOOKUP($B93,#REF!,6,FALSE)</f>
        <v>#REF!</v>
      </c>
      <c r="L93" s="3">
        <v>44652.302083333052</v>
      </c>
      <c r="M93" s="15"/>
    </row>
    <row r="94" spans="2:13">
      <c r="B94" s="7"/>
      <c r="C94" s="8" t="e">
        <f>VLOOKUP($B94,#REF!,5,FALSE)</f>
        <v>#REF!</v>
      </c>
      <c r="D94" s="8" t="e">
        <f>VLOOKUP($B94,#REF!,6,FALSE)</f>
        <v>#REF!</v>
      </c>
      <c r="E94" s="9" t="e">
        <f>VLOOKUP($B94,#REF!,17,FALSE)</f>
        <v>#REF!</v>
      </c>
      <c r="F94" s="10" t="e">
        <f>VLOOKUP($B94,#REF!,7,FALSE)</f>
        <v>#REF!</v>
      </c>
      <c r="G94" s="10"/>
      <c r="H94" s="10"/>
      <c r="I94" s="11" t="e">
        <f>VLOOKUP($B94,#REF!,19,FALSE)</f>
        <v>#REF!</v>
      </c>
      <c r="J94" s="11" t="e">
        <f>VLOOKUP($B94,#REF!,6,FALSE)</f>
        <v>#REF!</v>
      </c>
      <c r="L94" s="3">
        <v>44652.305555555271</v>
      </c>
      <c r="M94" s="15"/>
    </row>
    <row r="95" spans="2:13">
      <c r="B95" s="7"/>
      <c r="C95" s="8" t="e">
        <f>VLOOKUP($B95,#REF!,5,FALSE)</f>
        <v>#REF!</v>
      </c>
      <c r="D95" s="8" t="e">
        <f>VLOOKUP($B95,#REF!,6,FALSE)</f>
        <v>#REF!</v>
      </c>
      <c r="E95" s="9" t="e">
        <f>VLOOKUP($B95,#REF!,17,FALSE)</f>
        <v>#REF!</v>
      </c>
      <c r="F95" s="10" t="e">
        <f>VLOOKUP($B95,#REF!,7,FALSE)</f>
        <v>#REF!</v>
      </c>
      <c r="G95" s="10"/>
      <c r="H95" s="10"/>
      <c r="I95" s="11" t="e">
        <f>VLOOKUP($B95,#REF!,19,FALSE)</f>
        <v>#REF!</v>
      </c>
      <c r="J95" s="11" t="e">
        <f>VLOOKUP($B95,#REF!,6,FALSE)</f>
        <v>#REF!</v>
      </c>
      <c r="L95" s="3">
        <v>44652.30902777749</v>
      </c>
      <c r="M95" s="15"/>
    </row>
    <row r="96" spans="2:13">
      <c r="B96" s="7"/>
      <c r="C96" s="8" t="e">
        <f>VLOOKUP($B96,#REF!,5,FALSE)</f>
        <v>#REF!</v>
      </c>
      <c r="D96" s="8" t="e">
        <f>VLOOKUP($B96,#REF!,6,FALSE)</f>
        <v>#REF!</v>
      </c>
      <c r="E96" s="9" t="e">
        <f>VLOOKUP($B96,#REF!,17,FALSE)</f>
        <v>#REF!</v>
      </c>
      <c r="F96" s="10" t="e">
        <f>VLOOKUP($B96,#REF!,7,FALSE)</f>
        <v>#REF!</v>
      </c>
      <c r="G96" s="10"/>
      <c r="H96" s="10"/>
      <c r="I96" s="11" t="e">
        <f>VLOOKUP($B96,#REF!,19,FALSE)</f>
        <v>#REF!</v>
      </c>
      <c r="J96" s="11" t="e">
        <f>VLOOKUP($B96,#REF!,6,FALSE)</f>
        <v>#REF!</v>
      </c>
      <c r="L96" s="3">
        <v>44652.312499999709</v>
      </c>
      <c r="M96" s="15"/>
    </row>
    <row r="97" spans="2:22">
      <c r="B97" s="7"/>
      <c r="C97" s="8" t="e">
        <f>VLOOKUP($B97,#REF!,5,FALSE)</f>
        <v>#REF!</v>
      </c>
      <c r="D97" s="8" t="e">
        <f>VLOOKUP($B97,#REF!,6,FALSE)</f>
        <v>#REF!</v>
      </c>
      <c r="E97" s="9" t="e">
        <f>VLOOKUP($B97,#REF!,17,FALSE)</f>
        <v>#REF!</v>
      </c>
      <c r="F97" s="10" t="e">
        <f>VLOOKUP($B97,#REF!,7,FALSE)</f>
        <v>#REF!</v>
      </c>
      <c r="G97" s="10"/>
      <c r="H97" s="10"/>
      <c r="I97" s="11" t="e">
        <f>VLOOKUP($B97,#REF!,19,FALSE)</f>
        <v>#REF!</v>
      </c>
      <c r="J97" s="11" t="e">
        <f>VLOOKUP($B97,#REF!,6,FALSE)</f>
        <v>#REF!</v>
      </c>
      <c r="L97" s="3">
        <v>44652.315972221928</v>
      </c>
      <c r="M97" s="15"/>
    </row>
    <row r="98" spans="2:22">
      <c r="B98" s="7"/>
      <c r="C98" s="8" t="e">
        <f>VLOOKUP($B98,#REF!,5,FALSE)</f>
        <v>#REF!</v>
      </c>
      <c r="D98" s="8" t="e">
        <f>VLOOKUP($B98,#REF!,6,FALSE)</f>
        <v>#REF!</v>
      </c>
      <c r="E98" s="9" t="e">
        <f>VLOOKUP($B98,#REF!,17,FALSE)</f>
        <v>#REF!</v>
      </c>
      <c r="F98" s="10" t="e">
        <f>VLOOKUP($B98,#REF!,7,FALSE)</f>
        <v>#REF!</v>
      </c>
      <c r="G98" s="10"/>
      <c r="H98" s="10"/>
      <c r="I98" s="11" t="e">
        <f>VLOOKUP($B98,#REF!,19,FALSE)</f>
        <v>#REF!</v>
      </c>
      <c r="J98" s="11" t="e">
        <f>VLOOKUP($B98,#REF!,6,FALSE)</f>
        <v>#REF!</v>
      </c>
      <c r="L98" s="3">
        <v>44652.319444444147</v>
      </c>
      <c r="M98" s="15"/>
    </row>
    <row r="99" spans="2:22">
      <c r="B99" s="7"/>
      <c r="C99" s="8" t="e">
        <f>VLOOKUP($B99,#REF!,5,FALSE)</f>
        <v>#REF!</v>
      </c>
      <c r="D99" s="8" t="e">
        <f>VLOOKUP($B99,#REF!,6,FALSE)</f>
        <v>#REF!</v>
      </c>
      <c r="E99" s="9" t="e">
        <f>VLOOKUP($B99,#REF!,17,FALSE)</f>
        <v>#REF!</v>
      </c>
      <c r="F99" s="10" t="e">
        <f>VLOOKUP($B99,#REF!,7,FALSE)</f>
        <v>#REF!</v>
      </c>
      <c r="G99" s="10"/>
      <c r="H99" s="10"/>
      <c r="I99" s="11" t="e">
        <f>VLOOKUP($B99,#REF!,19,FALSE)</f>
        <v>#REF!</v>
      </c>
      <c r="J99" s="11" t="e">
        <f>VLOOKUP($B99,#REF!,6,FALSE)</f>
        <v>#REF!</v>
      </c>
      <c r="L99" s="3">
        <v>44652.322916666366</v>
      </c>
      <c r="M99" s="15"/>
    </row>
    <row r="100" spans="2:22">
      <c r="B100" s="7"/>
      <c r="C100" s="8" t="e">
        <f>VLOOKUP($B100,#REF!,5,FALSE)</f>
        <v>#REF!</v>
      </c>
      <c r="D100" s="8" t="e">
        <f>VLOOKUP($B100,#REF!,6,FALSE)</f>
        <v>#REF!</v>
      </c>
      <c r="E100" s="9" t="e">
        <f>VLOOKUP($B100,#REF!,17,FALSE)</f>
        <v>#REF!</v>
      </c>
      <c r="F100" s="10" t="e">
        <f>VLOOKUP($B100,#REF!,7,FALSE)</f>
        <v>#REF!</v>
      </c>
      <c r="G100" s="10"/>
      <c r="H100" s="10"/>
      <c r="I100" s="11" t="e">
        <f>VLOOKUP($B100,#REF!,19,FALSE)</f>
        <v>#REF!</v>
      </c>
      <c r="J100" s="11" t="e">
        <f>VLOOKUP($B100,#REF!,6,FALSE)</f>
        <v>#REF!</v>
      </c>
      <c r="L100" s="3">
        <v>44652.326388888585</v>
      </c>
      <c r="M100" s="15"/>
      <c r="S100" t="e">
        <f>MATCH(L101,C6:C1372)</f>
        <v>#N/A</v>
      </c>
    </row>
    <row r="101" spans="2:22">
      <c r="B101" s="7"/>
      <c r="C101" s="8" t="e">
        <f>VLOOKUP($B101,#REF!,5,FALSE)</f>
        <v>#REF!</v>
      </c>
      <c r="D101" s="8" t="e">
        <f>VLOOKUP($B101,#REF!,6,FALSE)</f>
        <v>#REF!</v>
      </c>
      <c r="E101" s="9" t="e">
        <f>VLOOKUP($B101,#REF!,17,FALSE)</f>
        <v>#REF!</v>
      </c>
      <c r="F101" s="10" t="e">
        <f>VLOOKUP($B101,#REF!,7,FALSE)</f>
        <v>#REF!</v>
      </c>
      <c r="G101" s="10"/>
      <c r="H101" s="10"/>
      <c r="I101" s="11" t="e">
        <f>VLOOKUP($B101,#REF!,19,FALSE)</f>
        <v>#REF!</v>
      </c>
      <c r="J101" s="11" t="e">
        <f>VLOOKUP($B101,#REF!,6,FALSE)</f>
        <v>#REF!</v>
      </c>
      <c r="L101" s="3">
        <v>44652.329861110804</v>
      </c>
      <c r="M101" s="15"/>
    </row>
    <row r="102" spans="2:22">
      <c r="B102" s="7"/>
      <c r="C102" s="8" t="e">
        <f>VLOOKUP($B102,#REF!,5,FALSE)</f>
        <v>#REF!</v>
      </c>
      <c r="D102" s="8" t="e">
        <f>VLOOKUP($B102,#REF!,6,FALSE)</f>
        <v>#REF!</v>
      </c>
      <c r="E102" s="9" t="e">
        <f>VLOOKUP($B102,#REF!,17,FALSE)</f>
        <v>#REF!</v>
      </c>
      <c r="F102" s="10" t="e">
        <f>VLOOKUP($B102,#REF!,7,FALSE)</f>
        <v>#REF!</v>
      </c>
      <c r="G102" s="10"/>
      <c r="H102" s="10"/>
      <c r="I102" s="11" t="e">
        <f>VLOOKUP($B102,#REF!,19,FALSE)</f>
        <v>#REF!</v>
      </c>
      <c r="J102" s="11" t="e">
        <f>VLOOKUP($B102,#REF!,6,FALSE)</f>
        <v>#REF!</v>
      </c>
      <c r="L102" s="3">
        <v>44652.333333333023</v>
      </c>
      <c r="M102" s="15"/>
      <c r="S102" s="3">
        <v>44652.333333333336</v>
      </c>
      <c r="T102" s="3">
        <v>44653.645833333336</v>
      </c>
      <c r="U102">
        <v>282935.45377675002</v>
      </c>
    </row>
    <row r="103" spans="2:22">
      <c r="B103" s="7"/>
      <c r="C103" s="8" t="e">
        <f>VLOOKUP($B103,#REF!,5,FALSE)</f>
        <v>#REF!</v>
      </c>
      <c r="D103" s="8" t="e">
        <f>VLOOKUP($B103,#REF!,6,FALSE)</f>
        <v>#REF!</v>
      </c>
      <c r="E103" s="9" t="e">
        <f>VLOOKUP($B103,#REF!,17,FALSE)</f>
        <v>#REF!</v>
      </c>
      <c r="F103" s="10" t="e">
        <f>VLOOKUP($B103,#REF!,7,FALSE)</f>
        <v>#REF!</v>
      </c>
      <c r="G103" s="10"/>
      <c r="H103" s="10"/>
      <c r="I103" s="11" t="e">
        <f>VLOOKUP($B103,#REF!,19,FALSE)</f>
        <v>#REF!</v>
      </c>
      <c r="J103" s="11" t="e">
        <f>VLOOKUP($B103,#REF!,6,FALSE)</f>
        <v>#REF!</v>
      </c>
      <c r="L103" s="3">
        <v>44652.336805555242</v>
      </c>
      <c r="M103" s="15"/>
    </row>
    <row r="104" spans="2:22">
      <c r="B104" s="7"/>
      <c r="C104" s="8" t="e">
        <f>VLOOKUP($B104,#REF!,5,FALSE)</f>
        <v>#REF!</v>
      </c>
      <c r="D104" s="8" t="e">
        <f>VLOOKUP($B104,#REF!,6,FALSE)</f>
        <v>#REF!</v>
      </c>
      <c r="E104" s="9" t="e">
        <f>VLOOKUP($B104,#REF!,17,FALSE)</f>
        <v>#REF!</v>
      </c>
      <c r="F104" s="10" t="e">
        <f>VLOOKUP($B104,#REF!,7,FALSE)</f>
        <v>#REF!</v>
      </c>
      <c r="G104" s="10"/>
      <c r="H104" s="10"/>
      <c r="I104" s="11" t="e">
        <f>VLOOKUP($B104,#REF!,19,FALSE)</f>
        <v>#REF!</v>
      </c>
      <c r="J104" s="11" t="e">
        <f>VLOOKUP($B104,#REF!,6,FALSE)</f>
        <v>#REF!</v>
      </c>
      <c r="L104" s="3">
        <v>44652.340277777461</v>
      </c>
      <c r="M104" s="15"/>
      <c r="S104" t="b">
        <f>IF(L102&gt;=S102,TRUE,FALSE)</f>
        <v>0</v>
      </c>
      <c r="T104" t="b">
        <f>IF(L102&lt;=T102,TRUE,FALSE)</f>
        <v>1</v>
      </c>
    </row>
    <row r="105" spans="2:22">
      <c r="B105" s="7"/>
      <c r="C105" s="8" t="e">
        <f>VLOOKUP($B105,#REF!,5,FALSE)</f>
        <v>#REF!</v>
      </c>
      <c r="D105" s="8" t="e">
        <f>VLOOKUP($B105,#REF!,6,FALSE)</f>
        <v>#REF!</v>
      </c>
      <c r="E105" s="9" t="e">
        <f>VLOOKUP($B105,#REF!,17,FALSE)</f>
        <v>#REF!</v>
      </c>
      <c r="F105" s="10" t="e">
        <f>VLOOKUP($B105,#REF!,7,FALSE)</f>
        <v>#REF!</v>
      </c>
      <c r="G105" s="10"/>
      <c r="H105" s="10"/>
      <c r="I105" s="11" t="e">
        <f>VLOOKUP($B105,#REF!,19,FALSE)</f>
        <v>#REF!</v>
      </c>
      <c r="J105" s="11" t="e">
        <f>VLOOKUP($B105,#REF!,6,FALSE)</f>
        <v>#REF!</v>
      </c>
      <c r="L105" s="3">
        <v>44652.34374999968</v>
      </c>
      <c r="M105" s="15"/>
    </row>
    <row r="106" spans="2:22" ht="15">
      <c r="B106" s="7"/>
      <c r="C106" s="8" t="e">
        <f>VLOOKUP($B106,#REF!,5,FALSE)</f>
        <v>#REF!</v>
      </c>
      <c r="D106" s="8" t="e">
        <f>VLOOKUP($B106,#REF!,6,FALSE)</f>
        <v>#REF!</v>
      </c>
      <c r="E106" s="9" t="e">
        <f>VLOOKUP($B106,#REF!,17,FALSE)</f>
        <v>#REF!</v>
      </c>
      <c r="F106" s="10" t="e">
        <f>VLOOKUP($B106,#REF!,7,FALSE)</f>
        <v>#REF!</v>
      </c>
      <c r="G106" s="10"/>
      <c r="H106" s="10"/>
      <c r="I106" s="11" t="e">
        <f>VLOOKUP($B106,#REF!,19,FALSE)</f>
        <v>#REF!</v>
      </c>
      <c r="J106" s="11" t="e">
        <f>VLOOKUP($B106,#REF!,6,FALSE)</f>
        <v>#REF!</v>
      </c>
      <c r="L106" s="3">
        <v>44652.347222221899</v>
      </c>
      <c r="M106" s="15"/>
      <c r="S106" s="6" t="s">
        <v>81</v>
      </c>
      <c r="T106" s="6" t="s">
        <v>82</v>
      </c>
      <c r="U106" s="6" t="s">
        <v>83</v>
      </c>
      <c r="V106" s="6" t="s">
        <v>84</v>
      </c>
    </row>
    <row r="107" spans="2:22">
      <c r="B107" s="7"/>
      <c r="C107" s="8" t="e">
        <f>VLOOKUP($B107,#REF!,5,FALSE)</f>
        <v>#REF!</v>
      </c>
      <c r="D107" s="8" t="e">
        <f>VLOOKUP($B107,#REF!,6,FALSE)</f>
        <v>#REF!</v>
      </c>
      <c r="E107" s="9" t="e">
        <f>VLOOKUP($B107,#REF!,17,FALSE)</f>
        <v>#REF!</v>
      </c>
      <c r="F107" s="10" t="e">
        <f>VLOOKUP($B107,#REF!,7,FALSE)</f>
        <v>#REF!</v>
      </c>
      <c r="G107" s="10"/>
      <c r="H107" s="10"/>
      <c r="I107" s="11" t="e">
        <f>VLOOKUP($B107,#REF!,19,FALSE)</f>
        <v>#REF!</v>
      </c>
      <c r="J107" s="11" t="e">
        <f>VLOOKUP($B107,#REF!,6,FALSE)</f>
        <v>#REF!</v>
      </c>
      <c r="L107" s="3">
        <v>44652.350694444118</v>
      </c>
      <c r="M107" s="15"/>
      <c r="S107" s="7" t="s">
        <v>90</v>
      </c>
      <c r="T107" s="13">
        <v>44652.333333333336</v>
      </c>
      <c r="U107" s="13">
        <v>44653.645833333336</v>
      </c>
      <c r="V107" s="14">
        <v>282935.45377675002</v>
      </c>
    </row>
    <row r="108" spans="2:22">
      <c r="B108" s="7"/>
      <c r="C108" s="8" t="e">
        <f>VLOOKUP($B108,#REF!,5,FALSE)</f>
        <v>#REF!</v>
      </c>
      <c r="D108" s="8" t="e">
        <f>VLOOKUP($B108,#REF!,6,FALSE)</f>
        <v>#REF!</v>
      </c>
      <c r="E108" s="9" t="e">
        <f>VLOOKUP($B108,#REF!,17,FALSE)</f>
        <v>#REF!</v>
      </c>
      <c r="F108" s="10" t="e">
        <f>VLOOKUP($B108,#REF!,7,FALSE)</f>
        <v>#REF!</v>
      </c>
      <c r="G108" s="10"/>
      <c r="H108" s="10"/>
      <c r="I108" s="11" t="e">
        <f>VLOOKUP($B108,#REF!,19,FALSE)</f>
        <v>#REF!</v>
      </c>
      <c r="J108" s="11" t="e">
        <f>VLOOKUP($B108,#REF!,6,FALSE)</f>
        <v>#REF!</v>
      </c>
      <c r="L108" s="3">
        <v>44652.354166666337</v>
      </c>
      <c r="M108" s="15"/>
      <c r="S108" s="7" t="s">
        <v>91</v>
      </c>
      <c r="T108" s="8">
        <v>44653.538194444445</v>
      </c>
      <c r="U108" s="8">
        <v>44653.604166666664</v>
      </c>
      <c r="V108" s="9">
        <v>15288.42201604</v>
      </c>
    </row>
    <row r="109" spans="2:22">
      <c r="B109" s="7"/>
      <c r="C109" s="8" t="e">
        <f>VLOOKUP($B109,#REF!,5,FALSE)</f>
        <v>#REF!</v>
      </c>
      <c r="D109" s="8" t="e">
        <f>VLOOKUP($B109,#REF!,6,FALSE)</f>
        <v>#REF!</v>
      </c>
      <c r="E109" s="9" t="e">
        <f>VLOOKUP($B109,#REF!,17,FALSE)</f>
        <v>#REF!</v>
      </c>
      <c r="F109" s="10" t="e">
        <f>VLOOKUP($B109,#REF!,7,FALSE)</f>
        <v>#REF!</v>
      </c>
      <c r="G109" s="10"/>
      <c r="H109" s="10"/>
      <c r="I109" s="11" t="e">
        <f>VLOOKUP($B109,#REF!,19,FALSE)</f>
        <v>#REF!</v>
      </c>
      <c r="J109" s="11" t="e">
        <f>VLOOKUP($B109,#REF!,6,FALSE)</f>
        <v>#REF!</v>
      </c>
      <c r="L109" s="3">
        <v>44652.357638888556</v>
      </c>
      <c r="M109" s="15"/>
      <c r="S109" s="7" t="s">
        <v>92</v>
      </c>
      <c r="T109" s="8">
        <v>44653.538194444445</v>
      </c>
      <c r="U109" s="8">
        <v>44653.604166666664</v>
      </c>
      <c r="V109" s="9">
        <v>15122.659980390001</v>
      </c>
    </row>
    <row r="110" spans="2:22">
      <c r="B110" s="7"/>
      <c r="C110" s="8" t="e">
        <f>VLOOKUP($B110,#REF!,5,FALSE)</f>
        <v>#REF!</v>
      </c>
      <c r="D110" s="8" t="e">
        <f>VLOOKUP($B110,#REF!,6,FALSE)</f>
        <v>#REF!</v>
      </c>
      <c r="E110" s="9" t="e">
        <f>VLOOKUP($B110,#REF!,17,FALSE)</f>
        <v>#REF!</v>
      </c>
      <c r="F110" s="10" t="e">
        <f>VLOOKUP($B110,#REF!,7,FALSE)</f>
        <v>#REF!</v>
      </c>
      <c r="G110" s="10"/>
      <c r="H110" s="10"/>
      <c r="I110" s="11" t="e">
        <f>VLOOKUP($B110,#REF!,19,FALSE)</f>
        <v>#REF!</v>
      </c>
      <c r="J110" s="11" t="e">
        <f>VLOOKUP($B110,#REF!,6,FALSE)</f>
        <v>#REF!</v>
      </c>
      <c r="L110" s="3">
        <v>44652.361111110775</v>
      </c>
      <c r="M110" s="15"/>
    </row>
    <row r="111" spans="2:22" ht="15">
      <c r="B111" s="7"/>
      <c r="C111" s="8" t="e">
        <f>VLOOKUP($B111,#REF!,5,FALSE)</f>
        <v>#REF!</v>
      </c>
      <c r="D111" s="8" t="e">
        <f>VLOOKUP($B111,#REF!,6,FALSE)</f>
        <v>#REF!</v>
      </c>
      <c r="E111" s="9" t="e">
        <f>VLOOKUP($B111,#REF!,17,FALSE)</f>
        <v>#REF!</v>
      </c>
      <c r="F111" s="10" t="e">
        <f>VLOOKUP($B111,#REF!,7,FALSE)</f>
        <v>#REF!</v>
      </c>
      <c r="G111" s="10"/>
      <c r="H111" s="10"/>
      <c r="I111" s="11" t="e">
        <f>VLOOKUP($B111,#REF!,19,FALSE)</f>
        <v>#REF!</v>
      </c>
      <c r="J111" s="11" t="e">
        <f>VLOOKUP($B111,#REF!,6,FALSE)</f>
        <v>#REF!</v>
      </c>
      <c r="L111" s="3">
        <v>44652.364583332994</v>
      </c>
      <c r="M111" s="15"/>
      <c r="S111" s="6" t="s">
        <v>81</v>
      </c>
      <c r="T111" s="6" t="s">
        <v>82</v>
      </c>
      <c r="U111" s="6" t="s">
        <v>83</v>
      </c>
      <c r="V111" s="6" t="s">
        <v>84</v>
      </c>
    </row>
    <row r="112" spans="2:22">
      <c r="B112" s="7"/>
      <c r="C112" s="8" t="e">
        <f>VLOOKUP($B112,#REF!,5,FALSE)</f>
        <v>#REF!</v>
      </c>
      <c r="D112" s="8" t="e">
        <f>VLOOKUP($B112,#REF!,6,FALSE)</f>
        <v>#REF!</v>
      </c>
      <c r="E112" s="9" t="e">
        <f>VLOOKUP($B112,#REF!,17,FALSE)</f>
        <v>#REF!</v>
      </c>
      <c r="F112" s="10" t="e">
        <f>VLOOKUP($B112,#REF!,7,FALSE)</f>
        <v>#REF!</v>
      </c>
      <c r="G112" s="10"/>
      <c r="H112" s="10"/>
      <c r="I112" s="11" t="e">
        <f>VLOOKUP($B112,#REF!,19,FALSE)</f>
        <v>#REF!</v>
      </c>
      <c r="J112" s="11" t="e">
        <f>VLOOKUP($B112,#REF!,6,FALSE)</f>
        <v>#REF!</v>
      </c>
      <c r="L112" s="3">
        <v>44652.368055555213</v>
      </c>
      <c r="M112" s="15"/>
      <c r="S112" s="7" t="s">
        <v>93</v>
      </c>
      <c r="T112" s="8">
        <v>44650.041666666664</v>
      </c>
      <c r="U112" s="8">
        <v>44652.333333333336</v>
      </c>
      <c r="V112" s="9">
        <v>379926.97793527</v>
      </c>
    </row>
    <row r="113" spans="2:22">
      <c r="B113" s="7"/>
      <c r="C113" s="8" t="e">
        <f>VLOOKUP($B113,#REF!,5,FALSE)</f>
        <v>#REF!</v>
      </c>
      <c r="D113" s="8" t="e">
        <f>VLOOKUP($B113,#REF!,6,FALSE)</f>
        <v>#REF!</v>
      </c>
      <c r="E113" s="9" t="e">
        <f>VLOOKUP($B113,#REF!,17,FALSE)</f>
        <v>#REF!</v>
      </c>
      <c r="F113" s="10" t="e">
        <f>VLOOKUP($B113,#REF!,7,FALSE)</f>
        <v>#REF!</v>
      </c>
      <c r="G113" s="10"/>
      <c r="H113" s="10"/>
      <c r="I113" s="11" t="e">
        <f>VLOOKUP($B113,#REF!,19,FALSE)</f>
        <v>#REF!</v>
      </c>
      <c r="J113" s="11" t="e">
        <f>VLOOKUP($B113,#REF!,6,FALSE)</f>
        <v>#REF!</v>
      </c>
      <c r="L113" s="3">
        <v>44652.371527777432</v>
      </c>
      <c r="M113" s="15"/>
      <c r="S113" s="7" t="s">
        <v>94</v>
      </c>
      <c r="T113" s="8">
        <v>44650.354166666664</v>
      </c>
      <c r="U113" s="8">
        <v>44653.520833333336</v>
      </c>
      <c r="V113" s="9">
        <v>591651.54810578004</v>
      </c>
    </row>
    <row r="114" spans="2:22">
      <c r="B114" s="7"/>
      <c r="C114" s="8" t="e">
        <f>VLOOKUP($B114,#REF!,5,FALSE)</f>
        <v>#REF!</v>
      </c>
      <c r="D114" s="8" t="e">
        <f>VLOOKUP($B114,#REF!,6,FALSE)</f>
        <v>#REF!</v>
      </c>
      <c r="E114" s="9" t="e">
        <f>VLOOKUP($B114,#REF!,17,FALSE)</f>
        <v>#REF!</v>
      </c>
      <c r="F114" s="10" t="e">
        <f>VLOOKUP($B114,#REF!,7,FALSE)</f>
        <v>#REF!</v>
      </c>
      <c r="G114" s="10"/>
      <c r="H114" s="10"/>
      <c r="I114" s="11" t="e">
        <f>VLOOKUP($B114,#REF!,19,FALSE)</f>
        <v>#REF!</v>
      </c>
      <c r="J114" s="11" t="e">
        <f>VLOOKUP($B114,#REF!,6,FALSE)</f>
        <v>#REF!</v>
      </c>
      <c r="L114" s="3">
        <v>44652.374999999651</v>
      </c>
      <c r="M114" s="15"/>
      <c r="S114" s="7" t="s">
        <v>90</v>
      </c>
      <c r="T114" s="13">
        <v>44652.333333333336</v>
      </c>
      <c r="U114" s="13">
        <v>44653.645833333336</v>
      </c>
      <c r="V114" s="14">
        <v>282935.45377675002</v>
      </c>
    </row>
    <row r="115" spans="2:22">
      <c r="B115" s="7"/>
      <c r="C115" s="8" t="e">
        <f>VLOOKUP($B115,#REF!,5,FALSE)</f>
        <v>#REF!</v>
      </c>
      <c r="D115" s="8" t="e">
        <f>VLOOKUP($B115,#REF!,6,FALSE)</f>
        <v>#REF!</v>
      </c>
      <c r="E115" s="9" t="e">
        <f>VLOOKUP($B115,#REF!,17,FALSE)</f>
        <v>#REF!</v>
      </c>
      <c r="F115" s="10" t="e">
        <f>VLOOKUP($B115,#REF!,7,FALSE)</f>
        <v>#REF!</v>
      </c>
      <c r="G115" s="10"/>
      <c r="H115" s="10"/>
      <c r="I115" s="11" t="e">
        <f>VLOOKUP($B115,#REF!,19,FALSE)</f>
        <v>#REF!</v>
      </c>
      <c r="J115" s="11" t="e">
        <f>VLOOKUP($B115,#REF!,6,FALSE)</f>
        <v>#REF!</v>
      </c>
      <c r="L115" s="3">
        <v>44652.37847222187</v>
      </c>
      <c r="M115" s="15"/>
      <c r="S115" s="7" t="s">
        <v>91</v>
      </c>
      <c r="T115" s="8">
        <v>44653.538194444445</v>
      </c>
      <c r="U115" s="8">
        <v>44653.604166666664</v>
      </c>
      <c r="V115" s="16">
        <v>15288.42201604</v>
      </c>
    </row>
    <row r="116" spans="2:22">
      <c r="B116" s="7"/>
      <c r="C116" s="8" t="e">
        <f>VLOOKUP($B116,#REF!,5,FALSE)</f>
        <v>#REF!</v>
      </c>
      <c r="D116" s="8" t="e">
        <f>VLOOKUP($B116,#REF!,6,FALSE)</f>
        <v>#REF!</v>
      </c>
      <c r="E116" s="9" t="e">
        <f>VLOOKUP($B116,#REF!,17,FALSE)</f>
        <v>#REF!</v>
      </c>
      <c r="F116" s="10" t="e">
        <f>VLOOKUP($B116,#REF!,7,FALSE)</f>
        <v>#REF!</v>
      </c>
      <c r="G116" s="10"/>
      <c r="H116" s="10"/>
      <c r="I116" s="11" t="e">
        <f>VLOOKUP($B116,#REF!,19,FALSE)</f>
        <v>#REF!</v>
      </c>
      <c r="J116" s="11" t="e">
        <f>VLOOKUP($B116,#REF!,6,FALSE)</f>
        <v>#REF!</v>
      </c>
      <c r="L116" s="3">
        <v>44652.381944444089</v>
      </c>
      <c r="M116" s="15"/>
      <c r="S116" s="7" t="s">
        <v>92</v>
      </c>
      <c r="T116" s="8">
        <v>44653.538194444445</v>
      </c>
      <c r="U116" s="8">
        <v>44653.604166666664</v>
      </c>
      <c r="V116" s="16">
        <v>15122.659980390001</v>
      </c>
    </row>
    <row r="117" spans="2:22">
      <c r="B117" s="7"/>
      <c r="C117" s="8" t="e">
        <f>VLOOKUP($B117,#REF!,5,FALSE)</f>
        <v>#REF!</v>
      </c>
      <c r="D117" s="8" t="e">
        <f>VLOOKUP($B117,#REF!,6,FALSE)</f>
        <v>#REF!</v>
      </c>
      <c r="E117" s="9" t="e">
        <f>VLOOKUP($B117,#REF!,17,FALSE)</f>
        <v>#REF!</v>
      </c>
      <c r="F117" s="10" t="e">
        <f>VLOOKUP($B117,#REF!,7,FALSE)</f>
        <v>#REF!</v>
      </c>
      <c r="G117" s="10"/>
      <c r="H117" s="10"/>
      <c r="I117" s="11" t="e">
        <f>VLOOKUP($B117,#REF!,19,FALSE)</f>
        <v>#REF!</v>
      </c>
      <c r="J117" s="11" t="e">
        <f>VLOOKUP($B117,#REF!,6,FALSE)</f>
        <v>#REF!</v>
      </c>
      <c r="L117" s="3">
        <v>44652.385416666308</v>
      </c>
      <c r="M117" s="15"/>
    </row>
    <row r="118" spans="2:22">
      <c r="B118" s="7"/>
      <c r="C118" s="8" t="e">
        <f>VLOOKUP($B118,#REF!,5,FALSE)</f>
        <v>#REF!</v>
      </c>
      <c r="D118" s="8" t="e">
        <f>VLOOKUP($B118,#REF!,6,FALSE)</f>
        <v>#REF!</v>
      </c>
      <c r="E118" s="9" t="e">
        <f>VLOOKUP($B118,#REF!,17,FALSE)</f>
        <v>#REF!</v>
      </c>
      <c r="F118" s="10" t="e">
        <f>VLOOKUP($B118,#REF!,7,FALSE)</f>
        <v>#REF!</v>
      </c>
      <c r="G118" s="10"/>
      <c r="H118" s="10"/>
      <c r="I118" s="11" t="e">
        <f>VLOOKUP($B118,#REF!,19,FALSE)</f>
        <v>#REF!</v>
      </c>
      <c r="J118" s="11" t="e">
        <f>VLOOKUP($B118,#REF!,6,FALSE)</f>
        <v>#REF!</v>
      </c>
      <c r="L118" s="3">
        <v>44652.388888888527</v>
      </c>
      <c r="M118" s="15"/>
    </row>
    <row r="119" spans="2:22">
      <c r="B119" s="7"/>
      <c r="C119" s="8" t="e">
        <f>VLOOKUP($B119,#REF!,5,FALSE)</f>
        <v>#REF!</v>
      </c>
      <c r="D119" s="8" t="e">
        <f>VLOOKUP($B119,#REF!,6,FALSE)</f>
        <v>#REF!</v>
      </c>
      <c r="E119" s="9" t="e">
        <f>VLOOKUP($B119,#REF!,17,FALSE)</f>
        <v>#REF!</v>
      </c>
      <c r="F119" s="10" t="e">
        <f>VLOOKUP($B119,#REF!,7,FALSE)</f>
        <v>#REF!</v>
      </c>
      <c r="G119" s="10"/>
      <c r="H119" s="10"/>
      <c r="I119" s="11" t="e">
        <f>VLOOKUP($B119,#REF!,19,FALSE)</f>
        <v>#REF!</v>
      </c>
      <c r="J119" s="11" t="e">
        <f>VLOOKUP($B119,#REF!,6,FALSE)</f>
        <v>#REF!</v>
      </c>
      <c r="L119" s="3">
        <v>44652.392361110746</v>
      </c>
      <c r="M119" s="15"/>
    </row>
    <row r="120" spans="2:22">
      <c r="B120" s="7"/>
      <c r="C120" s="8" t="e">
        <f>VLOOKUP($B120,#REF!,5,FALSE)</f>
        <v>#REF!</v>
      </c>
      <c r="D120" s="8" t="e">
        <f>VLOOKUP($B120,#REF!,6,FALSE)</f>
        <v>#REF!</v>
      </c>
      <c r="E120" s="9" t="e">
        <f>VLOOKUP($B120,#REF!,17,FALSE)</f>
        <v>#REF!</v>
      </c>
      <c r="F120" s="10" t="e">
        <f>VLOOKUP($B120,#REF!,7,FALSE)</f>
        <v>#REF!</v>
      </c>
      <c r="G120" s="10"/>
      <c r="H120" s="10"/>
      <c r="I120" s="11" t="e">
        <f>VLOOKUP($B120,#REF!,19,FALSE)</f>
        <v>#REF!</v>
      </c>
      <c r="J120" s="11" t="e">
        <f>VLOOKUP($B120,#REF!,6,FALSE)</f>
        <v>#REF!</v>
      </c>
      <c r="L120" s="3">
        <v>44652.395833332965</v>
      </c>
      <c r="M120" s="15"/>
    </row>
    <row r="121" spans="2:22">
      <c r="B121" s="7"/>
      <c r="C121" s="8" t="e">
        <f>VLOOKUP($B121,#REF!,5,FALSE)</f>
        <v>#REF!</v>
      </c>
      <c r="D121" s="8" t="e">
        <f>VLOOKUP($B121,#REF!,6,FALSE)</f>
        <v>#REF!</v>
      </c>
      <c r="E121" s="9" t="e">
        <f>VLOOKUP($B121,#REF!,17,FALSE)</f>
        <v>#REF!</v>
      </c>
      <c r="F121" s="10" t="e">
        <f>VLOOKUP($B121,#REF!,7,FALSE)</f>
        <v>#REF!</v>
      </c>
      <c r="G121" s="10"/>
      <c r="H121" s="10"/>
      <c r="I121" s="11" t="e">
        <f>VLOOKUP($B121,#REF!,19,FALSE)</f>
        <v>#REF!</v>
      </c>
      <c r="J121" s="11" t="e">
        <f>VLOOKUP($B121,#REF!,6,FALSE)</f>
        <v>#REF!</v>
      </c>
      <c r="L121" s="3">
        <v>44652.399305555184</v>
      </c>
      <c r="M121" s="15"/>
    </row>
    <row r="122" spans="2:22">
      <c r="B122" s="7"/>
      <c r="C122" s="8" t="e">
        <f>VLOOKUP($B122,#REF!,5,FALSE)</f>
        <v>#REF!</v>
      </c>
      <c r="D122" s="8" t="e">
        <f>VLOOKUP($B122,#REF!,6,FALSE)</f>
        <v>#REF!</v>
      </c>
      <c r="E122" s="9" t="e">
        <f>VLOOKUP($B122,#REF!,17,FALSE)</f>
        <v>#REF!</v>
      </c>
      <c r="F122" s="10" t="e">
        <f>VLOOKUP($B122,#REF!,7,FALSE)</f>
        <v>#REF!</v>
      </c>
      <c r="G122" s="10"/>
      <c r="H122" s="10"/>
      <c r="I122" s="11" t="e">
        <f>VLOOKUP($B122,#REF!,19,FALSE)</f>
        <v>#REF!</v>
      </c>
      <c r="J122" s="11" t="e">
        <f>VLOOKUP($B122,#REF!,6,FALSE)</f>
        <v>#REF!</v>
      </c>
      <c r="L122" s="3">
        <v>44652.402777777403</v>
      </c>
      <c r="M122" s="15"/>
    </row>
    <row r="123" spans="2:22">
      <c r="B123" s="7"/>
      <c r="C123" s="8" t="e">
        <f>VLOOKUP($B123,#REF!,5,FALSE)</f>
        <v>#REF!</v>
      </c>
      <c r="D123" s="8" t="e">
        <f>VLOOKUP($B123,#REF!,6,FALSE)</f>
        <v>#REF!</v>
      </c>
      <c r="E123" s="9" t="e">
        <f>VLOOKUP($B123,#REF!,17,FALSE)</f>
        <v>#REF!</v>
      </c>
      <c r="F123" s="10" t="e">
        <f>VLOOKUP($B123,#REF!,7,FALSE)</f>
        <v>#REF!</v>
      </c>
      <c r="G123" s="10"/>
      <c r="H123" s="10"/>
      <c r="I123" s="11" t="e">
        <f>VLOOKUP($B123,#REF!,19,FALSE)</f>
        <v>#REF!</v>
      </c>
      <c r="J123" s="11" t="e">
        <f>VLOOKUP($B123,#REF!,6,FALSE)</f>
        <v>#REF!</v>
      </c>
      <c r="L123" s="3">
        <v>44652.406249999622</v>
      </c>
      <c r="M123" s="15"/>
    </row>
    <row r="124" spans="2:22">
      <c r="B124" s="7"/>
      <c r="C124" s="8" t="e">
        <f>VLOOKUP($B124,#REF!,5,FALSE)</f>
        <v>#REF!</v>
      </c>
      <c r="D124" s="8" t="e">
        <f>VLOOKUP($B124,#REF!,6,FALSE)</f>
        <v>#REF!</v>
      </c>
      <c r="E124" s="9" t="e">
        <f>VLOOKUP($B124,#REF!,17,FALSE)</f>
        <v>#REF!</v>
      </c>
      <c r="F124" s="10" t="e">
        <f>VLOOKUP($B124,#REF!,7,FALSE)</f>
        <v>#REF!</v>
      </c>
      <c r="G124" s="10"/>
      <c r="H124" s="10"/>
      <c r="I124" s="11" t="e">
        <f>VLOOKUP($B124,#REF!,19,FALSE)</f>
        <v>#REF!</v>
      </c>
      <c r="J124" s="11" t="e">
        <f>VLOOKUP($B124,#REF!,6,FALSE)</f>
        <v>#REF!</v>
      </c>
      <c r="L124" s="3">
        <v>44652.409722221841</v>
      </c>
      <c r="M124" s="15"/>
    </row>
    <row r="125" spans="2:22">
      <c r="B125" s="7"/>
      <c r="C125" s="8" t="e">
        <f>VLOOKUP($B125,#REF!,5,FALSE)</f>
        <v>#REF!</v>
      </c>
      <c r="D125" s="8" t="e">
        <f>VLOOKUP($B125,#REF!,6,FALSE)</f>
        <v>#REF!</v>
      </c>
      <c r="E125" s="9" t="e">
        <f>VLOOKUP($B125,#REF!,17,FALSE)</f>
        <v>#REF!</v>
      </c>
      <c r="F125" s="10" t="e">
        <f>VLOOKUP($B125,#REF!,7,FALSE)</f>
        <v>#REF!</v>
      </c>
      <c r="G125" s="10"/>
      <c r="H125" s="10"/>
      <c r="I125" s="11" t="e">
        <f>VLOOKUP($B125,#REF!,19,FALSE)</f>
        <v>#REF!</v>
      </c>
      <c r="J125" s="11" t="e">
        <f>VLOOKUP($B125,#REF!,6,FALSE)</f>
        <v>#REF!</v>
      </c>
      <c r="L125" s="3">
        <v>44652.41319444406</v>
      </c>
      <c r="M125" s="15"/>
    </row>
    <row r="126" spans="2:22">
      <c r="B126" s="7"/>
      <c r="C126" s="8" t="e">
        <f>VLOOKUP($B126,#REF!,5,FALSE)</f>
        <v>#REF!</v>
      </c>
      <c r="D126" s="8" t="e">
        <f>VLOOKUP($B126,#REF!,6,FALSE)</f>
        <v>#REF!</v>
      </c>
      <c r="E126" s="9" t="e">
        <f>VLOOKUP($B126,#REF!,17,FALSE)</f>
        <v>#REF!</v>
      </c>
      <c r="F126" s="10" t="e">
        <f>VLOOKUP($B126,#REF!,7,FALSE)</f>
        <v>#REF!</v>
      </c>
      <c r="G126" s="10"/>
      <c r="H126" s="10"/>
      <c r="I126" s="11" t="e">
        <f>VLOOKUP($B126,#REF!,19,FALSE)</f>
        <v>#REF!</v>
      </c>
      <c r="J126" s="11" t="e">
        <f>VLOOKUP($B126,#REF!,6,FALSE)</f>
        <v>#REF!</v>
      </c>
      <c r="L126" s="3">
        <v>44652.416666666279</v>
      </c>
      <c r="M126" s="15"/>
    </row>
    <row r="127" spans="2:22">
      <c r="B127" s="7"/>
      <c r="C127" s="8" t="e">
        <f>VLOOKUP($B127,#REF!,5,FALSE)</f>
        <v>#REF!</v>
      </c>
      <c r="D127" s="8" t="e">
        <f>VLOOKUP($B127,#REF!,6,FALSE)</f>
        <v>#REF!</v>
      </c>
      <c r="E127" s="9" t="e">
        <f>VLOOKUP($B127,#REF!,17,FALSE)</f>
        <v>#REF!</v>
      </c>
      <c r="F127" s="10" t="e">
        <f>VLOOKUP($B127,#REF!,7,FALSE)</f>
        <v>#REF!</v>
      </c>
      <c r="G127" s="10"/>
      <c r="H127" s="10"/>
      <c r="I127" s="11" t="e">
        <f>VLOOKUP($B127,#REF!,19,FALSE)</f>
        <v>#REF!</v>
      </c>
      <c r="J127" s="11" t="e">
        <f>VLOOKUP($B127,#REF!,6,FALSE)</f>
        <v>#REF!</v>
      </c>
      <c r="L127" s="3">
        <v>44652.420138888498</v>
      </c>
      <c r="M127" s="15"/>
    </row>
    <row r="128" spans="2:22">
      <c r="B128" s="7"/>
      <c r="C128" s="8" t="e">
        <f>VLOOKUP($B128,#REF!,5,FALSE)</f>
        <v>#REF!</v>
      </c>
      <c r="D128" s="8" t="e">
        <f>VLOOKUP($B128,#REF!,6,FALSE)</f>
        <v>#REF!</v>
      </c>
      <c r="E128" s="9" t="e">
        <f>VLOOKUP($B128,#REF!,17,FALSE)</f>
        <v>#REF!</v>
      </c>
      <c r="F128" s="10" t="e">
        <f>VLOOKUP($B128,#REF!,7,FALSE)</f>
        <v>#REF!</v>
      </c>
      <c r="G128" s="10"/>
      <c r="H128" s="10"/>
      <c r="I128" s="11" t="e">
        <f>VLOOKUP($B128,#REF!,19,FALSE)</f>
        <v>#REF!</v>
      </c>
      <c r="J128" s="11" t="e">
        <f>VLOOKUP($B128,#REF!,6,FALSE)</f>
        <v>#REF!</v>
      </c>
      <c r="L128" s="3">
        <v>44652.423611110717</v>
      </c>
      <c r="M128" s="15"/>
    </row>
    <row r="129" spans="2:13">
      <c r="B129" s="7"/>
      <c r="C129" s="8" t="e">
        <f>VLOOKUP($B129,#REF!,5,FALSE)</f>
        <v>#REF!</v>
      </c>
      <c r="D129" s="8" t="e">
        <f>VLOOKUP($B129,#REF!,6,FALSE)</f>
        <v>#REF!</v>
      </c>
      <c r="E129" s="9" t="e">
        <f>VLOOKUP($B129,#REF!,17,FALSE)</f>
        <v>#REF!</v>
      </c>
      <c r="F129" s="10" t="e">
        <f>VLOOKUP($B129,#REF!,7,FALSE)</f>
        <v>#REF!</v>
      </c>
      <c r="G129" s="10"/>
      <c r="H129" s="10"/>
      <c r="I129" s="11" t="e">
        <f>VLOOKUP($B129,#REF!,19,FALSE)</f>
        <v>#REF!</v>
      </c>
      <c r="J129" s="11" t="e">
        <f>VLOOKUP($B129,#REF!,6,FALSE)</f>
        <v>#REF!</v>
      </c>
      <c r="L129" s="3">
        <v>44652.427083332936</v>
      </c>
      <c r="M129" s="15"/>
    </row>
    <row r="130" spans="2:13">
      <c r="B130" s="7"/>
      <c r="C130" s="8" t="e">
        <f>VLOOKUP($B130,#REF!,5,FALSE)</f>
        <v>#REF!</v>
      </c>
      <c r="D130" s="8" t="e">
        <f>VLOOKUP($B130,#REF!,6,FALSE)</f>
        <v>#REF!</v>
      </c>
      <c r="E130" s="9" t="e">
        <f>VLOOKUP($B130,#REF!,17,FALSE)</f>
        <v>#REF!</v>
      </c>
      <c r="F130" s="10" t="e">
        <f>VLOOKUP($B130,#REF!,7,FALSE)</f>
        <v>#REF!</v>
      </c>
      <c r="G130" s="10"/>
      <c r="H130" s="10"/>
      <c r="I130" s="11" t="e">
        <f>VLOOKUP($B130,#REF!,19,FALSE)</f>
        <v>#REF!</v>
      </c>
      <c r="J130" s="11" t="e">
        <f>VLOOKUP($B130,#REF!,6,FALSE)</f>
        <v>#REF!</v>
      </c>
      <c r="L130" s="3">
        <v>44652.430555555155</v>
      </c>
      <c r="M130" s="15"/>
    </row>
    <row r="131" spans="2:13">
      <c r="B131" s="7"/>
      <c r="C131" s="8" t="e">
        <f>VLOOKUP($B131,#REF!,5,FALSE)</f>
        <v>#REF!</v>
      </c>
      <c r="D131" s="8" t="e">
        <f>VLOOKUP($B131,#REF!,6,FALSE)</f>
        <v>#REF!</v>
      </c>
      <c r="E131" s="9" t="e">
        <f>VLOOKUP($B131,#REF!,17,FALSE)</f>
        <v>#REF!</v>
      </c>
      <c r="F131" s="10" t="e">
        <f>VLOOKUP($B131,#REF!,7,FALSE)</f>
        <v>#REF!</v>
      </c>
      <c r="G131" s="10"/>
      <c r="H131" s="10"/>
      <c r="I131" s="11" t="e">
        <f>VLOOKUP($B131,#REF!,19,FALSE)</f>
        <v>#REF!</v>
      </c>
      <c r="J131" s="11" t="e">
        <f>VLOOKUP($B131,#REF!,6,FALSE)</f>
        <v>#REF!</v>
      </c>
      <c r="L131" s="3">
        <v>44652.434027777374</v>
      </c>
      <c r="M131" s="15"/>
    </row>
    <row r="132" spans="2:13">
      <c r="B132" s="7"/>
      <c r="C132" s="8" t="e">
        <f>VLOOKUP($B132,#REF!,5,FALSE)</f>
        <v>#REF!</v>
      </c>
      <c r="D132" s="8" t="e">
        <f>VLOOKUP($B132,#REF!,6,FALSE)</f>
        <v>#REF!</v>
      </c>
      <c r="E132" s="9" t="e">
        <f>VLOOKUP($B132,#REF!,17,FALSE)</f>
        <v>#REF!</v>
      </c>
      <c r="F132" s="10" t="e">
        <f>VLOOKUP($B132,#REF!,7,FALSE)</f>
        <v>#REF!</v>
      </c>
      <c r="G132" s="10"/>
      <c r="H132" s="10"/>
      <c r="I132" s="11" t="e">
        <f>VLOOKUP($B132,#REF!,19,FALSE)</f>
        <v>#REF!</v>
      </c>
      <c r="J132" s="11" t="e">
        <f>VLOOKUP($B132,#REF!,6,FALSE)</f>
        <v>#REF!</v>
      </c>
      <c r="L132" s="3">
        <v>44652.437499999593</v>
      </c>
      <c r="M132" s="15"/>
    </row>
    <row r="133" spans="2:13">
      <c r="B133" s="7"/>
      <c r="C133" s="8" t="e">
        <f>VLOOKUP($B133,#REF!,5,FALSE)</f>
        <v>#REF!</v>
      </c>
      <c r="D133" s="8" t="e">
        <f>VLOOKUP($B133,#REF!,6,FALSE)</f>
        <v>#REF!</v>
      </c>
      <c r="E133" s="9" t="e">
        <f>VLOOKUP($B133,#REF!,17,FALSE)</f>
        <v>#REF!</v>
      </c>
      <c r="F133" s="10" t="e">
        <f>VLOOKUP($B133,#REF!,7,FALSE)</f>
        <v>#REF!</v>
      </c>
      <c r="G133" s="10"/>
      <c r="H133" s="10"/>
      <c r="I133" s="11" t="e">
        <f>VLOOKUP($B133,#REF!,19,FALSE)</f>
        <v>#REF!</v>
      </c>
      <c r="J133" s="11" t="e">
        <f>VLOOKUP($B133,#REF!,6,FALSE)</f>
        <v>#REF!</v>
      </c>
      <c r="L133" s="3">
        <v>44652.440972221812</v>
      </c>
      <c r="M133" s="15"/>
    </row>
    <row r="134" spans="2:13">
      <c r="B134" s="7"/>
      <c r="C134" s="8" t="e">
        <f>VLOOKUP($B134,#REF!,5,FALSE)</f>
        <v>#REF!</v>
      </c>
      <c r="D134" s="8" t="e">
        <f>VLOOKUP($B134,#REF!,6,FALSE)</f>
        <v>#REF!</v>
      </c>
      <c r="E134" s="9" t="e">
        <f>VLOOKUP($B134,#REF!,17,FALSE)</f>
        <v>#REF!</v>
      </c>
      <c r="F134" s="10" t="e">
        <f>VLOOKUP($B134,#REF!,7,FALSE)</f>
        <v>#REF!</v>
      </c>
      <c r="G134" s="10"/>
      <c r="H134" s="10"/>
      <c r="I134" s="11" t="e">
        <f>VLOOKUP($B134,#REF!,19,FALSE)</f>
        <v>#REF!</v>
      </c>
      <c r="J134" s="11" t="e">
        <f>VLOOKUP($B134,#REF!,6,FALSE)</f>
        <v>#REF!</v>
      </c>
      <c r="L134" s="3">
        <v>44652.444444444031</v>
      </c>
      <c r="M134" s="15"/>
    </row>
    <row r="135" spans="2:13">
      <c r="B135" s="7"/>
      <c r="C135" s="8" t="e">
        <f>VLOOKUP($B135,#REF!,5,FALSE)</f>
        <v>#REF!</v>
      </c>
      <c r="D135" s="8" t="e">
        <f>VLOOKUP($B135,#REF!,6,FALSE)</f>
        <v>#REF!</v>
      </c>
      <c r="E135" s="9" t="e">
        <f>VLOOKUP($B135,#REF!,17,FALSE)</f>
        <v>#REF!</v>
      </c>
      <c r="F135" s="10" t="e">
        <f>VLOOKUP($B135,#REF!,7,FALSE)</f>
        <v>#REF!</v>
      </c>
      <c r="G135" s="10"/>
      <c r="H135" s="10"/>
      <c r="I135" s="11" t="e">
        <f>VLOOKUP($B135,#REF!,19,FALSE)</f>
        <v>#REF!</v>
      </c>
      <c r="J135" s="11" t="e">
        <f>VLOOKUP($B135,#REF!,6,FALSE)</f>
        <v>#REF!</v>
      </c>
      <c r="L135" s="3">
        <v>44652.44791666625</v>
      </c>
      <c r="M135" s="15"/>
    </row>
    <row r="136" spans="2:13">
      <c r="B136" s="7"/>
      <c r="C136" s="8" t="e">
        <f>VLOOKUP($B136,#REF!,5,FALSE)</f>
        <v>#REF!</v>
      </c>
      <c r="D136" s="8" t="e">
        <f>VLOOKUP($B136,#REF!,6,FALSE)</f>
        <v>#REF!</v>
      </c>
      <c r="E136" s="9" t="e">
        <f>VLOOKUP($B136,#REF!,17,FALSE)</f>
        <v>#REF!</v>
      </c>
      <c r="F136" s="10" t="e">
        <f>VLOOKUP($B136,#REF!,7,FALSE)</f>
        <v>#REF!</v>
      </c>
      <c r="G136" s="10"/>
      <c r="H136" s="10"/>
      <c r="I136" s="11" t="e">
        <f>VLOOKUP($B136,#REF!,19,FALSE)</f>
        <v>#REF!</v>
      </c>
      <c r="J136" s="11" t="e">
        <f>VLOOKUP($B136,#REF!,6,FALSE)</f>
        <v>#REF!</v>
      </c>
      <c r="L136" s="3">
        <v>44652.451388888469</v>
      </c>
      <c r="M136" s="15"/>
    </row>
    <row r="137" spans="2:13">
      <c r="B137" s="7"/>
      <c r="C137" s="8" t="e">
        <f>VLOOKUP($B137,#REF!,5,FALSE)</f>
        <v>#REF!</v>
      </c>
      <c r="D137" s="8" t="e">
        <f>VLOOKUP($B137,#REF!,6,FALSE)</f>
        <v>#REF!</v>
      </c>
      <c r="E137" s="9" t="e">
        <f>VLOOKUP($B137,#REF!,17,FALSE)</f>
        <v>#REF!</v>
      </c>
      <c r="F137" s="10" t="e">
        <f>VLOOKUP($B137,#REF!,7,FALSE)</f>
        <v>#REF!</v>
      </c>
      <c r="G137" s="10"/>
      <c r="H137" s="10"/>
      <c r="I137" s="11" t="e">
        <f>VLOOKUP($B137,#REF!,19,FALSE)</f>
        <v>#REF!</v>
      </c>
      <c r="J137" s="11" t="e">
        <f>VLOOKUP($B137,#REF!,6,FALSE)</f>
        <v>#REF!</v>
      </c>
      <c r="L137" s="3">
        <v>44652.454861110687</v>
      </c>
      <c r="M137" s="15"/>
    </row>
    <row r="138" spans="2:13">
      <c r="B138" s="7"/>
      <c r="C138" s="8" t="e">
        <f>VLOOKUP($B138,#REF!,5,FALSE)</f>
        <v>#REF!</v>
      </c>
      <c r="D138" s="8" t="e">
        <f>VLOOKUP($B138,#REF!,6,FALSE)</f>
        <v>#REF!</v>
      </c>
      <c r="E138" s="9" t="e">
        <f>VLOOKUP($B138,#REF!,17,FALSE)</f>
        <v>#REF!</v>
      </c>
      <c r="F138" s="10" t="e">
        <f>VLOOKUP($B138,#REF!,7,FALSE)</f>
        <v>#REF!</v>
      </c>
      <c r="G138" s="10"/>
      <c r="H138" s="10"/>
      <c r="I138" s="11" t="e">
        <f>VLOOKUP($B138,#REF!,19,FALSE)</f>
        <v>#REF!</v>
      </c>
      <c r="J138" s="11" t="e">
        <f>VLOOKUP($B138,#REF!,6,FALSE)</f>
        <v>#REF!</v>
      </c>
      <c r="L138" s="3">
        <v>44652.458333332906</v>
      </c>
      <c r="M138" s="15"/>
    </row>
    <row r="139" spans="2:13">
      <c r="B139" s="7"/>
      <c r="C139" s="8" t="e">
        <f>VLOOKUP($B139,#REF!,5,FALSE)</f>
        <v>#REF!</v>
      </c>
      <c r="D139" s="8" t="e">
        <f>VLOOKUP($B139,#REF!,6,FALSE)</f>
        <v>#REF!</v>
      </c>
      <c r="E139" s="9" t="e">
        <f>VLOOKUP($B139,#REF!,17,FALSE)</f>
        <v>#REF!</v>
      </c>
      <c r="F139" s="10" t="e">
        <f>VLOOKUP($B139,#REF!,7,FALSE)</f>
        <v>#REF!</v>
      </c>
      <c r="G139" s="10"/>
      <c r="H139" s="10"/>
      <c r="I139" s="11" t="e">
        <f>VLOOKUP($B139,#REF!,19,FALSE)</f>
        <v>#REF!</v>
      </c>
      <c r="J139" s="11" t="e">
        <f>VLOOKUP($B139,#REF!,6,FALSE)</f>
        <v>#REF!</v>
      </c>
      <c r="L139" s="3">
        <v>44652.461805555125</v>
      </c>
      <c r="M139" s="15"/>
    </row>
    <row r="140" spans="2:13">
      <c r="B140" s="7"/>
      <c r="C140" s="8" t="e">
        <f>VLOOKUP($B140,#REF!,5,FALSE)</f>
        <v>#REF!</v>
      </c>
      <c r="D140" s="8" t="e">
        <f>VLOOKUP($B140,#REF!,6,FALSE)</f>
        <v>#REF!</v>
      </c>
      <c r="E140" s="9" t="e">
        <f>VLOOKUP($B140,#REF!,17,FALSE)</f>
        <v>#REF!</v>
      </c>
      <c r="F140" s="10" t="e">
        <f>VLOOKUP($B140,#REF!,7,FALSE)</f>
        <v>#REF!</v>
      </c>
      <c r="G140" s="10"/>
      <c r="H140" s="10"/>
      <c r="I140" s="11" t="e">
        <f>VLOOKUP($B140,#REF!,19,FALSE)</f>
        <v>#REF!</v>
      </c>
      <c r="J140" s="11" t="e">
        <f>VLOOKUP($B140,#REF!,6,FALSE)</f>
        <v>#REF!</v>
      </c>
      <c r="L140" s="3">
        <v>44652.465277777344</v>
      </c>
      <c r="M140" s="15"/>
    </row>
    <row r="141" spans="2:13">
      <c r="B141" s="7"/>
      <c r="C141" s="8" t="e">
        <f>VLOOKUP($B141,#REF!,5,FALSE)</f>
        <v>#REF!</v>
      </c>
      <c r="D141" s="8" t="e">
        <f>VLOOKUP($B141,#REF!,6,FALSE)</f>
        <v>#REF!</v>
      </c>
      <c r="E141" s="9" t="e">
        <f>VLOOKUP($B141,#REF!,17,FALSE)</f>
        <v>#REF!</v>
      </c>
      <c r="F141" s="10" t="e">
        <f>VLOOKUP($B141,#REF!,7,FALSE)</f>
        <v>#REF!</v>
      </c>
      <c r="G141" s="10"/>
      <c r="H141" s="10"/>
      <c r="I141" s="11" t="e">
        <f>VLOOKUP($B141,#REF!,19,FALSE)</f>
        <v>#REF!</v>
      </c>
      <c r="J141" s="11" t="e">
        <f>VLOOKUP($B141,#REF!,6,FALSE)</f>
        <v>#REF!</v>
      </c>
      <c r="L141" s="3">
        <v>44652.468749999563</v>
      </c>
      <c r="M141" s="15"/>
    </row>
    <row r="142" spans="2:13">
      <c r="B142" s="7"/>
      <c r="C142" s="8" t="e">
        <f>VLOOKUP($B142,#REF!,5,FALSE)</f>
        <v>#REF!</v>
      </c>
      <c r="D142" s="8" t="e">
        <f>VLOOKUP($B142,#REF!,6,FALSE)</f>
        <v>#REF!</v>
      </c>
      <c r="E142" s="9" t="e">
        <f>VLOOKUP($B142,#REF!,17,FALSE)</f>
        <v>#REF!</v>
      </c>
      <c r="F142" s="10" t="e">
        <f>VLOOKUP($B142,#REF!,7,FALSE)</f>
        <v>#REF!</v>
      </c>
      <c r="G142" s="10"/>
      <c r="H142" s="10"/>
      <c r="I142" s="11" t="e">
        <f>VLOOKUP($B142,#REF!,19,FALSE)</f>
        <v>#REF!</v>
      </c>
      <c r="J142" s="11" t="e">
        <f>VLOOKUP($B142,#REF!,6,FALSE)</f>
        <v>#REF!</v>
      </c>
      <c r="L142" s="3">
        <v>44652.472222221782</v>
      </c>
      <c r="M142" s="15"/>
    </row>
    <row r="143" spans="2:13">
      <c r="B143" s="7"/>
      <c r="C143" s="8" t="e">
        <f>VLOOKUP($B143,#REF!,5,FALSE)</f>
        <v>#REF!</v>
      </c>
      <c r="D143" s="8" t="e">
        <f>VLOOKUP($B143,#REF!,6,FALSE)</f>
        <v>#REF!</v>
      </c>
      <c r="E143" s="9" t="e">
        <f>VLOOKUP($B143,#REF!,17,FALSE)</f>
        <v>#REF!</v>
      </c>
      <c r="F143" s="10" t="e">
        <f>VLOOKUP($B143,#REF!,7,FALSE)</f>
        <v>#REF!</v>
      </c>
      <c r="G143" s="10"/>
      <c r="H143" s="10"/>
      <c r="I143" s="11" t="e">
        <f>VLOOKUP($B143,#REF!,19,FALSE)</f>
        <v>#REF!</v>
      </c>
      <c r="J143" s="11" t="e">
        <f>VLOOKUP($B143,#REF!,6,FALSE)</f>
        <v>#REF!</v>
      </c>
      <c r="L143" s="3">
        <v>44652.475694444001</v>
      </c>
      <c r="M143" s="15"/>
    </row>
    <row r="144" spans="2:13">
      <c r="B144" s="7"/>
      <c r="C144" s="8" t="e">
        <f>VLOOKUP($B144,#REF!,5,FALSE)</f>
        <v>#REF!</v>
      </c>
      <c r="D144" s="8" t="e">
        <f>VLOOKUP($B144,#REF!,6,FALSE)</f>
        <v>#REF!</v>
      </c>
      <c r="E144" s="9" t="e">
        <f>VLOOKUP($B144,#REF!,17,FALSE)</f>
        <v>#REF!</v>
      </c>
      <c r="F144" s="10" t="e">
        <f>VLOOKUP($B144,#REF!,7,FALSE)</f>
        <v>#REF!</v>
      </c>
      <c r="G144" s="10"/>
      <c r="H144" s="10"/>
      <c r="I144" s="11" t="e">
        <f>VLOOKUP($B144,#REF!,19,FALSE)</f>
        <v>#REF!</v>
      </c>
      <c r="J144" s="11" t="e">
        <f>VLOOKUP($B144,#REF!,6,FALSE)</f>
        <v>#REF!</v>
      </c>
      <c r="L144" s="3">
        <v>44652.47916666622</v>
      </c>
      <c r="M144" s="15"/>
    </row>
    <row r="145" spans="2:13">
      <c r="B145" s="7"/>
      <c r="C145" s="8" t="e">
        <f>VLOOKUP($B145,#REF!,5,FALSE)</f>
        <v>#REF!</v>
      </c>
      <c r="D145" s="8" t="e">
        <f>VLOOKUP($B145,#REF!,6,FALSE)</f>
        <v>#REF!</v>
      </c>
      <c r="E145" s="9" t="e">
        <f>VLOOKUP($B145,#REF!,17,FALSE)</f>
        <v>#REF!</v>
      </c>
      <c r="F145" s="10" t="e">
        <f>VLOOKUP($B145,#REF!,7,FALSE)</f>
        <v>#REF!</v>
      </c>
      <c r="G145" s="10"/>
      <c r="H145" s="10"/>
      <c r="I145" s="11" t="e">
        <f>VLOOKUP($B145,#REF!,19,FALSE)</f>
        <v>#REF!</v>
      </c>
      <c r="J145" s="11" t="e">
        <f>VLOOKUP($B145,#REF!,6,FALSE)</f>
        <v>#REF!</v>
      </c>
      <c r="L145" s="3">
        <v>44652.482638888439</v>
      </c>
      <c r="M145" s="15"/>
    </row>
    <row r="146" spans="2:13">
      <c r="B146" s="7"/>
      <c r="C146" s="8" t="e">
        <f>VLOOKUP($B146,#REF!,5,FALSE)</f>
        <v>#REF!</v>
      </c>
      <c r="D146" s="8" t="e">
        <f>VLOOKUP($B146,#REF!,6,FALSE)</f>
        <v>#REF!</v>
      </c>
      <c r="E146" s="9" t="e">
        <f>VLOOKUP($B146,#REF!,17,FALSE)</f>
        <v>#REF!</v>
      </c>
      <c r="F146" s="10" t="e">
        <f>VLOOKUP($B146,#REF!,7,FALSE)</f>
        <v>#REF!</v>
      </c>
      <c r="G146" s="10"/>
      <c r="H146" s="10"/>
      <c r="I146" s="11" t="e">
        <f>VLOOKUP($B146,#REF!,19,FALSE)</f>
        <v>#REF!</v>
      </c>
      <c r="J146" s="11" t="e">
        <f>VLOOKUP($B146,#REF!,6,FALSE)</f>
        <v>#REF!</v>
      </c>
      <c r="L146" s="3">
        <v>44652.486111110658</v>
      </c>
      <c r="M146" s="15"/>
    </row>
    <row r="147" spans="2:13">
      <c r="B147" s="7"/>
      <c r="C147" s="8" t="e">
        <f>VLOOKUP($B147,#REF!,5,FALSE)</f>
        <v>#REF!</v>
      </c>
      <c r="D147" s="8" t="e">
        <f>VLOOKUP($B147,#REF!,6,FALSE)</f>
        <v>#REF!</v>
      </c>
      <c r="E147" s="9" t="e">
        <f>VLOOKUP($B147,#REF!,17,FALSE)</f>
        <v>#REF!</v>
      </c>
      <c r="F147" s="10" t="e">
        <f>VLOOKUP($B147,#REF!,7,FALSE)</f>
        <v>#REF!</v>
      </c>
      <c r="G147" s="10"/>
      <c r="H147" s="10"/>
      <c r="I147" s="11" t="e">
        <f>VLOOKUP($B147,#REF!,19,FALSE)</f>
        <v>#REF!</v>
      </c>
      <c r="J147" s="11" t="e">
        <f>VLOOKUP($B147,#REF!,6,FALSE)</f>
        <v>#REF!</v>
      </c>
      <c r="L147" s="3">
        <v>44652.489583332877</v>
      </c>
      <c r="M147" s="15"/>
    </row>
    <row r="148" spans="2:13">
      <c r="B148" s="7"/>
      <c r="C148" s="8" t="e">
        <f>VLOOKUP($B148,#REF!,5,FALSE)</f>
        <v>#REF!</v>
      </c>
      <c r="D148" s="8" t="e">
        <f>VLOOKUP($B148,#REF!,6,FALSE)</f>
        <v>#REF!</v>
      </c>
      <c r="E148" s="9" t="e">
        <f>VLOOKUP($B148,#REF!,17,FALSE)</f>
        <v>#REF!</v>
      </c>
      <c r="F148" s="10" t="e">
        <f>VLOOKUP($B148,#REF!,7,FALSE)</f>
        <v>#REF!</v>
      </c>
      <c r="G148" s="10"/>
      <c r="H148" s="10"/>
      <c r="I148" s="11" t="e">
        <f>VLOOKUP($B148,#REF!,19,FALSE)</f>
        <v>#REF!</v>
      </c>
      <c r="J148" s="11" t="e">
        <f>VLOOKUP($B148,#REF!,6,FALSE)</f>
        <v>#REF!</v>
      </c>
      <c r="L148" s="3">
        <v>44652.493055555096</v>
      </c>
      <c r="M148" s="15"/>
    </row>
    <row r="149" spans="2:13">
      <c r="B149" s="7"/>
      <c r="C149" s="8" t="e">
        <f>VLOOKUP($B149,#REF!,5,FALSE)</f>
        <v>#REF!</v>
      </c>
      <c r="D149" s="8" t="e">
        <f>VLOOKUP($B149,#REF!,6,FALSE)</f>
        <v>#REF!</v>
      </c>
      <c r="E149" s="9" t="e">
        <f>VLOOKUP($B149,#REF!,17,FALSE)</f>
        <v>#REF!</v>
      </c>
      <c r="F149" s="10" t="e">
        <f>VLOOKUP($B149,#REF!,7,FALSE)</f>
        <v>#REF!</v>
      </c>
      <c r="G149" s="10"/>
      <c r="H149" s="10"/>
      <c r="I149" s="11" t="e">
        <f>VLOOKUP($B149,#REF!,19,FALSE)</f>
        <v>#REF!</v>
      </c>
      <c r="J149" s="11" t="e">
        <f>VLOOKUP($B149,#REF!,6,FALSE)</f>
        <v>#REF!</v>
      </c>
      <c r="L149" s="3">
        <v>44652.496527777315</v>
      </c>
      <c r="M149" s="15"/>
    </row>
    <row r="150" spans="2:13">
      <c r="B150" s="7"/>
      <c r="C150" s="8" t="e">
        <f>VLOOKUP($B150,#REF!,5,FALSE)</f>
        <v>#REF!</v>
      </c>
      <c r="D150" s="8" t="e">
        <f>VLOOKUP($B150,#REF!,6,FALSE)</f>
        <v>#REF!</v>
      </c>
      <c r="E150" s="9" t="e">
        <f>VLOOKUP($B150,#REF!,17,FALSE)</f>
        <v>#REF!</v>
      </c>
      <c r="F150" s="10" t="e">
        <f>VLOOKUP($B150,#REF!,7,FALSE)</f>
        <v>#REF!</v>
      </c>
      <c r="G150" s="10"/>
      <c r="H150" s="10"/>
      <c r="I150" s="11" t="e">
        <f>VLOOKUP($B150,#REF!,19,FALSE)</f>
        <v>#REF!</v>
      </c>
      <c r="J150" s="11" t="e">
        <f>VLOOKUP($B150,#REF!,6,FALSE)</f>
        <v>#REF!</v>
      </c>
      <c r="L150" s="3">
        <v>44652.499999999534</v>
      </c>
      <c r="M150" s="15"/>
    </row>
    <row r="151" spans="2:13">
      <c r="B151" s="7"/>
      <c r="C151" s="8" t="e">
        <f>VLOOKUP($B151,#REF!,5,FALSE)</f>
        <v>#REF!</v>
      </c>
      <c r="D151" s="8" t="e">
        <f>VLOOKUP($B151,#REF!,6,FALSE)</f>
        <v>#REF!</v>
      </c>
      <c r="E151" s="9" t="e">
        <f>VLOOKUP($B151,#REF!,17,FALSE)</f>
        <v>#REF!</v>
      </c>
      <c r="F151" s="10" t="e">
        <f>VLOOKUP($B151,#REF!,7,FALSE)</f>
        <v>#REF!</v>
      </c>
      <c r="G151" s="10"/>
      <c r="H151" s="10"/>
      <c r="I151" s="11" t="e">
        <f>VLOOKUP($B151,#REF!,19,FALSE)</f>
        <v>#REF!</v>
      </c>
      <c r="J151" s="11" t="e">
        <f>VLOOKUP($B151,#REF!,6,FALSE)</f>
        <v>#REF!</v>
      </c>
      <c r="L151" s="3">
        <v>44652.503472221753</v>
      </c>
      <c r="M151" s="15"/>
    </row>
    <row r="152" spans="2:13">
      <c r="B152" s="7"/>
      <c r="C152" s="8" t="e">
        <f>VLOOKUP($B152,#REF!,5,FALSE)</f>
        <v>#REF!</v>
      </c>
      <c r="D152" s="8" t="e">
        <f>VLOOKUP($B152,#REF!,6,FALSE)</f>
        <v>#REF!</v>
      </c>
      <c r="E152" s="9" t="e">
        <f>VLOOKUP($B152,#REF!,17,FALSE)</f>
        <v>#REF!</v>
      </c>
      <c r="F152" s="10" t="e">
        <f>VLOOKUP($B152,#REF!,7,FALSE)</f>
        <v>#REF!</v>
      </c>
      <c r="G152" s="10"/>
      <c r="H152" s="10"/>
      <c r="I152" s="11" t="e">
        <f>VLOOKUP($B152,#REF!,19,FALSE)</f>
        <v>#REF!</v>
      </c>
      <c r="J152" s="11" t="e">
        <f>VLOOKUP($B152,#REF!,6,FALSE)</f>
        <v>#REF!</v>
      </c>
      <c r="L152" s="3">
        <v>44652.506944443972</v>
      </c>
      <c r="M152" s="15"/>
    </row>
    <row r="153" spans="2:13">
      <c r="B153" s="7"/>
      <c r="C153" s="8" t="e">
        <f>VLOOKUP($B153,#REF!,5,FALSE)</f>
        <v>#REF!</v>
      </c>
      <c r="D153" s="8" t="e">
        <f>VLOOKUP($B153,#REF!,6,FALSE)</f>
        <v>#REF!</v>
      </c>
      <c r="E153" s="9" t="e">
        <f>VLOOKUP($B153,#REF!,17,FALSE)</f>
        <v>#REF!</v>
      </c>
      <c r="F153" s="10" t="e">
        <f>VLOOKUP($B153,#REF!,7,FALSE)</f>
        <v>#REF!</v>
      </c>
      <c r="G153" s="10"/>
      <c r="H153" s="10"/>
      <c r="I153" s="11" t="e">
        <f>VLOOKUP($B153,#REF!,19,FALSE)</f>
        <v>#REF!</v>
      </c>
      <c r="J153" s="11" t="e">
        <f>VLOOKUP($B153,#REF!,6,FALSE)</f>
        <v>#REF!</v>
      </c>
      <c r="L153" s="3">
        <v>44652.510416666191</v>
      </c>
      <c r="M153" s="15"/>
    </row>
    <row r="154" spans="2:13">
      <c r="B154" s="7"/>
      <c r="C154" s="8" t="e">
        <f>VLOOKUP($B154,#REF!,5,FALSE)</f>
        <v>#REF!</v>
      </c>
      <c r="D154" s="8" t="e">
        <f>VLOOKUP($B154,#REF!,6,FALSE)</f>
        <v>#REF!</v>
      </c>
      <c r="E154" s="9" t="e">
        <f>VLOOKUP($B154,#REF!,17,FALSE)</f>
        <v>#REF!</v>
      </c>
      <c r="F154" s="10" t="e">
        <f>VLOOKUP($B154,#REF!,7,FALSE)</f>
        <v>#REF!</v>
      </c>
      <c r="G154" s="10"/>
      <c r="H154" s="10"/>
      <c r="I154" s="11" t="e">
        <f>VLOOKUP($B154,#REF!,19,FALSE)</f>
        <v>#REF!</v>
      </c>
      <c r="J154" s="11" t="e">
        <f>VLOOKUP($B154,#REF!,6,FALSE)</f>
        <v>#REF!</v>
      </c>
      <c r="L154" s="3">
        <v>44652.51388888841</v>
      </c>
      <c r="M154" s="15"/>
    </row>
    <row r="155" spans="2:13">
      <c r="B155" s="7"/>
      <c r="C155" s="8" t="e">
        <f>VLOOKUP($B155,#REF!,5,FALSE)</f>
        <v>#REF!</v>
      </c>
      <c r="D155" s="8" t="e">
        <f>VLOOKUP($B155,#REF!,6,FALSE)</f>
        <v>#REF!</v>
      </c>
      <c r="E155" s="9" t="e">
        <f>VLOOKUP($B155,#REF!,17,FALSE)</f>
        <v>#REF!</v>
      </c>
      <c r="F155" s="10" t="e">
        <f>VLOOKUP($B155,#REF!,7,FALSE)</f>
        <v>#REF!</v>
      </c>
      <c r="G155" s="10"/>
      <c r="H155" s="10"/>
      <c r="I155" s="11" t="e">
        <f>VLOOKUP($B155,#REF!,19,FALSE)</f>
        <v>#REF!</v>
      </c>
      <c r="J155" s="11" t="e">
        <f>VLOOKUP($B155,#REF!,6,FALSE)</f>
        <v>#REF!</v>
      </c>
      <c r="L155" s="3">
        <v>44652.517361110629</v>
      </c>
      <c r="M155" s="15"/>
    </row>
    <row r="156" spans="2:13">
      <c r="B156" s="7"/>
      <c r="C156" s="8" t="e">
        <f>VLOOKUP($B156,#REF!,5,FALSE)</f>
        <v>#REF!</v>
      </c>
      <c r="D156" s="8" t="e">
        <f>VLOOKUP($B156,#REF!,6,FALSE)</f>
        <v>#REF!</v>
      </c>
      <c r="E156" s="9" t="e">
        <f>VLOOKUP($B156,#REF!,17,FALSE)</f>
        <v>#REF!</v>
      </c>
      <c r="F156" s="10" t="e">
        <f>VLOOKUP($B156,#REF!,7,FALSE)</f>
        <v>#REF!</v>
      </c>
      <c r="G156" s="10"/>
      <c r="H156" s="10"/>
      <c r="I156" s="11" t="e">
        <f>VLOOKUP($B156,#REF!,19,FALSE)</f>
        <v>#REF!</v>
      </c>
      <c r="J156" s="11" t="e">
        <f>VLOOKUP($B156,#REF!,6,FALSE)</f>
        <v>#REF!</v>
      </c>
      <c r="L156" s="3">
        <v>44652.520833332848</v>
      </c>
      <c r="M156" s="15"/>
    </row>
    <row r="157" spans="2:13">
      <c r="B157" s="7"/>
      <c r="C157" s="8" t="e">
        <f>VLOOKUP($B157,#REF!,5,FALSE)</f>
        <v>#REF!</v>
      </c>
      <c r="D157" s="8" t="e">
        <f>VLOOKUP($B157,#REF!,6,FALSE)</f>
        <v>#REF!</v>
      </c>
      <c r="E157" s="9" t="e">
        <f>VLOOKUP($B157,#REF!,17,FALSE)</f>
        <v>#REF!</v>
      </c>
      <c r="F157" s="10" t="e">
        <f>VLOOKUP($B157,#REF!,7,FALSE)</f>
        <v>#REF!</v>
      </c>
      <c r="G157" s="10"/>
      <c r="H157" s="10"/>
      <c r="I157" s="11" t="e">
        <f>VLOOKUP($B157,#REF!,19,FALSE)</f>
        <v>#REF!</v>
      </c>
      <c r="J157" s="11" t="e">
        <f>VLOOKUP($B157,#REF!,6,FALSE)</f>
        <v>#REF!</v>
      </c>
      <c r="L157" s="3">
        <v>44652.524305555067</v>
      </c>
      <c r="M157" s="15"/>
    </row>
    <row r="158" spans="2:13">
      <c r="B158" s="7"/>
      <c r="C158" s="8" t="e">
        <f>VLOOKUP($B158,#REF!,5,FALSE)</f>
        <v>#REF!</v>
      </c>
      <c r="D158" s="8" t="e">
        <f>VLOOKUP($B158,#REF!,6,FALSE)</f>
        <v>#REF!</v>
      </c>
      <c r="E158" s="9" t="e">
        <f>VLOOKUP($B158,#REF!,17,FALSE)</f>
        <v>#REF!</v>
      </c>
      <c r="F158" s="10" t="e">
        <f>VLOOKUP($B158,#REF!,7,FALSE)</f>
        <v>#REF!</v>
      </c>
      <c r="G158" s="10"/>
      <c r="H158" s="10"/>
      <c r="I158" s="11" t="e">
        <f>VLOOKUP($B158,#REF!,19,FALSE)</f>
        <v>#REF!</v>
      </c>
      <c r="J158" s="11" t="e">
        <f>VLOOKUP($B158,#REF!,6,FALSE)</f>
        <v>#REF!</v>
      </c>
      <c r="L158" s="3">
        <v>44652.527777777286</v>
      </c>
      <c r="M158" s="15"/>
    </row>
    <row r="159" spans="2:13">
      <c r="B159" s="7"/>
      <c r="C159" s="8" t="e">
        <f>VLOOKUP($B159,#REF!,5,FALSE)</f>
        <v>#REF!</v>
      </c>
      <c r="D159" s="8" t="e">
        <f>VLOOKUP($B159,#REF!,6,FALSE)</f>
        <v>#REF!</v>
      </c>
      <c r="E159" s="9" t="e">
        <f>VLOOKUP($B159,#REF!,17,FALSE)</f>
        <v>#REF!</v>
      </c>
      <c r="F159" s="10" t="e">
        <f>VLOOKUP($B159,#REF!,7,FALSE)</f>
        <v>#REF!</v>
      </c>
      <c r="G159" s="10"/>
      <c r="H159" s="10"/>
      <c r="I159" s="11" t="e">
        <f>VLOOKUP($B159,#REF!,19,FALSE)</f>
        <v>#REF!</v>
      </c>
      <c r="J159" s="11" t="e">
        <f>VLOOKUP($B159,#REF!,6,FALSE)</f>
        <v>#REF!</v>
      </c>
      <c r="L159" s="3">
        <v>44652.531249999505</v>
      </c>
      <c r="M159" s="15"/>
    </row>
    <row r="160" spans="2:13">
      <c r="B160" s="7"/>
      <c r="C160" s="8" t="e">
        <f>VLOOKUP($B160,#REF!,5,FALSE)</f>
        <v>#REF!</v>
      </c>
      <c r="D160" s="8" t="e">
        <f>VLOOKUP($B160,#REF!,6,FALSE)</f>
        <v>#REF!</v>
      </c>
      <c r="E160" s="9" t="e">
        <f>VLOOKUP($B160,#REF!,17,FALSE)</f>
        <v>#REF!</v>
      </c>
      <c r="F160" s="10" t="e">
        <f>VLOOKUP($B160,#REF!,7,FALSE)</f>
        <v>#REF!</v>
      </c>
      <c r="G160" s="10"/>
      <c r="H160" s="10"/>
      <c r="I160" s="11" t="e">
        <f>VLOOKUP($B160,#REF!,19,FALSE)</f>
        <v>#REF!</v>
      </c>
      <c r="J160" s="11" t="e">
        <f>VLOOKUP($B160,#REF!,6,FALSE)</f>
        <v>#REF!</v>
      </c>
      <c r="L160" s="3">
        <v>44652.534722221724</v>
      </c>
      <c r="M160" s="15"/>
    </row>
    <row r="161" spans="2:13">
      <c r="B161" s="7"/>
      <c r="C161" s="8" t="e">
        <f>VLOOKUP($B161,#REF!,5,FALSE)</f>
        <v>#REF!</v>
      </c>
      <c r="D161" s="8" t="e">
        <f>VLOOKUP($B161,#REF!,6,FALSE)</f>
        <v>#REF!</v>
      </c>
      <c r="E161" s="9" t="e">
        <f>VLOOKUP($B161,#REF!,17,FALSE)</f>
        <v>#REF!</v>
      </c>
      <c r="F161" s="10" t="e">
        <f>VLOOKUP($B161,#REF!,7,FALSE)</f>
        <v>#REF!</v>
      </c>
      <c r="G161" s="10"/>
      <c r="H161" s="10"/>
      <c r="I161" s="11" t="e">
        <f>VLOOKUP($B161,#REF!,19,FALSE)</f>
        <v>#REF!</v>
      </c>
      <c r="J161" s="11" t="e">
        <f>VLOOKUP($B161,#REF!,6,FALSE)</f>
        <v>#REF!</v>
      </c>
      <c r="L161" s="3">
        <v>44652.538194443943</v>
      </c>
      <c r="M161" s="15"/>
    </row>
    <row r="162" spans="2:13">
      <c r="B162" s="7"/>
      <c r="C162" s="8" t="e">
        <f>VLOOKUP($B162,#REF!,5,FALSE)</f>
        <v>#REF!</v>
      </c>
      <c r="D162" s="8" t="e">
        <f>VLOOKUP($B162,#REF!,6,FALSE)</f>
        <v>#REF!</v>
      </c>
      <c r="E162" s="9" t="e">
        <f>VLOOKUP($B162,#REF!,17,FALSE)</f>
        <v>#REF!</v>
      </c>
      <c r="F162" s="10" t="e">
        <f>VLOOKUP($B162,#REF!,7,FALSE)</f>
        <v>#REF!</v>
      </c>
      <c r="G162" s="10"/>
      <c r="H162" s="10"/>
      <c r="I162" s="11" t="e">
        <f>VLOOKUP($B162,#REF!,19,FALSE)</f>
        <v>#REF!</v>
      </c>
      <c r="J162" s="11" t="e">
        <f>VLOOKUP($B162,#REF!,6,FALSE)</f>
        <v>#REF!</v>
      </c>
      <c r="L162" s="3">
        <v>44652.541666666162</v>
      </c>
      <c r="M162" s="15"/>
    </row>
    <row r="163" spans="2:13">
      <c r="B163" s="7"/>
      <c r="C163" s="8" t="e">
        <f>VLOOKUP($B163,#REF!,5,FALSE)</f>
        <v>#REF!</v>
      </c>
      <c r="D163" s="8" t="e">
        <f>VLOOKUP($B163,#REF!,6,FALSE)</f>
        <v>#REF!</v>
      </c>
      <c r="E163" s="9" t="e">
        <f>VLOOKUP($B163,#REF!,17,FALSE)</f>
        <v>#REF!</v>
      </c>
      <c r="F163" s="10" t="e">
        <f>VLOOKUP($B163,#REF!,7,FALSE)</f>
        <v>#REF!</v>
      </c>
      <c r="G163" s="10"/>
      <c r="H163" s="10"/>
      <c r="I163" s="11" t="e">
        <f>VLOOKUP($B163,#REF!,19,FALSE)</f>
        <v>#REF!</v>
      </c>
      <c r="J163" s="11" t="e">
        <f>VLOOKUP($B163,#REF!,6,FALSE)</f>
        <v>#REF!</v>
      </c>
      <c r="L163" s="3">
        <v>44652.545138888381</v>
      </c>
      <c r="M163" s="15"/>
    </row>
    <row r="164" spans="2:13">
      <c r="B164" s="7"/>
      <c r="C164" s="8" t="e">
        <f>VLOOKUP($B164,#REF!,5,FALSE)</f>
        <v>#REF!</v>
      </c>
      <c r="D164" s="8" t="e">
        <f>VLOOKUP($B164,#REF!,6,FALSE)</f>
        <v>#REF!</v>
      </c>
      <c r="E164" s="9" t="e">
        <f>VLOOKUP($B164,#REF!,17,FALSE)</f>
        <v>#REF!</v>
      </c>
      <c r="F164" s="10" t="e">
        <f>VLOOKUP($B164,#REF!,7,FALSE)</f>
        <v>#REF!</v>
      </c>
      <c r="G164" s="10"/>
      <c r="H164" s="10"/>
      <c r="I164" s="11" t="e">
        <f>VLOOKUP($B164,#REF!,19,FALSE)</f>
        <v>#REF!</v>
      </c>
      <c r="J164" s="11" t="e">
        <f>VLOOKUP($B164,#REF!,6,FALSE)</f>
        <v>#REF!</v>
      </c>
      <c r="L164" s="3">
        <v>44652.5486111106</v>
      </c>
      <c r="M164" s="15"/>
    </row>
    <row r="165" spans="2:13">
      <c r="B165" s="7"/>
      <c r="C165" s="8" t="e">
        <f>VLOOKUP($B165,#REF!,5,FALSE)</f>
        <v>#REF!</v>
      </c>
      <c r="D165" s="8" t="e">
        <f>VLOOKUP($B165,#REF!,6,FALSE)</f>
        <v>#REF!</v>
      </c>
      <c r="E165" s="9" t="e">
        <f>VLOOKUP($B165,#REF!,17,FALSE)</f>
        <v>#REF!</v>
      </c>
      <c r="F165" s="10" t="e">
        <f>VLOOKUP($B165,#REF!,7,FALSE)</f>
        <v>#REF!</v>
      </c>
      <c r="G165" s="10"/>
      <c r="H165" s="10"/>
      <c r="I165" s="11" t="e">
        <f>VLOOKUP($B165,#REF!,19,FALSE)</f>
        <v>#REF!</v>
      </c>
      <c r="J165" s="11" t="e">
        <f>VLOOKUP($B165,#REF!,6,FALSE)</f>
        <v>#REF!</v>
      </c>
      <c r="L165" s="3">
        <v>44652.552083332819</v>
      </c>
      <c r="M165" s="15"/>
    </row>
    <row r="166" spans="2:13">
      <c r="B166" s="7"/>
      <c r="C166" s="8" t="e">
        <f>VLOOKUP($B166,#REF!,5,FALSE)</f>
        <v>#REF!</v>
      </c>
      <c r="D166" s="8" t="e">
        <f>VLOOKUP($B166,#REF!,6,FALSE)</f>
        <v>#REF!</v>
      </c>
      <c r="E166" s="9" t="e">
        <f>VLOOKUP($B166,#REF!,17,FALSE)</f>
        <v>#REF!</v>
      </c>
      <c r="F166" s="10" t="e">
        <f>VLOOKUP($B166,#REF!,7,FALSE)</f>
        <v>#REF!</v>
      </c>
      <c r="G166" s="10"/>
      <c r="H166" s="10"/>
      <c r="I166" s="11" t="e">
        <f>VLOOKUP($B166,#REF!,19,FALSE)</f>
        <v>#REF!</v>
      </c>
      <c r="J166" s="11" t="e">
        <f>VLOOKUP($B166,#REF!,6,FALSE)</f>
        <v>#REF!</v>
      </c>
      <c r="L166" s="3">
        <v>44652.555555555038</v>
      </c>
      <c r="M166" s="15"/>
    </row>
    <row r="167" spans="2:13">
      <c r="B167" s="7"/>
      <c r="C167" s="8" t="e">
        <f>VLOOKUP($B167,#REF!,5,FALSE)</f>
        <v>#REF!</v>
      </c>
      <c r="D167" s="8" t="e">
        <f>VLOOKUP($B167,#REF!,6,FALSE)</f>
        <v>#REF!</v>
      </c>
      <c r="E167" s="9" t="e">
        <f>VLOOKUP($B167,#REF!,17,FALSE)</f>
        <v>#REF!</v>
      </c>
      <c r="F167" s="10" t="e">
        <f>VLOOKUP($B167,#REF!,7,FALSE)</f>
        <v>#REF!</v>
      </c>
      <c r="G167" s="10"/>
      <c r="H167" s="10"/>
      <c r="I167" s="11" t="e">
        <f>VLOOKUP($B167,#REF!,19,FALSE)</f>
        <v>#REF!</v>
      </c>
      <c r="J167" s="11" t="e">
        <f>VLOOKUP($B167,#REF!,6,FALSE)</f>
        <v>#REF!</v>
      </c>
      <c r="L167" s="3">
        <v>44652.559027777257</v>
      </c>
      <c r="M167" s="15"/>
    </row>
    <row r="168" spans="2:13">
      <c r="B168" s="7"/>
      <c r="C168" s="8" t="e">
        <f>VLOOKUP($B168,#REF!,5,FALSE)</f>
        <v>#REF!</v>
      </c>
      <c r="D168" s="8" t="e">
        <f>VLOOKUP($B168,#REF!,6,FALSE)</f>
        <v>#REF!</v>
      </c>
      <c r="E168" s="9" t="e">
        <f>VLOOKUP($B168,#REF!,17,FALSE)</f>
        <v>#REF!</v>
      </c>
      <c r="F168" s="10" t="e">
        <f>VLOOKUP($B168,#REF!,7,FALSE)</f>
        <v>#REF!</v>
      </c>
      <c r="G168" s="10"/>
      <c r="H168" s="10"/>
      <c r="I168" s="11" t="e">
        <f>VLOOKUP($B168,#REF!,19,FALSE)</f>
        <v>#REF!</v>
      </c>
      <c r="J168" s="11" t="e">
        <f>VLOOKUP($B168,#REF!,6,FALSE)</f>
        <v>#REF!</v>
      </c>
      <c r="L168" s="3">
        <v>44652.562499999476</v>
      </c>
      <c r="M168" s="15"/>
    </row>
    <row r="169" spans="2:13">
      <c r="B169" s="7"/>
      <c r="C169" s="8" t="e">
        <f>VLOOKUP($B169,#REF!,5,FALSE)</f>
        <v>#REF!</v>
      </c>
      <c r="D169" s="8" t="e">
        <f>VLOOKUP($B169,#REF!,6,FALSE)</f>
        <v>#REF!</v>
      </c>
      <c r="E169" s="9" t="e">
        <f>VLOOKUP($B169,#REF!,17,FALSE)</f>
        <v>#REF!</v>
      </c>
      <c r="F169" s="10" t="e">
        <f>VLOOKUP($B169,#REF!,7,FALSE)</f>
        <v>#REF!</v>
      </c>
      <c r="G169" s="10"/>
      <c r="H169" s="10"/>
      <c r="I169" s="11" t="e">
        <f>VLOOKUP($B169,#REF!,19,FALSE)</f>
        <v>#REF!</v>
      </c>
      <c r="J169" s="11" t="e">
        <f>VLOOKUP($B169,#REF!,6,FALSE)</f>
        <v>#REF!</v>
      </c>
      <c r="L169" s="3">
        <v>44652.565972221695</v>
      </c>
      <c r="M169" s="15"/>
    </row>
    <row r="170" spans="2:13">
      <c r="B170" s="7"/>
      <c r="C170" s="8" t="e">
        <f>VLOOKUP($B170,#REF!,5,FALSE)</f>
        <v>#REF!</v>
      </c>
      <c r="D170" s="8" t="e">
        <f>VLOOKUP($B170,#REF!,6,FALSE)</f>
        <v>#REF!</v>
      </c>
      <c r="E170" s="9" t="e">
        <f>VLOOKUP($B170,#REF!,17,FALSE)</f>
        <v>#REF!</v>
      </c>
      <c r="F170" s="10" t="e">
        <f>VLOOKUP($B170,#REF!,7,FALSE)</f>
        <v>#REF!</v>
      </c>
      <c r="G170" s="10"/>
      <c r="H170" s="10"/>
      <c r="I170" s="11" t="e">
        <f>VLOOKUP($B170,#REF!,19,FALSE)</f>
        <v>#REF!</v>
      </c>
      <c r="J170" s="11" t="e">
        <f>VLOOKUP($B170,#REF!,6,FALSE)</f>
        <v>#REF!</v>
      </c>
      <c r="L170" s="3">
        <v>44652.569444443914</v>
      </c>
      <c r="M170" s="15"/>
    </row>
    <row r="171" spans="2:13">
      <c r="B171" s="7"/>
      <c r="C171" s="8" t="e">
        <f>VLOOKUP($B171,#REF!,5,FALSE)</f>
        <v>#REF!</v>
      </c>
      <c r="D171" s="8" t="e">
        <f>VLOOKUP($B171,#REF!,6,FALSE)</f>
        <v>#REF!</v>
      </c>
      <c r="E171" s="9" t="e">
        <f>VLOOKUP($B171,#REF!,17,FALSE)</f>
        <v>#REF!</v>
      </c>
      <c r="F171" s="10" t="e">
        <f>VLOOKUP($B171,#REF!,7,FALSE)</f>
        <v>#REF!</v>
      </c>
      <c r="G171" s="10"/>
      <c r="H171" s="10"/>
      <c r="I171" s="11" t="e">
        <f>VLOOKUP($B171,#REF!,19,FALSE)</f>
        <v>#REF!</v>
      </c>
      <c r="J171" s="11" t="e">
        <f>VLOOKUP($B171,#REF!,6,FALSE)</f>
        <v>#REF!</v>
      </c>
      <c r="L171" s="3">
        <v>44652.572916666133</v>
      </c>
      <c r="M171" s="15"/>
    </row>
    <row r="172" spans="2:13">
      <c r="B172" s="7"/>
      <c r="C172" s="8" t="e">
        <f>VLOOKUP($B172,#REF!,5,FALSE)</f>
        <v>#REF!</v>
      </c>
      <c r="D172" s="8" t="e">
        <f>VLOOKUP($B172,#REF!,6,FALSE)</f>
        <v>#REF!</v>
      </c>
      <c r="E172" s="9" t="e">
        <f>VLOOKUP($B172,#REF!,17,FALSE)</f>
        <v>#REF!</v>
      </c>
      <c r="F172" s="10" t="e">
        <f>VLOOKUP($B172,#REF!,7,FALSE)</f>
        <v>#REF!</v>
      </c>
      <c r="G172" s="10"/>
      <c r="H172" s="10"/>
      <c r="I172" s="11" t="e">
        <f>VLOOKUP($B172,#REF!,19,FALSE)</f>
        <v>#REF!</v>
      </c>
      <c r="J172" s="11" t="e">
        <f>VLOOKUP($B172,#REF!,6,FALSE)</f>
        <v>#REF!</v>
      </c>
      <c r="L172" s="3">
        <v>44652.576388888352</v>
      </c>
      <c r="M172" s="15"/>
    </row>
    <row r="173" spans="2:13">
      <c r="B173" s="7"/>
      <c r="C173" s="8" t="e">
        <f>VLOOKUP($B173,#REF!,5,FALSE)</f>
        <v>#REF!</v>
      </c>
      <c r="D173" s="8" t="e">
        <f>VLOOKUP($B173,#REF!,6,FALSE)</f>
        <v>#REF!</v>
      </c>
      <c r="E173" s="9" t="e">
        <f>VLOOKUP($B173,#REF!,17,FALSE)</f>
        <v>#REF!</v>
      </c>
      <c r="F173" s="10" t="e">
        <f>VLOOKUP($B173,#REF!,7,FALSE)</f>
        <v>#REF!</v>
      </c>
      <c r="G173" s="10"/>
      <c r="H173" s="10"/>
      <c r="I173" s="11" t="e">
        <f>VLOOKUP($B173,#REF!,19,FALSE)</f>
        <v>#REF!</v>
      </c>
      <c r="J173" s="11" t="e">
        <f>VLOOKUP($B173,#REF!,6,FALSE)</f>
        <v>#REF!</v>
      </c>
      <c r="L173" s="3">
        <v>44652.579861110571</v>
      </c>
      <c r="M173" s="15"/>
    </row>
    <row r="174" spans="2:13">
      <c r="B174" s="7"/>
      <c r="C174" s="8" t="e">
        <f>VLOOKUP($B174,#REF!,5,FALSE)</f>
        <v>#REF!</v>
      </c>
      <c r="D174" s="8" t="e">
        <f>VLOOKUP($B174,#REF!,6,FALSE)</f>
        <v>#REF!</v>
      </c>
      <c r="E174" s="9" t="e">
        <f>VLOOKUP($B174,#REF!,17,FALSE)</f>
        <v>#REF!</v>
      </c>
      <c r="F174" s="10" t="e">
        <f>VLOOKUP($B174,#REF!,7,FALSE)</f>
        <v>#REF!</v>
      </c>
      <c r="G174" s="10"/>
      <c r="H174" s="10"/>
      <c r="I174" s="11" t="e">
        <f>VLOOKUP($B174,#REF!,19,FALSE)</f>
        <v>#REF!</v>
      </c>
      <c r="J174" s="11" t="e">
        <f>VLOOKUP($B174,#REF!,6,FALSE)</f>
        <v>#REF!</v>
      </c>
      <c r="L174" s="3">
        <v>44652.58333333279</v>
      </c>
      <c r="M174" s="15"/>
    </row>
    <row r="175" spans="2:13">
      <c r="B175" s="7"/>
      <c r="C175" s="8" t="e">
        <f>VLOOKUP($B175,#REF!,5,FALSE)</f>
        <v>#REF!</v>
      </c>
      <c r="D175" s="8" t="e">
        <f>VLOOKUP($B175,#REF!,6,FALSE)</f>
        <v>#REF!</v>
      </c>
      <c r="E175" s="9" t="e">
        <f>VLOOKUP($B175,#REF!,17,FALSE)</f>
        <v>#REF!</v>
      </c>
      <c r="F175" s="10" t="e">
        <f>VLOOKUP($B175,#REF!,7,FALSE)</f>
        <v>#REF!</v>
      </c>
      <c r="G175" s="10"/>
      <c r="H175" s="10"/>
      <c r="I175" s="11" t="e">
        <f>VLOOKUP($B175,#REF!,19,FALSE)</f>
        <v>#REF!</v>
      </c>
      <c r="J175" s="11" t="e">
        <f>VLOOKUP($B175,#REF!,6,FALSE)</f>
        <v>#REF!</v>
      </c>
      <c r="L175" s="3">
        <v>44652.586805555009</v>
      </c>
      <c r="M175" s="15"/>
    </row>
    <row r="176" spans="2:13">
      <c r="B176" s="7"/>
      <c r="C176" s="8" t="e">
        <f>VLOOKUP($B176,#REF!,5,FALSE)</f>
        <v>#REF!</v>
      </c>
      <c r="D176" s="8" t="e">
        <f>VLOOKUP($B176,#REF!,6,FALSE)</f>
        <v>#REF!</v>
      </c>
      <c r="E176" s="9" t="e">
        <f>VLOOKUP($B176,#REF!,17,FALSE)</f>
        <v>#REF!</v>
      </c>
      <c r="F176" s="10" t="e">
        <f>VLOOKUP($B176,#REF!,7,FALSE)</f>
        <v>#REF!</v>
      </c>
      <c r="G176" s="10"/>
      <c r="H176" s="10"/>
      <c r="I176" s="11" t="e">
        <f>VLOOKUP($B176,#REF!,19,FALSE)</f>
        <v>#REF!</v>
      </c>
      <c r="J176" s="11" t="e">
        <f>VLOOKUP($B176,#REF!,6,FALSE)</f>
        <v>#REF!</v>
      </c>
      <c r="L176" s="3">
        <v>44652.590277777228</v>
      </c>
      <c r="M176" s="15"/>
    </row>
    <row r="177" spans="2:13">
      <c r="B177" s="7"/>
      <c r="C177" s="8" t="e">
        <f>VLOOKUP($B177,#REF!,5,FALSE)</f>
        <v>#REF!</v>
      </c>
      <c r="D177" s="8" t="e">
        <f>VLOOKUP($B177,#REF!,6,FALSE)</f>
        <v>#REF!</v>
      </c>
      <c r="E177" s="9" t="e">
        <f>VLOOKUP($B177,#REF!,17,FALSE)</f>
        <v>#REF!</v>
      </c>
      <c r="F177" s="10" t="e">
        <f>VLOOKUP($B177,#REF!,7,FALSE)</f>
        <v>#REF!</v>
      </c>
      <c r="G177" s="10"/>
      <c r="H177" s="10"/>
      <c r="I177" s="11" t="e">
        <f>VLOOKUP($B177,#REF!,19,FALSE)</f>
        <v>#REF!</v>
      </c>
      <c r="J177" s="11" t="e">
        <f>VLOOKUP($B177,#REF!,6,FALSE)</f>
        <v>#REF!</v>
      </c>
      <c r="L177" s="3">
        <v>44652.593749999447</v>
      </c>
      <c r="M177" s="15"/>
    </row>
    <row r="178" spans="2:13">
      <c r="B178" s="7"/>
      <c r="C178" s="8" t="e">
        <f>VLOOKUP($B178,#REF!,5,FALSE)</f>
        <v>#REF!</v>
      </c>
      <c r="D178" s="8" t="e">
        <f>VLOOKUP($B178,#REF!,6,FALSE)</f>
        <v>#REF!</v>
      </c>
      <c r="E178" s="9" t="e">
        <f>VLOOKUP($B178,#REF!,17,FALSE)</f>
        <v>#REF!</v>
      </c>
      <c r="F178" s="10" t="e">
        <f>VLOOKUP($B178,#REF!,7,FALSE)</f>
        <v>#REF!</v>
      </c>
      <c r="G178" s="10"/>
      <c r="H178" s="10"/>
      <c r="I178" s="11" t="e">
        <f>VLOOKUP($B178,#REF!,19,FALSE)</f>
        <v>#REF!</v>
      </c>
      <c r="J178" s="11" t="e">
        <f>VLOOKUP($B178,#REF!,6,FALSE)</f>
        <v>#REF!</v>
      </c>
      <c r="L178" s="3">
        <v>44652.597222221666</v>
      </c>
      <c r="M178" s="15"/>
    </row>
    <row r="179" spans="2:13">
      <c r="B179" s="7"/>
      <c r="C179" s="8" t="e">
        <f>VLOOKUP($B179,#REF!,5,FALSE)</f>
        <v>#REF!</v>
      </c>
      <c r="D179" s="8" t="e">
        <f>VLOOKUP($B179,#REF!,6,FALSE)</f>
        <v>#REF!</v>
      </c>
      <c r="E179" s="9" t="e">
        <f>VLOOKUP($B179,#REF!,17,FALSE)</f>
        <v>#REF!</v>
      </c>
      <c r="F179" s="10" t="e">
        <f>VLOOKUP($B179,#REF!,7,FALSE)</f>
        <v>#REF!</v>
      </c>
      <c r="G179" s="10"/>
      <c r="H179" s="10"/>
      <c r="I179" s="11" t="e">
        <f>VLOOKUP($B179,#REF!,19,FALSE)</f>
        <v>#REF!</v>
      </c>
      <c r="J179" s="11" t="e">
        <f>VLOOKUP($B179,#REF!,6,FALSE)</f>
        <v>#REF!</v>
      </c>
      <c r="L179" s="3">
        <v>44652.600694443885</v>
      </c>
      <c r="M179" s="15"/>
    </row>
    <row r="180" spans="2:13">
      <c r="B180" s="7"/>
      <c r="C180" s="8" t="e">
        <f>VLOOKUP($B180,#REF!,5,FALSE)</f>
        <v>#REF!</v>
      </c>
      <c r="D180" s="8" t="e">
        <f>VLOOKUP($B180,#REF!,6,FALSE)</f>
        <v>#REF!</v>
      </c>
      <c r="E180" s="9" t="e">
        <f>VLOOKUP($B180,#REF!,17,FALSE)</f>
        <v>#REF!</v>
      </c>
      <c r="F180" s="10" t="e">
        <f>VLOOKUP($B180,#REF!,7,FALSE)</f>
        <v>#REF!</v>
      </c>
      <c r="G180" s="10"/>
      <c r="H180" s="10"/>
      <c r="I180" s="11" t="e">
        <f>VLOOKUP($B180,#REF!,19,FALSE)</f>
        <v>#REF!</v>
      </c>
      <c r="J180" s="11" t="e">
        <f>VLOOKUP($B180,#REF!,6,FALSE)</f>
        <v>#REF!</v>
      </c>
      <c r="L180" s="3">
        <v>44652.604166666104</v>
      </c>
      <c r="M180" s="15"/>
    </row>
    <row r="181" spans="2:13">
      <c r="B181" s="7"/>
      <c r="C181" s="8" t="e">
        <f>VLOOKUP($B181,#REF!,5,FALSE)</f>
        <v>#REF!</v>
      </c>
      <c r="D181" s="8" t="e">
        <f>VLOOKUP($B181,#REF!,6,FALSE)</f>
        <v>#REF!</v>
      </c>
      <c r="E181" s="9" t="e">
        <f>VLOOKUP($B181,#REF!,17,FALSE)</f>
        <v>#REF!</v>
      </c>
      <c r="F181" s="10" t="e">
        <f>VLOOKUP($B181,#REF!,7,FALSE)</f>
        <v>#REF!</v>
      </c>
      <c r="G181" s="10"/>
      <c r="H181" s="10"/>
      <c r="I181" s="11" t="e">
        <f>VLOOKUP($B181,#REF!,19,FALSE)</f>
        <v>#REF!</v>
      </c>
      <c r="J181" s="11" t="e">
        <f>VLOOKUP($B181,#REF!,6,FALSE)</f>
        <v>#REF!</v>
      </c>
      <c r="L181" s="3">
        <v>44652.607638888323</v>
      </c>
      <c r="M181" s="15"/>
    </row>
    <row r="182" spans="2:13">
      <c r="B182" s="7"/>
      <c r="C182" s="8" t="e">
        <f>VLOOKUP($B182,#REF!,5,FALSE)</f>
        <v>#REF!</v>
      </c>
      <c r="D182" s="8" t="e">
        <f>VLOOKUP($B182,#REF!,6,FALSE)</f>
        <v>#REF!</v>
      </c>
      <c r="E182" s="9" t="e">
        <f>VLOOKUP($B182,#REF!,17,FALSE)</f>
        <v>#REF!</v>
      </c>
      <c r="F182" s="10" t="e">
        <f>VLOOKUP($B182,#REF!,7,FALSE)</f>
        <v>#REF!</v>
      </c>
      <c r="G182" s="10"/>
      <c r="H182" s="10"/>
      <c r="I182" s="11" t="e">
        <f>VLOOKUP($B182,#REF!,19,FALSE)</f>
        <v>#REF!</v>
      </c>
      <c r="J182" s="11" t="e">
        <f>VLOOKUP($B182,#REF!,6,FALSE)</f>
        <v>#REF!</v>
      </c>
      <c r="L182" s="3">
        <v>44652.611111110542</v>
      </c>
      <c r="M182" s="15"/>
    </row>
    <row r="183" spans="2:13">
      <c r="B183" s="7"/>
      <c r="C183" s="8" t="e">
        <f>VLOOKUP($B183,#REF!,5,FALSE)</f>
        <v>#REF!</v>
      </c>
      <c r="D183" s="8" t="e">
        <f>VLOOKUP($B183,#REF!,6,FALSE)</f>
        <v>#REF!</v>
      </c>
      <c r="E183" s="9" t="e">
        <f>VLOOKUP($B183,#REF!,17,FALSE)</f>
        <v>#REF!</v>
      </c>
      <c r="F183" s="10" t="e">
        <f>VLOOKUP($B183,#REF!,7,FALSE)</f>
        <v>#REF!</v>
      </c>
      <c r="G183" s="10"/>
      <c r="H183" s="10"/>
      <c r="I183" s="11" t="e">
        <f>VLOOKUP($B183,#REF!,19,FALSE)</f>
        <v>#REF!</v>
      </c>
      <c r="J183" s="11" t="e">
        <f>VLOOKUP($B183,#REF!,6,FALSE)</f>
        <v>#REF!</v>
      </c>
      <c r="L183" s="3">
        <v>44652.614583332761</v>
      </c>
      <c r="M183" s="15"/>
    </row>
    <row r="184" spans="2:13">
      <c r="B184" s="7"/>
      <c r="C184" s="8" t="e">
        <f>VLOOKUP($B184,#REF!,5,FALSE)</f>
        <v>#REF!</v>
      </c>
      <c r="D184" s="8" t="e">
        <f>VLOOKUP($B184,#REF!,6,FALSE)</f>
        <v>#REF!</v>
      </c>
      <c r="E184" s="9" t="e">
        <f>VLOOKUP($B184,#REF!,17,FALSE)</f>
        <v>#REF!</v>
      </c>
      <c r="F184" s="10" t="e">
        <f>VLOOKUP($B184,#REF!,7,FALSE)</f>
        <v>#REF!</v>
      </c>
      <c r="G184" s="10"/>
      <c r="H184" s="10"/>
      <c r="I184" s="11" t="e">
        <f>VLOOKUP($B184,#REF!,19,FALSE)</f>
        <v>#REF!</v>
      </c>
      <c r="J184" s="11" t="e">
        <f>VLOOKUP($B184,#REF!,6,FALSE)</f>
        <v>#REF!</v>
      </c>
      <c r="L184" s="3">
        <v>44652.61805555498</v>
      </c>
      <c r="M184" s="15"/>
    </row>
    <row r="185" spans="2:13">
      <c r="B185" s="7"/>
      <c r="C185" s="8" t="e">
        <f>VLOOKUP($B185,#REF!,5,FALSE)</f>
        <v>#REF!</v>
      </c>
      <c r="D185" s="8" t="e">
        <f>VLOOKUP($B185,#REF!,6,FALSE)</f>
        <v>#REF!</v>
      </c>
      <c r="E185" s="9" t="e">
        <f>VLOOKUP($B185,#REF!,17,FALSE)</f>
        <v>#REF!</v>
      </c>
      <c r="F185" s="10" t="e">
        <f>VLOOKUP($B185,#REF!,7,FALSE)</f>
        <v>#REF!</v>
      </c>
      <c r="G185" s="10"/>
      <c r="H185" s="10"/>
      <c r="I185" s="11" t="e">
        <f>VLOOKUP($B185,#REF!,19,FALSE)</f>
        <v>#REF!</v>
      </c>
      <c r="J185" s="11" t="e">
        <f>VLOOKUP($B185,#REF!,6,FALSE)</f>
        <v>#REF!</v>
      </c>
      <c r="L185" s="3">
        <v>44652.621527777199</v>
      </c>
      <c r="M185" s="15"/>
    </row>
    <row r="186" spans="2:13">
      <c r="B186" s="7"/>
      <c r="C186" s="8" t="e">
        <f>VLOOKUP($B186,#REF!,5,FALSE)</f>
        <v>#REF!</v>
      </c>
      <c r="D186" s="8" t="e">
        <f>VLOOKUP($B186,#REF!,6,FALSE)</f>
        <v>#REF!</v>
      </c>
      <c r="E186" s="9" t="e">
        <f>VLOOKUP($B186,#REF!,17,FALSE)</f>
        <v>#REF!</v>
      </c>
      <c r="F186" s="10" t="e">
        <f>VLOOKUP($B186,#REF!,7,FALSE)</f>
        <v>#REF!</v>
      </c>
      <c r="G186" s="10"/>
      <c r="H186" s="10"/>
      <c r="I186" s="11" t="e">
        <f>VLOOKUP($B186,#REF!,19,FALSE)</f>
        <v>#REF!</v>
      </c>
      <c r="J186" s="11" t="e">
        <f>VLOOKUP($B186,#REF!,6,FALSE)</f>
        <v>#REF!</v>
      </c>
      <c r="L186" s="3">
        <v>44652.624999999418</v>
      </c>
      <c r="M186" s="15"/>
    </row>
    <row r="187" spans="2:13">
      <c r="B187" s="7"/>
      <c r="C187" s="8" t="e">
        <f>VLOOKUP($B187,#REF!,5,FALSE)</f>
        <v>#REF!</v>
      </c>
      <c r="D187" s="8" t="e">
        <f>VLOOKUP($B187,#REF!,6,FALSE)</f>
        <v>#REF!</v>
      </c>
      <c r="E187" s="9" t="e">
        <f>VLOOKUP($B187,#REF!,17,FALSE)</f>
        <v>#REF!</v>
      </c>
      <c r="F187" s="10" t="e">
        <f>VLOOKUP($B187,#REF!,7,FALSE)</f>
        <v>#REF!</v>
      </c>
      <c r="G187" s="10"/>
      <c r="H187" s="10"/>
      <c r="I187" s="11" t="e">
        <f>VLOOKUP($B187,#REF!,19,FALSE)</f>
        <v>#REF!</v>
      </c>
      <c r="J187" s="11" t="e">
        <f>VLOOKUP($B187,#REF!,6,FALSE)</f>
        <v>#REF!</v>
      </c>
      <c r="L187" s="3">
        <v>44652.628472221637</v>
      </c>
      <c r="M187" s="15"/>
    </row>
    <row r="188" spans="2:13">
      <c r="B188" s="7"/>
      <c r="C188" s="8" t="e">
        <f>VLOOKUP($B188,#REF!,5,FALSE)</f>
        <v>#REF!</v>
      </c>
      <c r="D188" s="8" t="e">
        <f>VLOOKUP($B188,#REF!,6,FALSE)</f>
        <v>#REF!</v>
      </c>
      <c r="E188" s="9" t="e">
        <f>VLOOKUP($B188,#REF!,17,FALSE)</f>
        <v>#REF!</v>
      </c>
      <c r="F188" s="10" t="e">
        <f>VLOOKUP($B188,#REF!,7,FALSE)</f>
        <v>#REF!</v>
      </c>
      <c r="G188" s="10"/>
      <c r="H188" s="10"/>
      <c r="I188" s="11" t="e">
        <f>VLOOKUP($B188,#REF!,19,FALSE)</f>
        <v>#REF!</v>
      </c>
      <c r="J188" s="11" t="e">
        <f>VLOOKUP($B188,#REF!,6,FALSE)</f>
        <v>#REF!</v>
      </c>
      <c r="L188" s="3">
        <v>44652.631944443856</v>
      </c>
      <c r="M188" s="15"/>
    </row>
    <row r="189" spans="2:13">
      <c r="B189" s="7"/>
      <c r="C189" s="8" t="e">
        <f>VLOOKUP($B189,#REF!,5,FALSE)</f>
        <v>#REF!</v>
      </c>
      <c r="D189" s="8" t="e">
        <f>VLOOKUP($B189,#REF!,6,FALSE)</f>
        <v>#REF!</v>
      </c>
      <c r="E189" s="9" t="e">
        <f>VLOOKUP($B189,#REF!,17,FALSE)</f>
        <v>#REF!</v>
      </c>
      <c r="F189" s="10" t="e">
        <f>VLOOKUP($B189,#REF!,7,FALSE)</f>
        <v>#REF!</v>
      </c>
      <c r="G189" s="10"/>
      <c r="H189" s="10"/>
      <c r="I189" s="11" t="e">
        <f>VLOOKUP($B189,#REF!,19,FALSE)</f>
        <v>#REF!</v>
      </c>
      <c r="J189" s="11" t="e">
        <f>VLOOKUP($B189,#REF!,6,FALSE)</f>
        <v>#REF!</v>
      </c>
      <c r="L189" s="3">
        <v>44652.635416666075</v>
      </c>
      <c r="M189" s="15"/>
    </row>
    <row r="190" spans="2:13">
      <c r="B190" s="7"/>
      <c r="C190" s="8" t="e">
        <f>VLOOKUP($B190,#REF!,5,FALSE)</f>
        <v>#REF!</v>
      </c>
      <c r="D190" s="8" t="e">
        <f>VLOOKUP($B190,#REF!,6,FALSE)</f>
        <v>#REF!</v>
      </c>
      <c r="E190" s="9" t="e">
        <f>VLOOKUP($B190,#REF!,17,FALSE)</f>
        <v>#REF!</v>
      </c>
      <c r="F190" s="10" t="e">
        <f>VLOOKUP($B190,#REF!,7,FALSE)</f>
        <v>#REF!</v>
      </c>
      <c r="G190" s="10"/>
      <c r="H190" s="10"/>
      <c r="I190" s="11" t="e">
        <f>VLOOKUP($B190,#REF!,19,FALSE)</f>
        <v>#REF!</v>
      </c>
      <c r="J190" s="11" t="e">
        <f>VLOOKUP($B190,#REF!,6,FALSE)</f>
        <v>#REF!</v>
      </c>
      <c r="L190" s="3">
        <v>44652.638888888294</v>
      </c>
      <c r="M190" s="15"/>
    </row>
    <row r="191" spans="2:13">
      <c r="B191" s="7"/>
      <c r="C191" s="8" t="e">
        <f>VLOOKUP($B191,#REF!,5,FALSE)</f>
        <v>#REF!</v>
      </c>
      <c r="D191" s="8" t="e">
        <f>VLOOKUP($B191,#REF!,6,FALSE)</f>
        <v>#REF!</v>
      </c>
      <c r="E191" s="9" t="e">
        <f>VLOOKUP($B191,#REF!,17,FALSE)</f>
        <v>#REF!</v>
      </c>
      <c r="F191" s="10" t="e">
        <f>VLOOKUP($B191,#REF!,7,FALSE)</f>
        <v>#REF!</v>
      </c>
      <c r="G191" s="10"/>
      <c r="H191" s="10"/>
      <c r="I191" s="11" t="e">
        <f>VLOOKUP($B191,#REF!,19,FALSE)</f>
        <v>#REF!</v>
      </c>
      <c r="J191" s="11" t="e">
        <f>VLOOKUP($B191,#REF!,6,FALSE)</f>
        <v>#REF!</v>
      </c>
      <c r="L191" s="3">
        <v>44652.642361110513</v>
      </c>
      <c r="M191" s="15"/>
    </row>
    <row r="192" spans="2:13">
      <c r="B192" s="7"/>
      <c r="C192" s="8" t="e">
        <f>VLOOKUP($B192,#REF!,5,FALSE)</f>
        <v>#REF!</v>
      </c>
      <c r="D192" s="8" t="e">
        <f>VLOOKUP($B192,#REF!,6,FALSE)</f>
        <v>#REF!</v>
      </c>
      <c r="E192" s="9" t="e">
        <f>VLOOKUP($B192,#REF!,17,FALSE)</f>
        <v>#REF!</v>
      </c>
      <c r="F192" s="10" t="e">
        <f>VLOOKUP($B192,#REF!,7,FALSE)</f>
        <v>#REF!</v>
      </c>
      <c r="G192" s="10"/>
      <c r="H192" s="10"/>
      <c r="I192" s="11" t="e">
        <f>VLOOKUP($B192,#REF!,19,FALSE)</f>
        <v>#REF!</v>
      </c>
      <c r="J192" s="11" t="e">
        <f>VLOOKUP($B192,#REF!,6,FALSE)</f>
        <v>#REF!</v>
      </c>
      <c r="L192" s="3">
        <v>44652.645833332732</v>
      </c>
      <c r="M192" s="15"/>
    </row>
    <row r="193" spans="2:13">
      <c r="B193" s="7"/>
      <c r="C193" s="8" t="e">
        <f>VLOOKUP($B193,#REF!,5,FALSE)</f>
        <v>#REF!</v>
      </c>
      <c r="D193" s="8" t="e">
        <f>VLOOKUP($B193,#REF!,6,FALSE)</f>
        <v>#REF!</v>
      </c>
      <c r="E193" s="9" t="e">
        <f>VLOOKUP($B193,#REF!,17,FALSE)</f>
        <v>#REF!</v>
      </c>
      <c r="F193" s="10" t="e">
        <f>VLOOKUP($B193,#REF!,7,FALSE)</f>
        <v>#REF!</v>
      </c>
      <c r="G193" s="10"/>
      <c r="H193" s="10"/>
      <c r="I193" s="11" t="e">
        <f>VLOOKUP($B193,#REF!,19,FALSE)</f>
        <v>#REF!</v>
      </c>
      <c r="J193" s="11" t="e">
        <f>VLOOKUP($B193,#REF!,6,FALSE)</f>
        <v>#REF!</v>
      </c>
      <c r="L193" s="3">
        <v>44652.649305554951</v>
      </c>
      <c r="M193" s="15"/>
    </row>
    <row r="194" spans="2:13">
      <c r="B194" s="7"/>
      <c r="C194" s="8" t="e">
        <f>VLOOKUP($B194,#REF!,5,FALSE)</f>
        <v>#REF!</v>
      </c>
      <c r="D194" s="8" t="e">
        <f>VLOOKUP($B194,#REF!,6,FALSE)</f>
        <v>#REF!</v>
      </c>
      <c r="E194" s="9" t="e">
        <f>VLOOKUP($B194,#REF!,17,FALSE)</f>
        <v>#REF!</v>
      </c>
      <c r="F194" s="10" t="e">
        <f>VLOOKUP($B194,#REF!,7,FALSE)</f>
        <v>#REF!</v>
      </c>
      <c r="G194" s="10"/>
      <c r="H194" s="10"/>
      <c r="I194" s="11" t="e">
        <f>VLOOKUP($B194,#REF!,19,FALSE)</f>
        <v>#REF!</v>
      </c>
      <c r="J194" s="11" t="e">
        <f>VLOOKUP($B194,#REF!,6,FALSE)</f>
        <v>#REF!</v>
      </c>
      <c r="L194" s="3">
        <v>44652.65277777717</v>
      </c>
      <c r="M194" s="15"/>
    </row>
    <row r="195" spans="2:13">
      <c r="B195" s="7"/>
      <c r="C195" s="8" t="e">
        <f>VLOOKUP($B195,#REF!,5,FALSE)</f>
        <v>#REF!</v>
      </c>
      <c r="D195" s="8" t="e">
        <f>VLOOKUP($B195,#REF!,6,FALSE)</f>
        <v>#REF!</v>
      </c>
      <c r="E195" s="9" t="e">
        <f>VLOOKUP($B195,#REF!,17,FALSE)</f>
        <v>#REF!</v>
      </c>
      <c r="F195" s="10" t="e">
        <f>VLOOKUP($B195,#REF!,7,FALSE)</f>
        <v>#REF!</v>
      </c>
      <c r="G195" s="10"/>
      <c r="H195" s="10"/>
      <c r="I195" s="11" t="e">
        <f>VLOOKUP($B195,#REF!,19,FALSE)</f>
        <v>#REF!</v>
      </c>
      <c r="J195" s="11" t="e">
        <f>VLOOKUP($B195,#REF!,6,FALSE)</f>
        <v>#REF!</v>
      </c>
      <c r="L195" s="3">
        <v>44652.656249999389</v>
      </c>
      <c r="M195" s="15"/>
    </row>
    <row r="196" spans="2:13">
      <c r="B196" s="7"/>
      <c r="C196" s="8" t="e">
        <f>VLOOKUP($B196,#REF!,5,FALSE)</f>
        <v>#REF!</v>
      </c>
      <c r="D196" s="8" t="e">
        <f>VLOOKUP($B196,#REF!,6,FALSE)</f>
        <v>#REF!</v>
      </c>
      <c r="E196" s="9" t="e">
        <f>VLOOKUP($B196,#REF!,17,FALSE)</f>
        <v>#REF!</v>
      </c>
      <c r="F196" s="10" t="e">
        <f>VLOOKUP($B196,#REF!,7,FALSE)</f>
        <v>#REF!</v>
      </c>
      <c r="G196" s="10"/>
      <c r="H196" s="10"/>
      <c r="I196" s="11" t="e">
        <f>VLOOKUP($B196,#REF!,19,FALSE)</f>
        <v>#REF!</v>
      </c>
      <c r="J196" s="11" t="e">
        <f>VLOOKUP($B196,#REF!,6,FALSE)</f>
        <v>#REF!</v>
      </c>
      <c r="L196" s="3">
        <v>44652.659722221608</v>
      </c>
      <c r="M196" s="15"/>
    </row>
    <row r="197" spans="2:13">
      <c r="B197" s="7"/>
      <c r="C197" s="8" t="e">
        <f>VLOOKUP($B197,#REF!,5,FALSE)</f>
        <v>#REF!</v>
      </c>
      <c r="D197" s="8" t="e">
        <f>VLOOKUP($B197,#REF!,6,FALSE)</f>
        <v>#REF!</v>
      </c>
      <c r="E197" s="9" t="e">
        <f>VLOOKUP($B197,#REF!,17,FALSE)</f>
        <v>#REF!</v>
      </c>
      <c r="F197" s="10" t="e">
        <f>VLOOKUP($B197,#REF!,7,FALSE)</f>
        <v>#REF!</v>
      </c>
      <c r="G197" s="10"/>
      <c r="H197" s="10"/>
      <c r="I197" s="11" t="e">
        <f>VLOOKUP($B197,#REF!,19,FALSE)</f>
        <v>#REF!</v>
      </c>
      <c r="J197" s="11" t="e">
        <f>VLOOKUP($B197,#REF!,6,FALSE)</f>
        <v>#REF!</v>
      </c>
      <c r="L197" s="3">
        <v>44652.663194443827</v>
      </c>
      <c r="M197" s="15"/>
    </row>
    <row r="198" spans="2:13">
      <c r="B198" s="7"/>
      <c r="C198" s="8" t="e">
        <f>VLOOKUP($B198,#REF!,5,FALSE)</f>
        <v>#REF!</v>
      </c>
      <c r="D198" s="8" t="e">
        <f>VLOOKUP($B198,#REF!,6,FALSE)</f>
        <v>#REF!</v>
      </c>
      <c r="E198" s="9" t="e">
        <f>VLOOKUP($B198,#REF!,17,FALSE)</f>
        <v>#REF!</v>
      </c>
      <c r="F198" s="10" t="e">
        <f>VLOOKUP($B198,#REF!,7,FALSE)</f>
        <v>#REF!</v>
      </c>
      <c r="G198" s="10"/>
      <c r="H198" s="10"/>
      <c r="I198" s="11" t="e">
        <f>VLOOKUP($B198,#REF!,19,FALSE)</f>
        <v>#REF!</v>
      </c>
      <c r="J198" s="11" t="e">
        <f>VLOOKUP($B198,#REF!,6,FALSE)</f>
        <v>#REF!</v>
      </c>
      <c r="L198" s="3">
        <v>44652.666666666046</v>
      </c>
      <c r="M198" s="15"/>
    </row>
    <row r="199" spans="2:13">
      <c r="B199" s="7"/>
      <c r="C199" s="8" t="e">
        <f>VLOOKUP($B199,#REF!,5,FALSE)</f>
        <v>#REF!</v>
      </c>
      <c r="D199" s="8" t="e">
        <f>VLOOKUP($B199,#REF!,6,FALSE)</f>
        <v>#REF!</v>
      </c>
      <c r="E199" s="9" t="e">
        <f>VLOOKUP($B199,#REF!,17,FALSE)</f>
        <v>#REF!</v>
      </c>
      <c r="F199" s="10" t="e">
        <f>VLOOKUP($B199,#REF!,7,FALSE)</f>
        <v>#REF!</v>
      </c>
      <c r="G199" s="10"/>
      <c r="H199" s="10"/>
      <c r="I199" s="11" t="e">
        <f>VLOOKUP($B199,#REF!,19,FALSE)</f>
        <v>#REF!</v>
      </c>
      <c r="J199" s="11" t="e">
        <f>VLOOKUP($B199,#REF!,6,FALSE)</f>
        <v>#REF!</v>
      </c>
      <c r="L199" s="3">
        <v>44652.670138888265</v>
      </c>
      <c r="M199" s="15"/>
    </row>
    <row r="200" spans="2:13">
      <c r="B200" s="7"/>
      <c r="C200" s="8" t="e">
        <f>VLOOKUP($B200,#REF!,5,FALSE)</f>
        <v>#REF!</v>
      </c>
      <c r="D200" s="8" t="e">
        <f>VLOOKUP($B200,#REF!,6,FALSE)</f>
        <v>#REF!</v>
      </c>
      <c r="E200" s="9" t="e">
        <f>VLOOKUP($B200,#REF!,17,FALSE)</f>
        <v>#REF!</v>
      </c>
      <c r="F200" s="10" t="e">
        <f>VLOOKUP($B200,#REF!,7,FALSE)</f>
        <v>#REF!</v>
      </c>
      <c r="G200" s="10"/>
      <c r="H200" s="10"/>
      <c r="I200" s="11" t="e">
        <f>VLOOKUP($B200,#REF!,19,FALSE)</f>
        <v>#REF!</v>
      </c>
      <c r="J200" s="11" t="e">
        <f>VLOOKUP($B200,#REF!,6,FALSE)</f>
        <v>#REF!</v>
      </c>
      <c r="L200" s="3">
        <v>44652.673611110484</v>
      </c>
      <c r="M200" s="15"/>
    </row>
    <row r="201" spans="2:13">
      <c r="B201" s="7"/>
      <c r="C201" s="8" t="e">
        <f>VLOOKUP($B201,#REF!,5,FALSE)</f>
        <v>#REF!</v>
      </c>
      <c r="D201" s="8" t="e">
        <f>VLOOKUP($B201,#REF!,6,FALSE)</f>
        <v>#REF!</v>
      </c>
      <c r="E201" s="9" t="e">
        <f>VLOOKUP($B201,#REF!,17,FALSE)</f>
        <v>#REF!</v>
      </c>
      <c r="F201" s="10" t="e">
        <f>VLOOKUP($B201,#REF!,7,FALSE)</f>
        <v>#REF!</v>
      </c>
      <c r="G201" s="10"/>
      <c r="H201" s="10"/>
      <c r="I201" s="11" t="e">
        <f>VLOOKUP($B201,#REF!,19,FALSE)</f>
        <v>#REF!</v>
      </c>
      <c r="J201" s="11" t="e">
        <f>VLOOKUP($B201,#REF!,6,FALSE)</f>
        <v>#REF!</v>
      </c>
      <c r="L201" s="3">
        <v>44652.677083332703</v>
      </c>
      <c r="M201" s="15"/>
    </row>
    <row r="202" spans="2:13">
      <c r="B202" s="7"/>
      <c r="C202" s="8" t="e">
        <f>VLOOKUP($B202,#REF!,5,FALSE)</f>
        <v>#REF!</v>
      </c>
      <c r="D202" s="8" t="e">
        <f>VLOOKUP($B202,#REF!,6,FALSE)</f>
        <v>#REF!</v>
      </c>
      <c r="E202" s="9" t="e">
        <f>VLOOKUP($B202,#REF!,17,FALSE)</f>
        <v>#REF!</v>
      </c>
      <c r="F202" s="10" t="e">
        <f>VLOOKUP($B202,#REF!,7,FALSE)</f>
        <v>#REF!</v>
      </c>
      <c r="G202" s="10"/>
      <c r="H202" s="10"/>
      <c r="I202" s="11" t="e">
        <f>VLOOKUP($B202,#REF!,19,FALSE)</f>
        <v>#REF!</v>
      </c>
      <c r="J202" s="11" t="e">
        <f>VLOOKUP($B202,#REF!,6,FALSE)</f>
        <v>#REF!</v>
      </c>
      <c r="L202" s="3">
        <v>44652.680555554922</v>
      </c>
      <c r="M202" s="15"/>
    </row>
    <row r="203" spans="2:13">
      <c r="B203" s="7"/>
      <c r="C203" s="8" t="e">
        <f>VLOOKUP($B203,#REF!,5,FALSE)</f>
        <v>#REF!</v>
      </c>
      <c r="D203" s="8" t="e">
        <f>VLOOKUP($B203,#REF!,6,FALSE)</f>
        <v>#REF!</v>
      </c>
      <c r="E203" s="9" t="e">
        <f>VLOOKUP($B203,#REF!,17,FALSE)</f>
        <v>#REF!</v>
      </c>
      <c r="F203" s="10" t="e">
        <f>VLOOKUP($B203,#REF!,7,FALSE)</f>
        <v>#REF!</v>
      </c>
      <c r="G203" s="10"/>
      <c r="H203" s="10"/>
      <c r="I203" s="11" t="e">
        <f>VLOOKUP($B203,#REF!,19,FALSE)</f>
        <v>#REF!</v>
      </c>
      <c r="J203" s="11" t="e">
        <f>VLOOKUP($B203,#REF!,6,FALSE)</f>
        <v>#REF!</v>
      </c>
      <c r="L203" s="3">
        <v>44652.684027777141</v>
      </c>
      <c r="M203" s="15"/>
    </row>
    <row r="204" spans="2:13">
      <c r="B204" s="7"/>
      <c r="C204" s="8" t="e">
        <f>VLOOKUP($B204,#REF!,5,FALSE)</f>
        <v>#REF!</v>
      </c>
      <c r="D204" s="8" t="e">
        <f>VLOOKUP($B204,#REF!,6,FALSE)</f>
        <v>#REF!</v>
      </c>
      <c r="E204" s="9" t="e">
        <f>VLOOKUP($B204,#REF!,17,FALSE)</f>
        <v>#REF!</v>
      </c>
      <c r="F204" s="10" t="e">
        <f>VLOOKUP($B204,#REF!,7,FALSE)</f>
        <v>#REF!</v>
      </c>
      <c r="G204" s="10"/>
      <c r="H204" s="10"/>
      <c r="I204" s="11" t="e">
        <f>VLOOKUP($B204,#REF!,19,FALSE)</f>
        <v>#REF!</v>
      </c>
      <c r="J204" s="11" t="e">
        <f>VLOOKUP($B204,#REF!,6,FALSE)</f>
        <v>#REF!</v>
      </c>
      <c r="L204" s="3">
        <v>44652.68749999936</v>
      </c>
      <c r="M204" s="15"/>
    </row>
    <row r="205" spans="2:13">
      <c r="B205" s="7"/>
      <c r="C205" s="8" t="e">
        <f>VLOOKUP($B205,#REF!,5,FALSE)</f>
        <v>#REF!</v>
      </c>
      <c r="D205" s="8" t="e">
        <f>VLOOKUP($B205,#REF!,6,FALSE)</f>
        <v>#REF!</v>
      </c>
      <c r="E205" s="9" t="e">
        <f>VLOOKUP($B205,#REF!,17,FALSE)</f>
        <v>#REF!</v>
      </c>
      <c r="F205" s="10" t="e">
        <f>VLOOKUP($B205,#REF!,7,FALSE)</f>
        <v>#REF!</v>
      </c>
      <c r="G205" s="10"/>
      <c r="H205" s="10"/>
      <c r="I205" s="11" t="e">
        <f>VLOOKUP($B205,#REF!,19,FALSE)</f>
        <v>#REF!</v>
      </c>
      <c r="J205" s="11" t="e">
        <f>VLOOKUP($B205,#REF!,6,FALSE)</f>
        <v>#REF!</v>
      </c>
      <c r="L205" s="3">
        <v>44652.690972221579</v>
      </c>
      <c r="M205" s="15"/>
    </row>
    <row r="206" spans="2:13">
      <c r="B206" s="7"/>
      <c r="C206" s="8" t="e">
        <f>VLOOKUP($B206,#REF!,5,FALSE)</f>
        <v>#REF!</v>
      </c>
      <c r="D206" s="8" t="e">
        <f>VLOOKUP($B206,#REF!,6,FALSE)</f>
        <v>#REF!</v>
      </c>
      <c r="E206" s="9" t="e">
        <f>VLOOKUP($B206,#REF!,17,FALSE)</f>
        <v>#REF!</v>
      </c>
      <c r="F206" s="10" t="e">
        <f>VLOOKUP($B206,#REF!,7,FALSE)</f>
        <v>#REF!</v>
      </c>
      <c r="G206" s="10"/>
      <c r="H206" s="10"/>
      <c r="I206" s="11" t="e">
        <f>VLOOKUP($B206,#REF!,19,FALSE)</f>
        <v>#REF!</v>
      </c>
      <c r="J206" s="11" t="e">
        <f>VLOOKUP($B206,#REF!,6,FALSE)</f>
        <v>#REF!</v>
      </c>
      <c r="L206" s="3">
        <v>44652.694444443798</v>
      </c>
      <c r="M206" s="15"/>
    </row>
    <row r="207" spans="2:13">
      <c r="B207" s="7"/>
      <c r="C207" s="8" t="e">
        <f>VLOOKUP($B207,#REF!,5,FALSE)</f>
        <v>#REF!</v>
      </c>
      <c r="D207" s="8" t="e">
        <f>VLOOKUP($B207,#REF!,6,FALSE)</f>
        <v>#REF!</v>
      </c>
      <c r="E207" s="9" t="e">
        <f>VLOOKUP($B207,#REF!,17,FALSE)</f>
        <v>#REF!</v>
      </c>
      <c r="F207" s="10" t="e">
        <f>VLOOKUP($B207,#REF!,7,FALSE)</f>
        <v>#REF!</v>
      </c>
      <c r="G207" s="10"/>
      <c r="H207" s="10"/>
      <c r="I207" s="11" t="e">
        <f>VLOOKUP($B207,#REF!,19,FALSE)</f>
        <v>#REF!</v>
      </c>
      <c r="J207" s="11" t="e">
        <f>VLOOKUP($B207,#REF!,6,FALSE)</f>
        <v>#REF!</v>
      </c>
      <c r="L207" s="3">
        <v>44652.697916666017</v>
      </c>
      <c r="M207" s="15"/>
    </row>
    <row r="208" spans="2:13">
      <c r="B208" s="7"/>
      <c r="C208" s="8" t="e">
        <f>VLOOKUP($B208,#REF!,5,FALSE)</f>
        <v>#REF!</v>
      </c>
      <c r="D208" s="8" t="e">
        <f>VLOOKUP($B208,#REF!,6,FALSE)</f>
        <v>#REF!</v>
      </c>
      <c r="E208" s="9" t="e">
        <f>VLOOKUP($B208,#REF!,17,FALSE)</f>
        <v>#REF!</v>
      </c>
      <c r="F208" s="10" t="e">
        <f>VLOOKUP($B208,#REF!,7,FALSE)</f>
        <v>#REF!</v>
      </c>
      <c r="G208" s="10"/>
      <c r="H208" s="10"/>
      <c r="I208" s="11" t="e">
        <f>VLOOKUP($B208,#REF!,19,FALSE)</f>
        <v>#REF!</v>
      </c>
      <c r="J208" s="11" t="e">
        <f>VLOOKUP($B208,#REF!,6,FALSE)</f>
        <v>#REF!</v>
      </c>
      <c r="L208" s="3">
        <v>44652.701388888236</v>
      </c>
      <c r="M208" s="15"/>
    </row>
    <row r="209" spans="2:13">
      <c r="B209" s="7"/>
      <c r="C209" s="8" t="e">
        <f>VLOOKUP($B209,#REF!,5,FALSE)</f>
        <v>#REF!</v>
      </c>
      <c r="D209" s="8" t="e">
        <f>VLOOKUP($B209,#REF!,6,FALSE)</f>
        <v>#REF!</v>
      </c>
      <c r="E209" s="9" t="e">
        <f>VLOOKUP($B209,#REF!,17,FALSE)</f>
        <v>#REF!</v>
      </c>
      <c r="F209" s="10" t="e">
        <f>VLOOKUP($B209,#REF!,7,FALSE)</f>
        <v>#REF!</v>
      </c>
      <c r="G209" s="10"/>
      <c r="H209" s="10"/>
      <c r="I209" s="11" t="e">
        <f>VLOOKUP($B209,#REF!,19,FALSE)</f>
        <v>#REF!</v>
      </c>
      <c r="J209" s="11" t="e">
        <f>VLOOKUP($B209,#REF!,6,FALSE)</f>
        <v>#REF!</v>
      </c>
      <c r="L209" s="3">
        <v>44652.704861110455</v>
      </c>
      <c r="M209" s="15"/>
    </row>
    <row r="210" spans="2:13">
      <c r="B210" s="7"/>
      <c r="C210" s="8" t="e">
        <f>VLOOKUP($B210,#REF!,5,FALSE)</f>
        <v>#REF!</v>
      </c>
      <c r="D210" s="8" t="e">
        <f>VLOOKUP($B210,#REF!,6,FALSE)</f>
        <v>#REF!</v>
      </c>
      <c r="E210" s="9" t="e">
        <f>VLOOKUP($B210,#REF!,17,FALSE)</f>
        <v>#REF!</v>
      </c>
      <c r="F210" s="10" t="e">
        <f>VLOOKUP($B210,#REF!,7,FALSE)</f>
        <v>#REF!</v>
      </c>
      <c r="G210" s="10"/>
      <c r="H210" s="10"/>
      <c r="I210" s="11" t="e">
        <f>VLOOKUP($B210,#REF!,19,FALSE)</f>
        <v>#REF!</v>
      </c>
      <c r="J210" s="11" t="e">
        <f>VLOOKUP($B210,#REF!,6,FALSE)</f>
        <v>#REF!</v>
      </c>
      <c r="L210" s="3">
        <v>44652.708333332674</v>
      </c>
      <c r="M210" s="15"/>
    </row>
    <row r="211" spans="2:13">
      <c r="B211" s="7"/>
      <c r="C211" s="8" t="e">
        <f>VLOOKUP($B211,#REF!,5,FALSE)</f>
        <v>#REF!</v>
      </c>
      <c r="D211" s="8" t="e">
        <f>VLOOKUP($B211,#REF!,6,FALSE)</f>
        <v>#REF!</v>
      </c>
      <c r="E211" s="9" t="e">
        <f>VLOOKUP($B211,#REF!,17,FALSE)</f>
        <v>#REF!</v>
      </c>
      <c r="F211" s="10" t="e">
        <f>VLOOKUP($B211,#REF!,7,FALSE)</f>
        <v>#REF!</v>
      </c>
      <c r="G211" s="10"/>
      <c r="H211" s="10"/>
      <c r="I211" s="11" t="e">
        <f>VLOOKUP($B211,#REF!,19,FALSE)</f>
        <v>#REF!</v>
      </c>
      <c r="J211" s="11" t="e">
        <f>VLOOKUP($B211,#REF!,6,FALSE)</f>
        <v>#REF!</v>
      </c>
      <c r="L211" s="3">
        <v>44652.711805554893</v>
      </c>
      <c r="M211" s="15"/>
    </row>
    <row r="212" spans="2:13">
      <c r="B212" s="7"/>
      <c r="C212" s="8" t="e">
        <f>VLOOKUP($B212,#REF!,5,FALSE)</f>
        <v>#REF!</v>
      </c>
      <c r="D212" s="8" t="e">
        <f>VLOOKUP($B212,#REF!,6,FALSE)</f>
        <v>#REF!</v>
      </c>
      <c r="E212" s="9" t="e">
        <f>VLOOKUP($B212,#REF!,17,FALSE)</f>
        <v>#REF!</v>
      </c>
      <c r="F212" s="10" t="e">
        <f>VLOOKUP($B212,#REF!,7,FALSE)</f>
        <v>#REF!</v>
      </c>
      <c r="G212" s="10"/>
      <c r="H212" s="10"/>
      <c r="I212" s="11" t="e">
        <f>VLOOKUP($B212,#REF!,19,FALSE)</f>
        <v>#REF!</v>
      </c>
      <c r="J212" s="11" t="e">
        <f>VLOOKUP($B212,#REF!,6,FALSE)</f>
        <v>#REF!</v>
      </c>
      <c r="L212" s="3">
        <v>44652.715277777112</v>
      </c>
      <c r="M212" s="15"/>
    </row>
    <row r="213" spans="2:13">
      <c r="B213" s="7"/>
      <c r="C213" s="8" t="e">
        <f>VLOOKUP($B213,#REF!,5,FALSE)</f>
        <v>#REF!</v>
      </c>
      <c r="D213" s="8" t="e">
        <f>VLOOKUP($B213,#REF!,6,FALSE)</f>
        <v>#REF!</v>
      </c>
      <c r="E213" s="9" t="e">
        <f>VLOOKUP($B213,#REF!,17,FALSE)</f>
        <v>#REF!</v>
      </c>
      <c r="F213" s="10" t="e">
        <f>VLOOKUP($B213,#REF!,7,FALSE)</f>
        <v>#REF!</v>
      </c>
      <c r="G213" s="10"/>
      <c r="H213" s="10"/>
      <c r="I213" s="11" t="e">
        <f>VLOOKUP($B213,#REF!,19,FALSE)</f>
        <v>#REF!</v>
      </c>
      <c r="J213" s="11" t="e">
        <f>VLOOKUP($B213,#REF!,6,FALSE)</f>
        <v>#REF!</v>
      </c>
      <c r="L213" s="3">
        <v>44652.718749999331</v>
      </c>
      <c r="M213" s="15"/>
    </row>
    <row r="214" spans="2:13">
      <c r="B214" s="7"/>
      <c r="C214" s="8" t="e">
        <f>VLOOKUP($B214,#REF!,5,FALSE)</f>
        <v>#REF!</v>
      </c>
      <c r="D214" s="8" t="e">
        <f>VLOOKUP($B214,#REF!,6,FALSE)</f>
        <v>#REF!</v>
      </c>
      <c r="E214" s="9" t="e">
        <f>VLOOKUP($B214,#REF!,17,FALSE)</f>
        <v>#REF!</v>
      </c>
      <c r="F214" s="10" t="e">
        <f>VLOOKUP($B214,#REF!,7,FALSE)</f>
        <v>#REF!</v>
      </c>
      <c r="G214" s="10"/>
      <c r="H214" s="10"/>
      <c r="I214" s="11" t="e">
        <f>VLOOKUP($B214,#REF!,19,FALSE)</f>
        <v>#REF!</v>
      </c>
      <c r="J214" s="11" t="e">
        <f>VLOOKUP($B214,#REF!,6,FALSE)</f>
        <v>#REF!</v>
      </c>
      <c r="L214" s="3">
        <v>44652.72222222155</v>
      </c>
      <c r="M214" s="15"/>
    </row>
    <row r="215" spans="2:13">
      <c r="B215" s="7"/>
      <c r="C215" s="8" t="e">
        <f>VLOOKUP($B215,#REF!,5,FALSE)</f>
        <v>#REF!</v>
      </c>
      <c r="D215" s="8" t="e">
        <f>VLOOKUP($B215,#REF!,6,FALSE)</f>
        <v>#REF!</v>
      </c>
      <c r="E215" s="9" t="e">
        <f>VLOOKUP($B215,#REF!,17,FALSE)</f>
        <v>#REF!</v>
      </c>
      <c r="F215" s="10" t="e">
        <f>VLOOKUP($B215,#REF!,7,FALSE)</f>
        <v>#REF!</v>
      </c>
      <c r="G215" s="10"/>
      <c r="H215" s="10"/>
      <c r="I215" s="11" t="e">
        <f>VLOOKUP($B215,#REF!,19,FALSE)</f>
        <v>#REF!</v>
      </c>
      <c r="J215" s="11" t="e">
        <f>VLOOKUP($B215,#REF!,6,FALSE)</f>
        <v>#REF!</v>
      </c>
      <c r="L215" s="3">
        <v>44652.725694443769</v>
      </c>
      <c r="M215" s="15"/>
    </row>
    <row r="216" spans="2:13">
      <c r="B216" s="7"/>
      <c r="C216" s="8" t="e">
        <f>VLOOKUP($B216,#REF!,5,FALSE)</f>
        <v>#REF!</v>
      </c>
      <c r="D216" s="8" t="e">
        <f>VLOOKUP($B216,#REF!,6,FALSE)</f>
        <v>#REF!</v>
      </c>
      <c r="E216" s="9" t="e">
        <f>VLOOKUP($B216,#REF!,17,FALSE)</f>
        <v>#REF!</v>
      </c>
      <c r="F216" s="10" t="e">
        <f>VLOOKUP($B216,#REF!,7,FALSE)</f>
        <v>#REF!</v>
      </c>
      <c r="G216" s="10"/>
      <c r="H216" s="10"/>
      <c r="I216" s="11" t="e">
        <f>VLOOKUP($B216,#REF!,19,FALSE)</f>
        <v>#REF!</v>
      </c>
      <c r="J216" s="11" t="e">
        <f>VLOOKUP($B216,#REF!,6,FALSE)</f>
        <v>#REF!</v>
      </c>
      <c r="L216" s="3">
        <v>44652.729166665988</v>
      </c>
      <c r="M216" s="15"/>
    </row>
    <row r="217" spans="2:13">
      <c r="B217" s="7"/>
      <c r="C217" s="8" t="e">
        <f>VLOOKUP($B217,#REF!,5,FALSE)</f>
        <v>#REF!</v>
      </c>
      <c r="D217" s="8" t="e">
        <f>VLOOKUP($B217,#REF!,6,FALSE)</f>
        <v>#REF!</v>
      </c>
      <c r="E217" s="9" t="e">
        <f>VLOOKUP($B217,#REF!,17,FALSE)</f>
        <v>#REF!</v>
      </c>
      <c r="F217" s="10" t="e">
        <f>VLOOKUP($B217,#REF!,7,FALSE)</f>
        <v>#REF!</v>
      </c>
      <c r="G217" s="10"/>
      <c r="H217" s="10"/>
      <c r="I217" s="11" t="e">
        <f>VLOOKUP($B217,#REF!,19,FALSE)</f>
        <v>#REF!</v>
      </c>
      <c r="J217" s="11" t="e">
        <f>VLOOKUP($B217,#REF!,6,FALSE)</f>
        <v>#REF!</v>
      </c>
      <c r="L217" s="3">
        <v>44652.732638888207</v>
      </c>
      <c r="M217" s="15"/>
    </row>
    <row r="218" spans="2:13">
      <c r="B218" s="7"/>
      <c r="C218" s="8" t="e">
        <f>VLOOKUP($B218,#REF!,5,FALSE)</f>
        <v>#REF!</v>
      </c>
      <c r="D218" s="8" t="e">
        <f>VLOOKUP($B218,#REF!,6,FALSE)</f>
        <v>#REF!</v>
      </c>
      <c r="E218" s="9" t="e">
        <f>VLOOKUP($B218,#REF!,17,FALSE)</f>
        <v>#REF!</v>
      </c>
      <c r="F218" s="10" t="e">
        <f>VLOOKUP($B218,#REF!,7,FALSE)</f>
        <v>#REF!</v>
      </c>
      <c r="G218" s="10"/>
      <c r="H218" s="10"/>
      <c r="I218" s="11" t="e">
        <f>VLOOKUP($B218,#REF!,19,FALSE)</f>
        <v>#REF!</v>
      </c>
      <c r="J218" s="11" t="e">
        <f>VLOOKUP($B218,#REF!,6,FALSE)</f>
        <v>#REF!</v>
      </c>
      <c r="L218" s="3">
        <v>44652.736111110426</v>
      </c>
      <c r="M218" s="15"/>
    </row>
    <row r="219" spans="2:13">
      <c r="B219" s="7"/>
      <c r="C219" s="8" t="e">
        <f>VLOOKUP($B219,#REF!,5,FALSE)</f>
        <v>#REF!</v>
      </c>
      <c r="D219" s="8" t="e">
        <f>VLOOKUP($B219,#REF!,6,FALSE)</f>
        <v>#REF!</v>
      </c>
      <c r="E219" s="9" t="e">
        <f>VLOOKUP($B219,#REF!,17,FALSE)</f>
        <v>#REF!</v>
      </c>
      <c r="F219" s="10" t="e">
        <f>VLOOKUP($B219,#REF!,7,FALSE)</f>
        <v>#REF!</v>
      </c>
      <c r="G219" s="10"/>
      <c r="H219" s="10"/>
      <c r="I219" s="11" t="e">
        <f>VLOOKUP($B219,#REF!,19,FALSE)</f>
        <v>#REF!</v>
      </c>
      <c r="J219" s="11" t="e">
        <f>VLOOKUP($B219,#REF!,6,FALSE)</f>
        <v>#REF!</v>
      </c>
      <c r="L219" s="3">
        <v>44652.739583332645</v>
      </c>
      <c r="M219" s="15"/>
    </row>
    <row r="220" spans="2:13">
      <c r="B220" s="7"/>
      <c r="C220" s="8" t="e">
        <f>VLOOKUP($B220,#REF!,5,FALSE)</f>
        <v>#REF!</v>
      </c>
      <c r="D220" s="8" t="e">
        <f>VLOOKUP($B220,#REF!,6,FALSE)</f>
        <v>#REF!</v>
      </c>
      <c r="E220" s="9" t="e">
        <f>VLOOKUP($B220,#REF!,17,FALSE)</f>
        <v>#REF!</v>
      </c>
      <c r="F220" s="10" t="e">
        <f>VLOOKUP($B220,#REF!,7,FALSE)</f>
        <v>#REF!</v>
      </c>
      <c r="G220" s="10"/>
      <c r="H220" s="10"/>
      <c r="I220" s="11" t="e">
        <f>VLOOKUP($B220,#REF!,19,FALSE)</f>
        <v>#REF!</v>
      </c>
      <c r="J220" s="11" t="e">
        <f>VLOOKUP($B220,#REF!,6,FALSE)</f>
        <v>#REF!</v>
      </c>
      <c r="L220" s="3">
        <v>44652.743055554864</v>
      </c>
      <c r="M220" s="15"/>
    </row>
    <row r="221" spans="2:13">
      <c r="B221" s="7"/>
      <c r="C221" s="8" t="e">
        <f>VLOOKUP($B221,#REF!,5,FALSE)</f>
        <v>#REF!</v>
      </c>
      <c r="D221" s="8" t="e">
        <f>VLOOKUP($B221,#REF!,6,FALSE)</f>
        <v>#REF!</v>
      </c>
      <c r="E221" s="9" t="e">
        <f>VLOOKUP($B221,#REF!,17,FALSE)</f>
        <v>#REF!</v>
      </c>
      <c r="F221" s="10" t="e">
        <f>VLOOKUP($B221,#REF!,7,FALSE)</f>
        <v>#REF!</v>
      </c>
      <c r="G221" s="10"/>
      <c r="H221" s="10"/>
      <c r="I221" s="11" t="e">
        <f>VLOOKUP($B221,#REF!,19,FALSE)</f>
        <v>#REF!</v>
      </c>
      <c r="J221" s="11" t="e">
        <f>VLOOKUP($B221,#REF!,6,FALSE)</f>
        <v>#REF!</v>
      </c>
      <c r="L221" s="3">
        <v>44652.746527777083</v>
      </c>
      <c r="M221" s="15"/>
    </row>
    <row r="222" spans="2:13">
      <c r="B222" s="7"/>
      <c r="C222" s="8" t="e">
        <f>VLOOKUP($B222,#REF!,5,FALSE)</f>
        <v>#REF!</v>
      </c>
      <c r="D222" s="8" t="e">
        <f>VLOOKUP($B222,#REF!,6,FALSE)</f>
        <v>#REF!</v>
      </c>
      <c r="E222" s="9" t="e">
        <f>VLOOKUP($B222,#REF!,17,FALSE)</f>
        <v>#REF!</v>
      </c>
      <c r="F222" s="10" t="e">
        <f>VLOOKUP($B222,#REF!,7,FALSE)</f>
        <v>#REF!</v>
      </c>
      <c r="G222" s="10"/>
      <c r="H222" s="10"/>
      <c r="I222" s="11" t="e">
        <f>VLOOKUP($B222,#REF!,19,FALSE)</f>
        <v>#REF!</v>
      </c>
      <c r="J222" s="11" t="e">
        <f>VLOOKUP($B222,#REF!,6,FALSE)</f>
        <v>#REF!</v>
      </c>
      <c r="L222" s="3">
        <v>44652.749999999302</v>
      </c>
      <c r="M222" s="15"/>
    </row>
    <row r="223" spans="2:13">
      <c r="B223" s="7"/>
      <c r="C223" s="8" t="e">
        <f>VLOOKUP($B223,#REF!,5,FALSE)</f>
        <v>#REF!</v>
      </c>
      <c r="D223" s="8" t="e">
        <f>VLOOKUP($B223,#REF!,6,FALSE)</f>
        <v>#REF!</v>
      </c>
      <c r="E223" s="9" t="e">
        <f>VLOOKUP($B223,#REF!,17,FALSE)</f>
        <v>#REF!</v>
      </c>
      <c r="F223" s="10" t="e">
        <f>VLOOKUP($B223,#REF!,7,FALSE)</f>
        <v>#REF!</v>
      </c>
      <c r="G223" s="10"/>
      <c r="H223" s="10"/>
      <c r="I223" s="11" t="e">
        <f>VLOOKUP($B223,#REF!,19,FALSE)</f>
        <v>#REF!</v>
      </c>
      <c r="J223" s="11" t="e">
        <f>VLOOKUP($B223,#REF!,6,FALSE)</f>
        <v>#REF!</v>
      </c>
      <c r="L223" s="3">
        <v>44652.75347222152</v>
      </c>
      <c r="M223" s="15"/>
    </row>
    <row r="224" spans="2:13">
      <c r="B224" s="7"/>
      <c r="C224" s="8" t="e">
        <f>VLOOKUP($B224,#REF!,5,FALSE)</f>
        <v>#REF!</v>
      </c>
      <c r="D224" s="8" t="e">
        <f>VLOOKUP($B224,#REF!,6,FALSE)</f>
        <v>#REF!</v>
      </c>
      <c r="E224" s="9" t="e">
        <f>VLOOKUP($B224,#REF!,17,FALSE)</f>
        <v>#REF!</v>
      </c>
      <c r="F224" s="10" t="e">
        <f>VLOOKUP($B224,#REF!,7,FALSE)</f>
        <v>#REF!</v>
      </c>
      <c r="G224" s="10"/>
      <c r="H224" s="10"/>
      <c r="I224" s="11" t="e">
        <f>VLOOKUP($B224,#REF!,19,FALSE)</f>
        <v>#REF!</v>
      </c>
      <c r="J224" s="11" t="e">
        <f>VLOOKUP($B224,#REF!,6,FALSE)</f>
        <v>#REF!</v>
      </c>
      <c r="L224" s="3">
        <v>44652.756944443739</v>
      </c>
      <c r="M224" s="15"/>
    </row>
    <row r="225" spans="2:13">
      <c r="B225" s="7"/>
      <c r="C225" s="8" t="e">
        <f>VLOOKUP($B225,#REF!,5,FALSE)</f>
        <v>#REF!</v>
      </c>
      <c r="D225" s="8" t="e">
        <f>VLOOKUP($B225,#REF!,6,FALSE)</f>
        <v>#REF!</v>
      </c>
      <c r="E225" s="9" t="e">
        <f>VLOOKUP($B225,#REF!,17,FALSE)</f>
        <v>#REF!</v>
      </c>
      <c r="F225" s="10" t="e">
        <f>VLOOKUP($B225,#REF!,7,FALSE)</f>
        <v>#REF!</v>
      </c>
      <c r="G225" s="10"/>
      <c r="H225" s="10"/>
      <c r="I225" s="11" t="e">
        <f>VLOOKUP($B225,#REF!,19,FALSE)</f>
        <v>#REF!</v>
      </c>
      <c r="J225" s="11" t="e">
        <f>VLOOKUP($B225,#REF!,6,FALSE)</f>
        <v>#REF!</v>
      </c>
      <c r="L225" s="3">
        <v>44652.760416665958</v>
      </c>
      <c r="M225" s="15"/>
    </row>
    <row r="226" spans="2:13">
      <c r="B226" s="7"/>
      <c r="C226" s="8" t="e">
        <f>VLOOKUP($B226,#REF!,5,FALSE)</f>
        <v>#REF!</v>
      </c>
      <c r="D226" s="8" t="e">
        <f>VLOOKUP($B226,#REF!,6,FALSE)</f>
        <v>#REF!</v>
      </c>
      <c r="E226" s="9" t="e">
        <f>VLOOKUP($B226,#REF!,17,FALSE)</f>
        <v>#REF!</v>
      </c>
      <c r="F226" s="10" t="e">
        <f>VLOOKUP($B226,#REF!,7,FALSE)</f>
        <v>#REF!</v>
      </c>
      <c r="G226" s="10"/>
      <c r="H226" s="10"/>
      <c r="I226" s="11" t="e">
        <f>VLOOKUP($B226,#REF!,19,FALSE)</f>
        <v>#REF!</v>
      </c>
      <c r="J226" s="11" t="e">
        <f>VLOOKUP($B226,#REF!,6,FALSE)</f>
        <v>#REF!</v>
      </c>
      <c r="L226" s="3">
        <v>44652.763888888177</v>
      </c>
      <c r="M226" s="15"/>
    </row>
    <row r="227" spans="2:13">
      <c r="B227" s="7"/>
      <c r="C227" s="8" t="e">
        <f>VLOOKUP($B227,#REF!,5,FALSE)</f>
        <v>#REF!</v>
      </c>
      <c r="D227" s="8" t="e">
        <f>VLOOKUP($B227,#REF!,6,FALSE)</f>
        <v>#REF!</v>
      </c>
      <c r="E227" s="9" t="e">
        <f>VLOOKUP($B227,#REF!,17,FALSE)</f>
        <v>#REF!</v>
      </c>
      <c r="F227" s="10" t="e">
        <f>VLOOKUP($B227,#REF!,7,FALSE)</f>
        <v>#REF!</v>
      </c>
      <c r="G227" s="10"/>
      <c r="H227" s="10"/>
      <c r="I227" s="11" t="e">
        <f>VLOOKUP($B227,#REF!,19,FALSE)</f>
        <v>#REF!</v>
      </c>
      <c r="J227" s="11" t="e">
        <f>VLOOKUP($B227,#REF!,6,FALSE)</f>
        <v>#REF!</v>
      </c>
      <c r="L227" s="3">
        <v>44652.767361110396</v>
      </c>
      <c r="M227" s="15"/>
    </row>
    <row r="228" spans="2:13">
      <c r="B228" s="7"/>
      <c r="C228" s="8" t="e">
        <f>VLOOKUP($B228,#REF!,5,FALSE)</f>
        <v>#REF!</v>
      </c>
      <c r="D228" s="8" t="e">
        <f>VLOOKUP($B228,#REF!,6,FALSE)</f>
        <v>#REF!</v>
      </c>
      <c r="E228" s="9" t="e">
        <f>VLOOKUP($B228,#REF!,17,FALSE)</f>
        <v>#REF!</v>
      </c>
      <c r="F228" s="10" t="e">
        <f>VLOOKUP($B228,#REF!,7,FALSE)</f>
        <v>#REF!</v>
      </c>
      <c r="G228" s="10"/>
      <c r="H228" s="10"/>
      <c r="I228" s="11" t="e">
        <f>VLOOKUP($B228,#REF!,19,FALSE)</f>
        <v>#REF!</v>
      </c>
      <c r="J228" s="11" t="e">
        <f>VLOOKUP($B228,#REF!,6,FALSE)</f>
        <v>#REF!</v>
      </c>
      <c r="L228" s="3">
        <v>44652.770833332615</v>
      </c>
      <c r="M228" s="15"/>
    </row>
    <row r="229" spans="2:13">
      <c r="B229" s="7"/>
      <c r="C229" s="8" t="e">
        <f>VLOOKUP($B229,#REF!,5,FALSE)</f>
        <v>#REF!</v>
      </c>
      <c r="D229" s="8" t="e">
        <f>VLOOKUP($B229,#REF!,6,FALSE)</f>
        <v>#REF!</v>
      </c>
      <c r="E229" s="9" t="e">
        <f>VLOOKUP($B229,#REF!,17,FALSE)</f>
        <v>#REF!</v>
      </c>
      <c r="F229" s="10" t="e">
        <f>VLOOKUP($B229,#REF!,7,FALSE)</f>
        <v>#REF!</v>
      </c>
      <c r="G229" s="10"/>
      <c r="H229" s="10"/>
      <c r="I229" s="11" t="e">
        <f>VLOOKUP($B229,#REF!,19,FALSE)</f>
        <v>#REF!</v>
      </c>
      <c r="J229" s="11" t="e">
        <f>VLOOKUP($B229,#REF!,6,FALSE)</f>
        <v>#REF!</v>
      </c>
      <c r="L229" s="3">
        <v>44652.774305554834</v>
      </c>
      <c r="M229" s="15"/>
    </row>
    <row r="230" spans="2:13">
      <c r="B230" s="7"/>
      <c r="C230" s="8" t="e">
        <f>VLOOKUP($B230,#REF!,5,FALSE)</f>
        <v>#REF!</v>
      </c>
      <c r="D230" s="8" t="e">
        <f>VLOOKUP($B230,#REF!,6,FALSE)</f>
        <v>#REF!</v>
      </c>
      <c r="E230" s="9" t="e">
        <f>VLOOKUP($B230,#REF!,17,FALSE)</f>
        <v>#REF!</v>
      </c>
      <c r="F230" s="10" t="e">
        <f>VLOOKUP($B230,#REF!,7,FALSE)</f>
        <v>#REF!</v>
      </c>
      <c r="G230" s="10"/>
      <c r="H230" s="10"/>
      <c r="I230" s="11" t="e">
        <f>VLOOKUP($B230,#REF!,19,FALSE)</f>
        <v>#REF!</v>
      </c>
      <c r="J230" s="11" t="e">
        <f>VLOOKUP($B230,#REF!,6,FALSE)</f>
        <v>#REF!</v>
      </c>
      <c r="L230" s="3">
        <v>44652.777777777053</v>
      </c>
      <c r="M230" s="15"/>
    </row>
    <row r="231" spans="2:13">
      <c r="B231" s="7"/>
      <c r="C231" s="8" t="e">
        <f>VLOOKUP($B231,#REF!,5,FALSE)</f>
        <v>#REF!</v>
      </c>
      <c r="D231" s="8" t="e">
        <f>VLOOKUP($B231,#REF!,6,FALSE)</f>
        <v>#REF!</v>
      </c>
      <c r="E231" s="9" t="e">
        <f>VLOOKUP($B231,#REF!,17,FALSE)</f>
        <v>#REF!</v>
      </c>
      <c r="F231" s="10" t="e">
        <f>VLOOKUP($B231,#REF!,7,FALSE)</f>
        <v>#REF!</v>
      </c>
      <c r="G231" s="10"/>
      <c r="H231" s="10"/>
      <c r="I231" s="11" t="e">
        <f>VLOOKUP($B231,#REF!,19,FALSE)</f>
        <v>#REF!</v>
      </c>
      <c r="J231" s="11" t="e">
        <f>VLOOKUP($B231,#REF!,6,FALSE)</f>
        <v>#REF!</v>
      </c>
      <c r="L231" s="3">
        <v>44652.781249999272</v>
      </c>
      <c r="M231" s="15"/>
    </row>
    <row r="232" spans="2:13">
      <c r="B232" s="7"/>
      <c r="C232" s="8" t="e">
        <f>VLOOKUP($B232,#REF!,5,FALSE)</f>
        <v>#REF!</v>
      </c>
      <c r="D232" s="8" t="e">
        <f>VLOOKUP($B232,#REF!,6,FALSE)</f>
        <v>#REF!</v>
      </c>
      <c r="E232" s="9" t="e">
        <f>VLOOKUP($B232,#REF!,17,FALSE)</f>
        <v>#REF!</v>
      </c>
      <c r="F232" s="10" t="e">
        <f>VLOOKUP($B232,#REF!,7,FALSE)</f>
        <v>#REF!</v>
      </c>
      <c r="G232" s="10"/>
      <c r="H232" s="10"/>
      <c r="I232" s="11" t="e">
        <f>VLOOKUP($B232,#REF!,19,FALSE)</f>
        <v>#REF!</v>
      </c>
      <c r="J232" s="11" t="e">
        <f>VLOOKUP($B232,#REF!,6,FALSE)</f>
        <v>#REF!</v>
      </c>
      <c r="L232" s="3">
        <v>44652.784722221491</v>
      </c>
      <c r="M232" s="15"/>
    </row>
    <row r="233" spans="2:13">
      <c r="B233" s="7"/>
      <c r="C233" s="8" t="e">
        <f>VLOOKUP($B233,#REF!,5,FALSE)</f>
        <v>#REF!</v>
      </c>
      <c r="D233" s="8" t="e">
        <f>VLOOKUP($B233,#REF!,6,FALSE)</f>
        <v>#REF!</v>
      </c>
      <c r="E233" s="9" t="e">
        <f>VLOOKUP($B233,#REF!,17,FALSE)</f>
        <v>#REF!</v>
      </c>
      <c r="F233" s="10" t="e">
        <f>VLOOKUP($B233,#REF!,7,FALSE)</f>
        <v>#REF!</v>
      </c>
      <c r="G233" s="10"/>
      <c r="H233" s="10"/>
      <c r="I233" s="11" t="e">
        <f>VLOOKUP($B233,#REF!,19,FALSE)</f>
        <v>#REF!</v>
      </c>
      <c r="J233" s="11" t="e">
        <f>VLOOKUP($B233,#REF!,6,FALSE)</f>
        <v>#REF!</v>
      </c>
      <c r="L233" s="3">
        <v>44652.78819444371</v>
      </c>
      <c r="M233" s="15"/>
    </row>
    <row r="234" spans="2:13">
      <c r="B234" s="7"/>
      <c r="C234" s="8" t="e">
        <f>VLOOKUP($B234,#REF!,5,FALSE)</f>
        <v>#REF!</v>
      </c>
      <c r="D234" s="8" t="e">
        <f>VLOOKUP($B234,#REF!,6,FALSE)</f>
        <v>#REF!</v>
      </c>
      <c r="E234" s="9" t="e">
        <f>VLOOKUP($B234,#REF!,17,FALSE)</f>
        <v>#REF!</v>
      </c>
      <c r="F234" s="10" t="e">
        <f>VLOOKUP($B234,#REF!,7,FALSE)</f>
        <v>#REF!</v>
      </c>
      <c r="G234" s="10"/>
      <c r="H234" s="10"/>
      <c r="I234" s="11" t="e">
        <f>VLOOKUP($B234,#REF!,19,FALSE)</f>
        <v>#REF!</v>
      </c>
      <c r="J234" s="11" t="e">
        <f>VLOOKUP($B234,#REF!,6,FALSE)</f>
        <v>#REF!</v>
      </c>
      <c r="L234" s="3">
        <v>44652.791666665929</v>
      </c>
      <c r="M234" s="15"/>
    </row>
    <row r="235" spans="2:13">
      <c r="B235" s="7"/>
      <c r="C235" s="8" t="e">
        <f>VLOOKUP($B235,#REF!,5,FALSE)</f>
        <v>#REF!</v>
      </c>
      <c r="D235" s="8" t="e">
        <f>VLOOKUP($B235,#REF!,6,FALSE)</f>
        <v>#REF!</v>
      </c>
      <c r="E235" s="9" t="e">
        <f>VLOOKUP($B235,#REF!,17,FALSE)</f>
        <v>#REF!</v>
      </c>
      <c r="F235" s="10" t="e">
        <f>VLOOKUP($B235,#REF!,7,FALSE)</f>
        <v>#REF!</v>
      </c>
      <c r="G235" s="10"/>
      <c r="H235" s="10"/>
      <c r="I235" s="11" t="e">
        <f>VLOOKUP($B235,#REF!,19,FALSE)</f>
        <v>#REF!</v>
      </c>
      <c r="J235" s="11" t="e">
        <f>VLOOKUP($B235,#REF!,6,FALSE)</f>
        <v>#REF!</v>
      </c>
      <c r="L235" s="3">
        <v>44652.795138888148</v>
      </c>
      <c r="M235" s="15"/>
    </row>
    <row r="236" spans="2:13">
      <c r="B236" s="7"/>
      <c r="C236" s="8" t="e">
        <f>VLOOKUP($B236,#REF!,5,FALSE)</f>
        <v>#REF!</v>
      </c>
      <c r="D236" s="8" t="e">
        <f>VLOOKUP($B236,#REF!,6,FALSE)</f>
        <v>#REF!</v>
      </c>
      <c r="E236" s="9" t="e">
        <f>VLOOKUP($B236,#REF!,17,FALSE)</f>
        <v>#REF!</v>
      </c>
      <c r="F236" s="10" t="e">
        <f>VLOOKUP($B236,#REF!,7,FALSE)</f>
        <v>#REF!</v>
      </c>
      <c r="G236" s="10"/>
      <c r="H236" s="10"/>
      <c r="I236" s="11" t="e">
        <f>VLOOKUP($B236,#REF!,19,FALSE)</f>
        <v>#REF!</v>
      </c>
      <c r="J236" s="11" t="e">
        <f>VLOOKUP($B236,#REF!,6,FALSE)</f>
        <v>#REF!</v>
      </c>
      <c r="L236" s="3">
        <v>44652.798611110367</v>
      </c>
      <c r="M236" s="15"/>
    </row>
    <row r="237" spans="2:13">
      <c r="B237" s="7"/>
      <c r="C237" s="8" t="e">
        <f>VLOOKUP($B237,#REF!,5,FALSE)</f>
        <v>#REF!</v>
      </c>
      <c r="D237" s="8" t="e">
        <f>VLOOKUP($B237,#REF!,6,FALSE)</f>
        <v>#REF!</v>
      </c>
      <c r="E237" s="9" t="e">
        <f>VLOOKUP($B237,#REF!,17,FALSE)</f>
        <v>#REF!</v>
      </c>
      <c r="F237" s="10" t="e">
        <f>VLOOKUP($B237,#REF!,7,FALSE)</f>
        <v>#REF!</v>
      </c>
      <c r="G237" s="10"/>
      <c r="H237" s="10"/>
      <c r="I237" s="11" t="e">
        <f>VLOOKUP($B237,#REF!,19,FALSE)</f>
        <v>#REF!</v>
      </c>
      <c r="J237" s="11" t="e">
        <f>VLOOKUP($B237,#REF!,6,FALSE)</f>
        <v>#REF!</v>
      </c>
      <c r="L237" s="3">
        <v>44652.802083332586</v>
      </c>
      <c r="M237" s="15"/>
    </row>
    <row r="238" spans="2:13">
      <c r="B238" s="7"/>
      <c r="C238" s="8" t="e">
        <f>VLOOKUP($B238,#REF!,5,FALSE)</f>
        <v>#REF!</v>
      </c>
      <c r="D238" s="8" t="e">
        <f>VLOOKUP($B238,#REF!,6,FALSE)</f>
        <v>#REF!</v>
      </c>
      <c r="E238" s="9" t="e">
        <f>VLOOKUP($B238,#REF!,17,FALSE)</f>
        <v>#REF!</v>
      </c>
      <c r="F238" s="10" t="e">
        <f>VLOOKUP($B238,#REF!,7,FALSE)</f>
        <v>#REF!</v>
      </c>
      <c r="G238" s="10"/>
      <c r="H238" s="10"/>
      <c r="I238" s="11" t="e">
        <f>VLOOKUP($B238,#REF!,19,FALSE)</f>
        <v>#REF!</v>
      </c>
      <c r="J238" s="11" t="e">
        <f>VLOOKUP($B238,#REF!,6,FALSE)</f>
        <v>#REF!</v>
      </c>
      <c r="L238" s="3">
        <v>44652.805555554805</v>
      </c>
      <c r="M238" s="15"/>
    </row>
    <row r="239" spans="2:13">
      <c r="B239" s="7"/>
      <c r="C239" s="8" t="e">
        <f>VLOOKUP($B239,#REF!,5,FALSE)</f>
        <v>#REF!</v>
      </c>
      <c r="D239" s="8" t="e">
        <f>VLOOKUP($B239,#REF!,6,FALSE)</f>
        <v>#REF!</v>
      </c>
      <c r="E239" s="9" t="e">
        <f>VLOOKUP($B239,#REF!,17,FALSE)</f>
        <v>#REF!</v>
      </c>
      <c r="F239" s="10" t="e">
        <f>VLOOKUP($B239,#REF!,7,FALSE)</f>
        <v>#REF!</v>
      </c>
      <c r="G239" s="10"/>
      <c r="H239" s="10"/>
      <c r="I239" s="11" t="e">
        <f>VLOOKUP($B239,#REF!,19,FALSE)</f>
        <v>#REF!</v>
      </c>
      <c r="J239" s="11" t="e">
        <f>VLOOKUP($B239,#REF!,6,FALSE)</f>
        <v>#REF!</v>
      </c>
      <c r="L239" s="3">
        <v>44652.809027777024</v>
      </c>
      <c r="M239" s="15"/>
    </row>
    <row r="240" spans="2:13">
      <c r="B240" s="7"/>
      <c r="C240" s="8" t="e">
        <f>VLOOKUP($B240,#REF!,5,FALSE)</f>
        <v>#REF!</v>
      </c>
      <c r="D240" s="8" t="e">
        <f>VLOOKUP($B240,#REF!,6,FALSE)</f>
        <v>#REF!</v>
      </c>
      <c r="E240" s="9" t="e">
        <f>VLOOKUP($B240,#REF!,17,FALSE)</f>
        <v>#REF!</v>
      </c>
      <c r="F240" s="10" t="e">
        <f>VLOOKUP($B240,#REF!,7,FALSE)</f>
        <v>#REF!</v>
      </c>
      <c r="G240" s="10"/>
      <c r="H240" s="10"/>
      <c r="I240" s="11" t="e">
        <f>VLOOKUP($B240,#REF!,19,FALSE)</f>
        <v>#REF!</v>
      </c>
      <c r="J240" s="11" t="e">
        <f>VLOOKUP($B240,#REF!,6,FALSE)</f>
        <v>#REF!</v>
      </c>
      <c r="L240" s="3">
        <v>44652.812499999243</v>
      </c>
      <c r="M240" s="15"/>
    </row>
    <row r="241" spans="2:13">
      <c r="B241" s="7"/>
      <c r="C241" s="8" t="e">
        <f>VLOOKUP($B241,#REF!,5,FALSE)</f>
        <v>#REF!</v>
      </c>
      <c r="D241" s="8" t="e">
        <f>VLOOKUP($B241,#REF!,6,FALSE)</f>
        <v>#REF!</v>
      </c>
      <c r="E241" s="9" t="e">
        <f>VLOOKUP($B241,#REF!,17,FALSE)</f>
        <v>#REF!</v>
      </c>
      <c r="F241" s="10" t="e">
        <f>VLOOKUP($B241,#REF!,7,FALSE)</f>
        <v>#REF!</v>
      </c>
      <c r="G241" s="10"/>
      <c r="H241" s="10"/>
      <c r="I241" s="11" t="e">
        <f>VLOOKUP($B241,#REF!,19,FALSE)</f>
        <v>#REF!</v>
      </c>
      <c r="J241" s="11" t="e">
        <f>VLOOKUP($B241,#REF!,6,FALSE)</f>
        <v>#REF!</v>
      </c>
      <c r="L241" s="3">
        <v>44652.815972221462</v>
      </c>
      <c r="M241" s="15"/>
    </row>
    <row r="242" spans="2:13">
      <c r="B242" s="7"/>
      <c r="C242" s="8" t="e">
        <f>VLOOKUP($B242,#REF!,5,FALSE)</f>
        <v>#REF!</v>
      </c>
      <c r="D242" s="8" t="e">
        <f>VLOOKUP($B242,#REF!,6,FALSE)</f>
        <v>#REF!</v>
      </c>
      <c r="E242" s="9" t="e">
        <f>VLOOKUP($B242,#REF!,17,FALSE)</f>
        <v>#REF!</v>
      </c>
      <c r="F242" s="10" t="e">
        <f>VLOOKUP($B242,#REF!,7,FALSE)</f>
        <v>#REF!</v>
      </c>
      <c r="G242" s="10"/>
      <c r="H242" s="10"/>
      <c r="I242" s="11" t="e">
        <f>VLOOKUP($B242,#REF!,19,FALSE)</f>
        <v>#REF!</v>
      </c>
      <c r="J242" s="11" t="e">
        <f>VLOOKUP($B242,#REF!,6,FALSE)</f>
        <v>#REF!</v>
      </c>
      <c r="L242" s="3">
        <v>44652.819444443681</v>
      </c>
      <c r="M242" s="15"/>
    </row>
    <row r="243" spans="2:13">
      <c r="B243" s="7"/>
      <c r="C243" s="8" t="e">
        <f>VLOOKUP($B243,#REF!,5,FALSE)</f>
        <v>#REF!</v>
      </c>
      <c r="D243" s="8" t="e">
        <f>VLOOKUP($B243,#REF!,6,FALSE)</f>
        <v>#REF!</v>
      </c>
      <c r="E243" s="9" t="e">
        <f>VLOOKUP($B243,#REF!,17,FALSE)</f>
        <v>#REF!</v>
      </c>
      <c r="F243" s="10" t="e">
        <f>VLOOKUP($B243,#REF!,7,FALSE)</f>
        <v>#REF!</v>
      </c>
      <c r="G243" s="10"/>
      <c r="H243" s="10"/>
      <c r="I243" s="11" t="e">
        <f>VLOOKUP($B243,#REF!,19,FALSE)</f>
        <v>#REF!</v>
      </c>
      <c r="J243" s="11" t="e">
        <f>VLOOKUP($B243,#REF!,6,FALSE)</f>
        <v>#REF!</v>
      </c>
      <c r="L243" s="3">
        <v>44652.8229166659</v>
      </c>
      <c r="M243" s="15"/>
    </row>
    <row r="244" spans="2:13">
      <c r="B244" s="7"/>
      <c r="C244" s="8" t="e">
        <f>VLOOKUP($B244,#REF!,5,FALSE)</f>
        <v>#REF!</v>
      </c>
      <c r="D244" s="8" t="e">
        <f>VLOOKUP($B244,#REF!,6,FALSE)</f>
        <v>#REF!</v>
      </c>
      <c r="E244" s="9" t="e">
        <f>VLOOKUP($B244,#REF!,17,FALSE)</f>
        <v>#REF!</v>
      </c>
      <c r="F244" s="10" t="e">
        <f>VLOOKUP($B244,#REF!,7,FALSE)</f>
        <v>#REF!</v>
      </c>
      <c r="G244" s="10"/>
      <c r="H244" s="10"/>
      <c r="I244" s="11" t="e">
        <f>VLOOKUP($B244,#REF!,19,FALSE)</f>
        <v>#REF!</v>
      </c>
      <c r="J244" s="11" t="e">
        <f>VLOOKUP($B244,#REF!,6,FALSE)</f>
        <v>#REF!</v>
      </c>
      <c r="L244" s="3">
        <v>44652.826388888119</v>
      </c>
      <c r="M244" s="15"/>
    </row>
    <row r="245" spans="2:13">
      <c r="B245" s="7"/>
      <c r="C245" s="8" t="e">
        <f>VLOOKUP($B245,#REF!,5,FALSE)</f>
        <v>#REF!</v>
      </c>
      <c r="D245" s="8" t="e">
        <f>VLOOKUP($B245,#REF!,6,FALSE)</f>
        <v>#REF!</v>
      </c>
      <c r="E245" s="9" t="e">
        <f>VLOOKUP($B245,#REF!,17,FALSE)</f>
        <v>#REF!</v>
      </c>
      <c r="F245" s="10" t="e">
        <f>VLOOKUP($B245,#REF!,7,FALSE)</f>
        <v>#REF!</v>
      </c>
      <c r="G245" s="10"/>
      <c r="H245" s="10"/>
      <c r="I245" s="11" t="e">
        <f>VLOOKUP($B245,#REF!,19,FALSE)</f>
        <v>#REF!</v>
      </c>
      <c r="J245" s="11" t="e">
        <f>VLOOKUP($B245,#REF!,6,FALSE)</f>
        <v>#REF!</v>
      </c>
      <c r="L245" s="3">
        <v>44652.829861110338</v>
      </c>
      <c r="M245" s="15"/>
    </row>
    <row r="246" spans="2:13">
      <c r="B246" s="7"/>
      <c r="C246" s="8" t="e">
        <f>VLOOKUP($B246,#REF!,5,FALSE)</f>
        <v>#REF!</v>
      </c>
      <c r="D246" s="8" t="e">
        <f>VLOOKUP($B246,#REF!,6,FALSE)</f>
        <v>#REF!</v>
      </c>
      <c r="E246" s="9" t="e">
        <f>VLOOKUP($B246,#REF!,17,FALSE)</f>
        <v>#REF!</v>
      </c>
      <c r="F246" s="10" t="e">
        <f>VLOOKUP($B246,#REF!,7,FALSE)</f>
        <v>#REF!</v>
      </c>
      <c r="G246" s="10"/>
      <c r="H246" s="10"/>
      <c r="I246" s="11" t="e">
        <f>VLOOKUP($B246,#REF!,19,FALSE)</f>
        <v>#REF!</v>
      </c>
      <c r="J246" s="11" t="e">
        <f>VLOOKUP($B246,#REF!,6,FALSE)</f>
        <v>#REF!</v>
      </c>
      <c r="L246" s="3">
        <v>44652.833333332557</v>
      </c>
      <c r="M246" s="15"/>
    </row>
    <row r="247" spans="2:13">
      <c r="B247" s="7"/>
      <c r="C247" s="8" t="e">
        <f>VLOOKUP($B247,#REF!,5,FALSE)</f>
        <v>#REF!</v>
      </c>
      <c r="D247" s="8" t="e">
        <f>VLOOKUP($B247,#REF!,6,FALSE)</f>
        <v>#REF!</v>
      </c>
      <c r="E247" s="9" t="e">
        <f>VLOOKUP($B247,#REF!,17,FALSE)</f>
        <v>#REF!</v>
      </c>
      <c r="F247" s="10" t="e">
        <f>VLOOKUP($B247,#REF!,7,FALSE)</f>
        <v>#REF!</v>
      </c>
      <c r="G247" s="10"/>
      <c r="H247" s="10"/>
      <c r="I247" s="11" t="e">
        <f>VLOOKUP($B247,#REF!,19,FALSE)</f>
        <v>#REF!</v>
      </c>
      <c r="J247" s="11" t="e">
        <f>VLOOKUP($B247,#REF!,6,FALSE)</f>
        <v>#REF!</v>
      </c>
      <c r="L247" s="3">
        <v>44652.836805554776</v>
      </c>
      <c r="M247" s="15"/>
    </row>
    <row r="248" spans="2:13">
      <c r="B248" s="7"/>
      <c r="C248" s="8" t="e">
        <f>VLOOKUP($B248,#REF!,5,FALSE)</f>
        <v>#REF!</v>
      </c>
      <c r="D248" s="8" t="e">
        <f>VLOOKUP($B248,#REF!,6,FALSE)</f>
        <v>#REF!</v>
      </c>
      <c r="E248" s="9" t="e">
        <f>VLOOKUP($B248,#REF!,17,FALSE)</f>
        <v>#REF!</v>
      </c>
      <c r="F248" s="10" t="e">
        <f>VLOOKUP($B248,#REF!,7,FALSE)</f>
        <v>#REF!</v>
      </c>
      <c r="G248" s="10"/>
      <c r="H248" s="10"/>
      <c r="I248" s="11" t="e">
        <f>VLOOKUP($B248,#REF!,19,FALSE)</f>
        <v>#REF!</v>
      </c>
      <c r="J248" s="11" t="e">
        <f>VLOOKUP($B248,#REF!,6,FALSE)</f>
        <v>#REF!</v>
      </c>
      <c r="L248" s="3">
        <v>44652.840277776995</v>
      </c>
      <c r="M248" s="15"/>
    </row>
    <row r="249" spans="2:13">
      <c r="B249" s="7"/>
      <c r="C249" s="8" t="e">
        <f>VLOOKUP($B249,#REF!,5,FALSE)</f>
        <v>#REF!</v>
      </c>
      <c r="D249" s="8" t="e">
        <f>VLOOKUP($B249,#REF!,6,FALSE)</f>
        <v>#REF!</v>
      </c>
      <c r="E249" s="9" t="e">
        <f>VLOOKUP($B249,#REF!,17,FALSE)</f>
        <v>#REF!</v>
      </c>
      <c r="F249" s="10" t="e">
        <f>VLOOKUP($B249,#REF!,7,FALSE)</f>
        <v>#REF!</v>
      </c>
      <c r="G249" s="10"/>
      <c r="H249" s="10"/>
      <c r="I249" s="11" t="e">
        <f>VLOOKUP($B249,#REF!,19,FALSE)</f>
        <v>#REF!</v>
      </c>
      <c r="J249" s="11" t="e">
        <f>VLOOKUP($B249,#REF!,6,FALSE)</f>
        <v>#REF!</v>
      </c>
      <c r="L249" s="3">
        <v>44652.843749999214</v>
      </c>
      <c r="M249" s="15"/>
    </row>
    <row r="250" spans="2:13">
      <c r="B250" s="7"/>
      <c r="C250" s="8" t="e">
        <f>VLOOKUP($B250,#REF!,5,FALSE)</f>
        <v>#REF!</v>
      </c>
      <c r="D250" s="8" t="e">
        <f>VLOOKUP($B250,#REF!,6,FALSE)</f>
        <v>#REF!</v>
      </c>
      <c r="E250" s="9" t="e">
        <f>VLOOKUP($B250,#REF!,17,FALSE)</f>
        <v>#REF!</v>
      </c>
      <c r="F250" s="10" t="e">
        <f>VLOOKUP($B250,#REF!,7,FALSE)</f>
        <v>#REF!</v>
      </c>
      <c r="G250" s="10"/>
      <c r="H250" s="10"/>
      <c r="I250" s="11" t="e">
        <f>VLOOKUP($B250,#REF!,19,FALSE)</f>
        <v>#REF!</v>
      </c>
      <c r="J250" s="11" t="e">
        <f>VLOOKUP($B250,#REF!,6,FALSE)</f>
        <v>#REF!</v>
      </c>
      <c r="L250" s="3">
        <v>44652.847222221433</v>
      </c>
      <c r="M250" s="15"/>
    </row>
    <row r="251" spans="2:13">
      <c r="B251" s="7"/>
      <c r="C251" s="8" t="e">
        <f>VLOOKUP($B251,#REF!,5,FALSE)</f>
        <v>#REF!</v>
      </c>
      <c r="D251" s="8" t="e">
        <f>VLOOKUP($B251,#REF!,6,FALSE)</f>
        <v>#REF!</v>
      </c>
      <c r="E251" s="9" t="e">
        <f>VLOOKUP($B251,#REF!,17,FALSE)</f>
        <v>#REF!</v>
      </c>
      <c r="F251" s="10" t="e">
        <f>VLOOKUP($B251,#REF!,7,FALSE)</f>
        <v>#REF!</v>
      </c>
      <c r="G251" s="10"/>
      <c r="H251" s="10"/>
      <c r="I251" s="11" t="e">
        <f>VLOOKUP($B251,#REF!,19,FALSE)</f>
        <v>#REF!</v>
      </c>
      <c r="J251" s="11" t="e">
        <f>VLOOKUP($B251,#REF!,6,FALSE)</f>
        <v>#REF!</v>
      </c>
      <c r="L251" s="3">
        <v>44652.850694443652</v>
      </c>
      <c r="M251" s="15"/>
    </row>
    <row r="252" spans="2:13">
      <c r="B252" s="7"/>
      <c r="C252" s="8" t="e">
        <f>VLOOKUP($B252,#REF!,5,FALSE)</f>
        <v>#REF!</v>
      </c>
      <c r="D252" s="8" t="e">
        <f>VLOOKUP($B252,#REF!,6,FALSE)</f>
        <v>#REF!</v>
      </c>
      <c r="E252" s="9" t="e">
        <f>VLOOKUP($B252,#REF!,17,FALSE)</f>
        <v>#REF!</v>
      </c>
      <c r="F252" s="10" t="e">
        <f>VLOOKUP($B252,#REF!,7,FALSE)</f>
        <v>#REF!</v>
      </c>
      <c r="G252" s="10"/>
      <c r="H252" s="10"/>
      <c r="I252" s="11" t="e">
        <f>VLOOKUP($B252,#REF!,19,FALSE)</f>
        <v>#REF!</v>
      </c>
      <c r="J252" s="11" t="e">
        <f>VLOOKUP($B252,#REF!,6,FALSE)</f>
        <v>#REF!</v>
      </c>
      <c r="L252" s="3">
        <v>44652.854166665871</v>
      </c>
      <c r="M252" s="15"/>
    </row>
    <row r="253" spans="2:13">
      <c r="B253" s="7"/>
      <c r="C253" s="8" t="e">
        <f>VLOOKUP($B253,#REF!,5,FALSE)</f>
        <v>#REF!</v>
      </c>
      <c r="D253" s="8" t="e">
        <f>VLOOKUP($B253,#REF!,6,FALSE)</f>
        <v>#REF!</v>
      </c>
      <c r="E253" s="9" t="e">
        <f>VLOOKUP($B253,#REF!,17,FALSE)</f>
        <v>#REF!</v>
      </c>
      <c r="F253" s="10" t="e">
        <f>VLOOKUP($B253,#REF!,7,FALSE)</f>
        <v>#REF!</v>
      </c>
      <c r="G253" s="10"/>
      <c r="H253" s="10"/>
      <c r="I253" s="11" t="e">
        <f>VLOOKUP($B253,#REF!,19,FALSE)</f>
        <v>#REF!</v>
      </c>
      <c r="J253" s="11" t="e">
        <f>VLOOKUP($B253,#REF!,6,FALSE)</f>
        <v>#REF!</v>
      </c>
      <c r="L253" s="3">
        <v>44652.85763888809</v>
      </c>
      <c r="M253" s="15"/>
    </row>
    <row r="254" spans="2:13">
      <c r="B254" s="7"/>
      <c r="C254" s="8" t="e">
        <f>VLOOKUP($B254,#REF!,5,FALSE)</f>
        <v>#REF!</v>
      </c>
      <c r="D254" s="8" t="e">
        <f>VLOOKUP($B254,#REF!,6,FALSE)</f>
        <v>#REF!</v>
      </c>
      <c r="E254" s="9" t="e">
        <f>VLOOKUP($B254,#REF!,17,FALSE)</f>
        <v>#REF!</v>
      </c>
      <c r="F254" s="10" t="e">
        <f>VLOOKUP($B254,#REF!,7,FALSE)</f>
        <v>#REF!</v>
      </c>
      <c r="G254" s="10"/>
      <c r="H254" s="10"/>
      <c r="I254" s="11" t="e">
        <f>VLOOKUP($B254,#REF!,19,FALSE)</f>
        <v>#REF!</v>
      </c>
      <c r="J254" s="11" t="e">
        <f>VLOOKUP($B254,#REF!,6,FALSE)</f>
        <v>#REF!</v>
      </c>
      <c r="L254" s="3">
        <v>44652.861111110309</v>
      </c>
      <c r="M254" s="15"/>
    </row>
    <row r="255" spans="2:13">
      <c r="B255" s="7"/>
      <c r="C255" s="8" t="e">
        <f>VLOOKUP($B255,#REF!,5,FALSE)</f>
        <v>#REF!</v>
      </c>
      <c r="D255" s="8" t="e">
        <f>VLOOKUP($B255,#REF!,6,FALSE)</f>
        <v>#REF!</v>
      </c>
      <c r="E255" s="9" t="e">
        <f>VLOOKUP($B255,#REF!,17,FALSE)</f>
        <v>#REF!</v>
      </c>
      <c r="F255" s="10" t="e">
        <f>VLOOKUP($B255,#REF!,7,FALSE)</f>
        <v>#REF!</v>
      </c>
      <c r="G255" s="10"/>
      <c r="H255" s="10"/>
      <c r="I255" s="11" t="e">
        <f>VLOOKUP($B255,#REF!,19,FALSE)</f>
        <v>#REF!</v>
      </c>
      <c r="J255" s="11" t="e">
        <f>VLOOKUP($B255,#REF!,6,FALSE)</f>
        <v>#REF!</v>
      </c>
      <c r="L255" s="3">
        <v>44652.864583332528</v>
      </c>
      <c r="M255" s="15"/>
    </row>
    <row r="256" spans="2:13">
      <c r="B256" s="7"/>
      <c r="C256" s="8" t="e">
        <f>VLOOKUP($B256,#REF!,5,FALSE)</f>
        <v>#REF!</v>
      </c>
      <c r="D256" s="8" t="e">
        <f>VLOOKUP($B256,#REF!,6,FALSE)</f>
        <v>#REF!</v>
      </c>
      <c r="E256" s="9" t="e">
        <f>VLOOKUP($B256,#REF!,17,FALSE)</f>
        <v>#REF!</v>
      </c>
      <c r="F256" s="10" t="e">
        <f>VLOOKUP($B256,#REF!,7,FALSE)</f>
        <v>#REF!</v>
      </c>
      <c r="G256" s="10"/>
      <c r="H256" s="10"/>
      <c r="I256" s="11" t="e">
        <f>VLOOKUP($B256,#REF!,19,FALSE)</f>
        <v>#REF!</v>
      </c>
      <c r="J256" s="11" t="e">
        <f>VLOOKUP($B256,#REF!,6,FALSE)</f>
        <v>#REF!</v>
      </c>
      <c r="L256" s="3">
        <v>44652.868055554747</v>
      </c>
      <c r="M256" s="15"/>
    </row>
    <row r="257" spans="2:13">
      <c r="B257" s="7"/>
      <c r="C257" s="8" t="e">
        <f>VLOOKUP($B257,#REF!,5,FALSE)</f>
        <v>#REF!</v>
      </c>
      <c r="D257" s="8" t="e">
        <f>VLOOKUP($B257,#REF!,6,FALSE)</f>
        <v>#REF!</v>
      </c>
      <c r="E257" s="9" t="e">
        <f>VLOOKUP($B257,#REF!,17,FALSE)</f>
        <v>#REF!</v>
      </c>
      <c r="F257" s="10" t="e">
        <f>VLOOKUP($B257,#REF!,7,FALSE)</f>
        <v>#REF!</v>
      </c>
      <c r="G257" s="10"/>
      <c r="H257" s="10"/>
      <c r="I257" s="11" t="e">
        <f>VLOOKUP($B257,#REF!,19,FALSE)</f>
        <v>#REF!</v>
      </c>
      <c r="J257" s="11" t="e">
        <f>VLOOKUP($B257,#REF!,6,FALSE)</f>
        <v>#REF!</v>
      </c>
      <c r="L257" s="3">
        <v>44652.871527776966</v>
      </c>
      <c r="M257" s="15"/>
    </row>
    <row r="258" spans="2:13">
      <c r="B258" s="7"/>
      <c r="C258" s="8" t="e">
        <f>VLOOKUP($B258,#REF!,5,FALSE)</f>
        <v>#REF!</v>
      </c>
      <c r="D258" s="8" t="e">
        <f>VLOOKUP($B258,#REF!,6,FALSE)</f>
        <v>#REF!</v>
      </c>
      <c r="E258" s="9" t="e">
        <f>VLOOKUP($B258,#REF!,17,FALSE)</f>
        <v>#REF!</v>
      </c>
      <c r="F258" s="10" t="e">
        <f>VLOOKUP($B258,#REF!,7,FALSE)</f>
        <v>#REF!</v>
      </c>
      <c r="G258" s="10"/>
      <c r="H258" s="10"/>
      <c r="I258" s="11" t="e">
        <f>VLOOKUP($B258,#REF!,19,FALSE)</f>
        <v>#REF!</v>
      </c>
      <c r="J258" s="11" t="e">
        <f>VLOOKUP($B258,#REF!,6,FALSE)</f>
        <v>#REF!</v>
      </c>
      <c r="L258" s="3">
        <v>44652.874999999185</v>
      </c>
      <c r="M258" s="15"/>
    </row>
    <row r="259" spans="2:13">
      <c r="B259" s="7"/>
      <c r="C259" s="8" t="e">
        <f>VLOOKUP($B259,#REF!,5,FALSE)</f>
        <v>#REF!</v>
      </c>
      <c r="D259" s="8" t="e">
        <f>VLOOKUP($B259,#REF!,6,FALSE)</f>
        <v>#REF!</v>
      </c>
      <c r="E259" s="9" t="e">
        <f>VLOOKUP($B259,#REF!,17,FALSE)</f>
        <v>#REF!</v>
      </c>
      <c r="F259" s="10" t="e">
        <f>VLOOKUP($B259,#REF!,7,FALSE)</f>
        <v>#REF!</v>
      </c>
      <c r="G259" s="10"/>
      <c r="H259" s="10"/>
      <c r="I259" s="11" t="e">
        <f>VLOOKUP($B259,#REF!,19,FALSE)</f>
        <v>#REF!</v>
      </c>
      <c r="J259" s="11" t="e">
        <f>VLOOKUP($B259,#REF!,6,FALSE)</f>
        <v>#REF!</v>
      </c>
      <c r="L259" s="3">
        <v>44652.878472221404</v>
      </c>
      <c r="M259" s="15"/>
    </row>
    <row r="260" spans="2:13">
      <c r="B260" s="7"/>
      <c r="C260" s="8" t="e">
        <f>VLOOKUP($B260,#REF!,5,FALSE)</f>
        <v>#REF!</v>
      </c>
      <c r="D260" s="8" t="e">
        <f>VLOOKUP($B260,#REF!,6,FALSE)</f>
        <v>#REF!</v>
      </c>
      <c r="E260" s="9" t="e">
        <f>VLOOKUP($B260,#REF!,17,FALSE)</f>
        <v>#REF!</v>
      </c>
      <c r="F260" s="10" t="e">
        <f>VLOOKUP($B260,#REF!,7,FALSE)</f>
        <v>#REF!</v>
      </c>
      <c r="G260" s="10"/>
      <c r="H260" s="10"/>
      <c r="I260" s="11" t="e">
        <f>VLOOKUP($B260,#REF!,19,FALSE)</f>
        <v>#REF!</v>
      </c>
      <c r="J260" s="11" t="e">
        <f>VLOOKUP($B260,#REF!,6,FALSE)</f>
        <v>#REF!</v>
      </c>
      <c r="L260" s="3">
        <v>44652.881944443623</v>
      </c>
      <c r="M260" s="15"/>
    </row>
    <row r="261" spans="2:13">
      <c r="B261" s="7"/>
      <c r="C261" s="8" t="e">
        <f>VLOOKUP($B261,#REF!,5,FALSE)</f>
        <v>#REF!</v>
      </c>
      <c r="D261" s="8" t="e">
        <f>VLOOKUP($B261,#REF!,6,FALSE)</f>
        <v>#REF!</v>
      </c>
      <c r="E261" s="9" t="e">
        <f>VLOOKUP($B261,#REF!,17,FALSE)</f>
        <v>#REF!</v>
      </c>
      <c r="F261" s="10" t="e">
        <f>VLOOKUP($B261,#REF!,7,FALSE)</f>
        <v>#REF!</v>
      </c>
      <c r="G261" s="10"/>
      <c r="H261" s="10"/>
      <c r="I261" s="11" t="e">
        <f>VLOOKUP($B261,#REF!,19,FALSE)</f>
        <v>#REF!</v>
      </c>
      <c r="J261" s="11" t="e">
        <f>VLOOKUP($B261,#REF!,6,FALSE)</f>
        <v>#REF!</v>
      </c>
      <c r="L261" s="3">
        <v>44652.885416665842</v>
      </c>
      <c r="M261" s="15"/>
    </row>
    <row r="262" spans="2:13">
      <c r="B262" s="7"/>
      <c r="C262" s="8" t="e">
        <f>VLOOKUP($B262,#REF!,5,FALSE)</f>
        <v>#REF!</v>
      </c>
      <c r="D262" s="8" t="e">
        <f>VLOOKUP($B262,#REF!,6,FALSE)</f>
        <v>#REF!</v>
      </c>
      <c r="E262" s="9" t="e">
        <f>VLOOKUP($B262,#REF!,17,FALSE)</f>
        <v>#REF!</v>
      </c>
      <c r="F262" s="10" t="e">
        <f>VLOOKUP($B262,#REF!,7,FALSE)</f>
        <v>#REF!</v>
      </c>
      <c r="G262" s="10"/>
      <c r="H262" s="10"/>
      <c r="I262" s="11" t="e">
        <f>VLOOKUP($B262,#REF!,19,FALSE)</f>
        <v>#REF!</v>
      </c>
      <c r="J262" s="11" t="e">
        <f>VLOOKUP($B262,#REF!,6,FALSE)</f>
        <v>#REF!</v>
      </c>
      <c r="L262" s="3">
        <v>44652.888888888061</v>
      </c>
      <c r="M262" s="15"/>
    </row>
    <row r="263" spans="2:13">
      <c r="B263" s="7"/>
      <c r="C263" s="8" t="e">
        <f>VLOOKUP($B263,#REF!,5,FALSE)</f>
        <v>#REF!</v>
      </c>
      <c r="D263" s="8" t="e">
        <f>VLOOKUP($B263,#REF!,6,FALSE)</f>
        <v>#REF!</v>
      </c>
      <c r="E263" s="9" t="e">
        <f>VLOOKUP($B263,#REF!,17,FALSE)</f>
        <v>#REF!</v>
      </c>
      <c r="F263" s="10" t="e">
        <f>VLOOKUP($B263,#REF!,7,FALSE)</f>
        <v>#REF!</v>
      </c>
      <c r="G263" s="10"/>
      <c r="H263" s="10"/>
      <c r="I263" s="11" t="e">
        <f>VLOOKUP($B263,#REF!,19,FALSE)</f>
        <v>#REF!</v>
      </c>
      <c r="J263" s="11" t="e">
        <f>VLOOKUP($B263,#REF!,6,FALSE)</f>
        <v>#REF!</v>
      </c>
      <c r="L263" s="3">
        <v>44652.89236111028</v>
      </c>
      <c r="M263" s="15"/>
    </row>
    <row r="264" spans="2:13">
      <c r="B264" s="7"/>
      <c r="C264" s="8" t="e">
        <f>VLOOKUP($B264,#REF!,5,FALSE)</f>
        <v>#REF!</v>
      </c>
      <c r="D264" s="8" t="e">
        <f>VLOOKUP($B264,#REF!,6,FALSE)</f>
        <v>#REF!</v>
      </c>
      <c r="E264" s="9" t="e">
        <f>VLOOKUP($B264,#REF!,17,FALSE)</f>
        <v>#REF!</v>
      </c>
      <c r="F264" s="10" t="e">
        <f>VLOOKUP($B264,#REF!,7,FALSE)</f>
        <v>#REF!</v>
      </c>
      <c r="G264" s="10"/>
      <c r="H264" s="10"/>
      <c r="I264" s="11" t="e">
        <f>VLOOKUP($B264,#REF!,19,FALSE)</f>
        <v>#REF!</v>
      </c>
      <c r="J264" s="11" t="e">
        <f>VLOOKUP($B264,#REF!,6,FALSE)</f>
        <v>#REF!</v>
      </c>
      <c r="L264" s="3">
        <v>44652.895833332499</v>
      </c>
      <c r="M264" s="15"/>
    </row>
    <row r="265" spans="2:13">
      <c r="B265" s="7"/>
      <c r="C265" s="8" t="e">
        <f>VLOOKUP($B265,#REF!,5,FALSE)</f>
        <v>#REF!</v>
      </c>
      <c r="D265" s="8" t="e">
        <f>VLOOKUP($B265,#REF!,6,FALSE)</f>
        <v>#REF!</v>
      </c>
      <c r="E265" s="9" t="e">
        <f>VLOOKUP($B265,#REF!,17,FALSE)</f>
        <v>#REF!</v>
      </c>
      <c r="F265" s="10" t="e">
        <f>VLOOKUP($B265,#REF!,7,FALSE)</f>
        <v>#REF!</v>
      </c>
      <c r="G265" s="10"/>
      <c r="H265" s="10"/>
      <c r="I265" s="11" t="e">
        <f>VLOOKUP($B265,#REF!,19,FALSE)</f>
        <v>#REF!</v>
      </c>
      <c r="J265" s="11" t="e">
        <f>VLOOKUP($B265,#REF!,6,FALSE)</f>
        <v>#REF!</v>
      </c>
      <c r="L265" s="3">
        <v>44652.899305554718</v>
      </c>
      <c r="M265" s="15"/>
    </row>
    <row r="266" spans="2:13">
      <c r="B266" s="7"/>
      <c r="C266" s="8" t="e">
        <f>VLOOKUP($B266,#REF!,5,FALSE)</f>
        <v>#REF!</v>
      </c>
      <c r="D266" s="8" t="e">
        <f>VLOOKUP($B266,#REF!,6,FALSE)</f>
        <v>#REF!</v>
      </c>
      <c r="E266" s="9" t="e">
        <f>VLOOKUP($B266,#REF!,17,FALSE)</f>
        <v>#REF!</v>
      </c>
      <c r="F266" s="10" t="e">
        <f>VLOOKUP($B266,#REF!,7,FALSE)</f>
        <v>#REF!</v>
      </c>
      <c r="G266" s="10"/>
      <c r="H266" s="10"/>
      <c r="I266" s="11" t="e">
        <f>VLOOKUP($B266,#REF!,19,FALSE)</f>
        <v>#REF!</v>
      </c>
      <c r="J266" s="11" t="e">
        <f>VLOOKUP($B266,#REF!,6,FALSE)</f>
        <v>#REF!</v>
      </c>
      <c r="L266" s="3">
        <v>44652.902777776937</v>
      </c>
      <c r="M266" s="15"/>
    </row>
    <row r="267" spans="2:13">
      <c r="B267" s="7"/>
      <c r="C267" s="8" t="e">
        <f>VLOOKUP($B267,#REF!,5,FALSE)</f>
        <v>#REF!</v>
      </c>
      <c r="D267" s="8" t="e">
        <f>VLOOKUP($B267,#REF!,6,FALSE)</f>
        <v>#REF!</v>
      </c>
      <c r="E267" s="9" t="e">
        <f>VLOOKUP($B267,#REF!,17,FALSE)</f>
        <v>#REF!</v>
      </c>
      <c r="F267" s="10" t="e">
        <f>VLOOKUP($B267,#REF!,7,FALSE)</f>
        <v>#REF!</v>
      </c>
      <c r="G267" s="10"/>
      <c r="H267" s="10"/>
      <c r="I267" s="11" t="e">
        <f>VLOOKUP($B267,#REF!,19,FALSE)</f>
        <v>#REF!</v>
      </c>
      <c r="J267" s="11" t="e">
        <f>VLOOKUP($B267,#REF!,6,FALSE)</f>
        <v>#REF!</v>
      </c>
      <c r="L267" s="3">
        <v>44652.906249999156</v>
      </c>
      <c r="M267" s="15"/>
    </row>
    <row r="268" spans="2:13">
      <c r="B268" s="7"/>
      <c r="C268" s="8" t="e">
        <f>VLOOKUP($B268,#REF!,5,FALSE)</f>
        <v>#REF!</v>
      </c>
      <c r="D268" s="8" t="e">
        <f>VLOOKUP($B268,#REF!,6,FALSE)</f>
        <v>#REF!</v>
      </c>
      <c r="E268" s="9" t="e">
        <f>VLOOKUP($B268,#REF!,17,FALSE)</f>
        <v>#REF!</v>
      </c>
      <c r="F268" s="10" t="e">
        <f>VLOOKUP($B268,#REF!,7,FALSE)</f>
        <v>#REF!</v>
      </c>
      <c r="G268" s="10"/>
      <c r="H268" s="10"/>
      <c r="I268" s="11" t="e">
        <f>VLOOKUP($B268,#REF!,19,FALSE)</f>
        <v>#REF!</v>
      </c>
      <c r="J268" s="11" t="e">
        <f>VLOOKUP($B268,#REF!,6,FALSE)</f>
        <v>#REF!</v>
      </c>
      <c r="L268" s="3">
        <v>44652.909722221375</v>
      </c>
      <c r="M268" s="15"/>
    </row>
    <row r="269" spans="2:13">
      <c r="B269" s="7"/>
      <c r="C269" s="8" t="e">
        <f>VLOOKUP($B269,#REF!,5,FALSE)</f>
        <v>#REF!</v>
      </c>
      <c r="D269" s="8" t="e">
        <f>VLOOKUP($B269,#REF!,6,FALSE)</f>
        <v>#REF!</v>
      </c>
      <c r="E269" s="9" t="e">
        <f>VLOOKUP($B269,#REF!,17,FALSE)</f>
        <v>#REF!</v>
      </c>
      <c r="F269" s="10" t="e">
        <f>VLOOKUP($B269,#REF!,7,FALSE)</f>
        <v>#REF!</v>
      </c>
      <c r="G269" s="10"/>
      <c r="H269" s="10"/>
      <c r="I269" s="11" t="e">
        <f>VLOOKUP($B269,#REF!,19,FALSE)</f>
        <v>#REF!</v>
      </c>
      <c r="J269" s="11" t="e">
        <f>VLOOKUP($B269,#REF!,6,FALSE)</f>
        <v>#REF!</v>
      </c>
      <c r="L269" s="3">
        <v>44652.913194443594</v>
      </c>
      <c r="M269" s="15"/>
    </row>
    <row r="270" spans="2:13">
      <c r="B270" s="7"/>
      <c r="C270" s="8" t="e">
        <f>VLOOKUP($B270,#REF!,5,FALSE)</f>
        <v>#REF!</v>
      </c>
      <c r="D270" s="8" t="e">
        <f>VLOOKUP($B270,#REF!,6,FALSE)</f>
        <v>#REF!</v>
      </c>
      <c r="E270" s="9" t="e">
        <f>VLOOKUP($B270,#REF!,17,FALSE)</f>
        <v>#REF!</v>
      </c>
      <c r="F270" s="10" t="e">
        <f>VLOOKUP($B270,#REF!,7,FALSE)</f>
        <v>#REF!</v>
      </c>
      <c r="G270" s="10"/>
      <c r="H270" s="10"/>
      <c r="I270" s="11" t="e">
        <f>VLOOKUP($B270,#REF!,19,FALSE)</f>
        <v>#REF!</v>
      </c>
      <c r="J270" s="11" t="e">
        <f>VLOOKUP($B270,#REF!,6,FALSE)</f>
        <v>#REF!</v>
      </c>
      <c r="L270" s="3">
        <v>44652.916666665813</v>
      </c>
      <c r="M270" s="15"/>
    </row>
    <row r="271" spans="2:13">
      <c r="B271" s="7"/>
      <c r="C271" s="8" t="e">
        <f>VLOOKUP($B271,#REF!,5,FALSE)</f>
        <v>#REF!</v>
      </c>
      <c r="D271" s="8" t="e">
        <f>VLOOKUP($B271,#REF!,6,FALSE)</f>
        <v>#REF!</v>
      </c>
      <c r="E271" s="9" t="e">
        <f>VLOOKUP($B271,#REF!,17,FALSE)</f>
        <v>#REF!</v>
      </c>
      <c r="F271" s="10" t="e">
        <f>VLOOKUP($B271,#REF!,7,FALSE)</f>
        <v>#REF!</v>
      </c>
      <c r="G271" s="10"/>
      <c r="H271" s="10"/>
      <c r="I271" s="11" t="e">
        <f>VLOOKUP($B271,#REF!,19,FALSE)</f>
        <v>#REF!</v>
      </c>
      <c r="J271" s="11" t="e">
        <f>VLOOKUP($B271,#REF!,6,FALSE)</f>
        <v>#REF!</v>
      </c>
      <c r="L271" s="3">
        <v>44652.920138888032</v>
      </c>
      <c r="M271" s="15"/>
    </row>
    <row r="272" spans="2:13">
      <c r="B272" s="7"/>
      <c r="C272" s="8" t="e">
        <f>VLOOKUP($B272,#REF!,5,FALSE)</f>
        <v>#REF!</v>
      </c>
      <c r="D272" s="8" t="e">
        <f>VLOOKUP($B272,#REF!,6,FALSE)</f>
        <v>#REF!</v>
      </c>
      <c r="E272" s="9" t="e">
        <f>VLOOKUP($B272,#REF!,17,FALSE)</f>
        <v>#REF!</v>
      </c>
      <c r="F272" s="10" t="e">
        <f>VLOOKUP($B272,#REF!,7,FALSE)</f>
        <v>#REF!</v>
      </c>
      <c r="G272" s="10"/>
      <c r="H272" s="10"/>
      <c r="I272" s="11" t="e">
        <f>VLOOKUP($B272,#REF!,19,FALSE)</f>
        <v>#REF!</v>
      </c>
      <c r="J272" s="11" t="e">
        <f>VLOOKUP($B272,#REF!,6,FALSE)</f>
        <v>#REF!</v>
      </c>
      <c r="L272" s="3">
        <v>44652.923611110251</v>
      </c>
      <c r="M272" s="15"/>
    </row>
    <row r="273" spans="2:13">
      <c r="B273" s="7"/>
      <c r="C273" s="8" t="e">
        <f>VLOOKUP($B273,#REF!,5,FALSE)</f>
        <v>#REF!</v>
      </c>
      <c r="D273" s="8" t="e">
        <f>VLOOKUP($B273,#REF!,6,FALSE)</f>
        <v>#REF!</v>
      </c>
      <c r="E273" s="9" t="e">
        <f>VLOOKUP($B273,#REF!,17,FALSE)</f>
        <v>#REF!</v>
      </c>
      <c r="F273" s="10" t="e">
        <f>VLOOKUP($B273,#REF!,7,FALSE)</f>
        <v>#REF!</v>
      </c>
      <c r="G273" s="10"/>
      <c r="H273" s="10"/>
      <c r="I273" s="11" t="e">
        <f>VLOOKUP($B273,#REF!,19,FALSE)</f>
        <v>#REF!</v>
      </c>
      <c r="J273" s="11" t="e">
        <f>VLOOKUP($B273,#REF!,6,FALSE)</f>
        <v>#REF!</v>
      </c>
      <c r="L273" s="3">
        <v>44652.92708333247</v>
      </c>
      <c r="M273" s="15"/>
    </row>
    <row r="274" spans="2:13">
      <c r="B274" s="7"/>
      <c r="C274" s="8" t="e">
        <f>VLOOKUP($B274,#REF!,5,FALSE)</f>
        <v>#REF!</v>
      </c>
      <c r="D274" s="8" t="e">
        <f>VLOOKUP($B274,#REF!,6,FALSE)</f>
        <v>#REF!</v>
      </c>
      <c r="E274" s="9" t="e">
        <f>VLOOKUP($B274,#REF!,17,FALSE)</f>
        <v>#REF!</v>
      </c>
      <c r="F274" s="10" t="e">
        <f>VLOOKUP($B274,#REF!,7,FALSE)</f>
        <v>#REF!</v>
      </c>
      <c r="G274" s="10"/>
      <c r="H274" s="10"/>
      <c r="I274" s="11" t="e">
        <f>VLOOKUP($B274,#REF!,19,FALSE)</f>
        <v>#REF!</v>
      </c>
      <c r="J274" s="11" t="e">
        <f>VLOOKUP($B274,#REF!,6,FALSE)</f>
        <v>#REF!</v>
      </c>
      <c r="L274" s="3">
        <v>44652.930555554689</v>
      </c>
      <c r="M274" s="15"/>
    </row>
    <row r="275" spans="2:13">
      <c r="B275" s="7"/>
      <c r="C275" s="8" t="e">
        <f>VLOOKUP($B275,#REF!,5,FALSE)</f>
        <v>#REF!</v>
      </c>
      <c r="D275" s="8" t="e">
        <f>VLOOKUP($B275,#REF!,6,FALSE)</f>
        <v>#REF!</v>
      </c>
      <c r="E275" s="9" t="e">
        <f>VLOOKUP($B275,#REF!,17,FALSE)</f>
        <v>#REF!</v>
      </c>
      <c r="F275" s="10" t="e">
        <f>VLOOKUP($B275,#REF!,7,FALSE)</f>
        <v>#REF!</v>
      </c>
      <c r="G275" s="10"/>
      <c r="H275" s="10"/>
      <c r="I275" s="11" t="e">
        <f>VLOOKUP($B275,#REF!,19,FALSE)</f>
        <v>#REF!</v>
      </c>
      <c r="J275" s="11" t="e">
        <f>VLOOKUP($B275,#REF!,6,FALSE)</f>
        <v>#REF!</v>
      </c>
      <c r="L275" s="3">
        <v>44652.934027776908</v>
      </c>
      <c r="M275" s="15"/>
    </row>
    <row r="276" spans="2:13">
      <c r="B276" s="7"/>
      <c r="C276" s="8" t="e">
        <f>VLOOKUP($B276,#REF!,5,FALSE)</f>
        <v>#REF!</v>
      </c>
      <c r="D276" s="8" t="e">
        <f>VLOOKUP($B276,#REF!,6,FALSE)</f>
        <v>#REF!</v>
      </c>
      <c r="E276" s="9" t="e">
        <f>VLOOKUP($B276,#REF!,17,FALSE)</f>
        <v>#REF!</v>
      </c>
      <c r="F276" s="10" t="e">
        <f>VLOOKUP($B276,#REF!,7,FALSE)</f>
        <v>#REF!</v>
      </c>
      <c r="G276" s="10"/>
      <c r="H276" s="10"/>
      <c r="I276" s="11" t="e">
        <f>VLOOKUP($B276,#REF!,19,FALSE)</f>
        <v>#REF!</v>
      </c>
      <c r="J276" s="11" t="e">
        <f>VLOOKUP($B276,#REF!,6,FALSE)</f>
        <v>#REF!</v>
      </c>
      <c r="L276" s="3">
        <v>44652.937499999127</v>
      </c>
      <c r="M276" s="15"/>
    </row>
    <row r="277" spans="2:13">
      <c r="B277" s="7"/>
      <c r="C277" s="8" t="e">
        <f>VLOOKUP($B277,#REF!,5,FALSE)</f>
        <v>#REF!</v>
      </c>
      <c r="D277" s="8" t="e">
        <f>VLOOKUP($B277,#REF!,6,FALSE)</f>
        <v>#REF!</v>
      </c>
      <c r="E277" s="9" t="e">
        <f>VLOOKUP($B277,#REF!,17,FALSE)</f>
        <v>#REF!</v>
      </c>
      <c r="F277" s="10" t="e">
        <f>VLOOKUP($B277,#REF!,7,FALSE)</f>
        <v>#REF!</v>
      </c>
      <c r="G277" s="10"/>
      <c r="H277" s="10"/>
      <c r="I277" s="11" t="e">
        <f>VLOOKUP($B277,#REF!,19,FALSE)</f>
        <v>#REF!</v>
      </c>
      <c r="J277" s="11" t="e">
        <f>VLOOKUP($B277,#REF!,6,FALSE)</f>
        <v>#REF!</v>
      </c>
      <c r="L277" s="3">
        <v>44652.940972221346</v>
      </c>
      <c r="M277" s="15"/>
    </row>
    <row r="278" spans="2:13">
      <c r="B278" s="7"/>
      <c r="C278" s="8" t="e">
        <f>VLOOKUP($B278,#REF!,5,FALSE)</f>
        <v>#REF!</v>
      </c>
      <c r="D278" s="8" t="e">
        <f>VLOOKUP($B278,#REF!,6,FALSE)</f>
        <v>#REF!</v>
      </c>
      <c r="E278" s="9" t="e">
        <f>VLOOKUP($B278,#REF!,17,FALSE)</f>
        <v>#REF!</v>
      </c>
      <c r="F278" s="10" t="e">
        <f>VLOOKUP($B278,#REF!,7,FALSE)</f>
        <v>#REF!</v>
      </c>
      <c r="G278" s="10"/>
      <c r="H278" s="10"/>
      <c r="I278" s="11" t="e">
        <f>VLOOKUP($B278,#REF!,19,FALSE)</f>
        <v>#REF!</v>
      </c>
      <c r="J278" s="11" t="e">
        <f>VLOOKUP($B278,#REF!,6,FALSE)</f>
        <v>#REF!</v>
      </c>
      <c r="L278" s="3">
        <v>44652.944444443565</v>
      </c>
      <c r="M278" s="15"/>
    </row>
    <row r="279" spans="2:13">
      <c r="B279" s="7"/>
      <c r="C279" s="8" t="e">
        <f>VLOOKUP($B279,#REF!,5,FALSE)</f>
        <v>#REF!</v>
      </c>
      <c r="D279" s="8" t="e">
        <f>VLOOKUP($B279,#REF!,6,FALSE)</f>
        <v>#REF!</v>
      </c>
      <c r="E279" s="9" t="e">
        <f>VLOOKUP($B279,#REF!,17,FALSE)</f>
        <v>#REF!</v>
      </c>
      <c r="F279" s="10" t="e">
        <f>VLOOKUP($B279,#REF!,7,FALSE)</f>
        <v>#REF!</v>
      </c>
      <c r="G279" s="10"/>
      <c r="H279" s="10"/>
      <c r="I279" s="11" t="e">
        <f>VLOOKUP($B279,#REF!,19,FALSE)</f>
        <v>#REF!</v>
      </c>
      <c r="J279" s="11" t="e">
        <f>VLOOKUP($B279,#REF!,6,FALSE)</f>
        <v>#REF!</v>
      </c>
      <c r="L279" s="3">
        <v>44652.947916665784</v>
      </c>
      <c r="M279" s="15"/>
    </row>
    <row r="280" spans="2:13">
      <c r="B280" s="7"/>
      <c r="C280" s="8" t="e">
        <f>VLOOKUP($B280,#REF!,5,FALSE)</f>
        <v>#REF!</v>
      </c>
      <c r="D280" s="8" t="e">
        <f>VLOOKUP($B280,#REF!,6,FALSE)</f>
        <v>#REF!</v>
      </c>
      <c r="E280" s="9" t="e">
        <f>VLOOKUP($B280,#REF!,17,FALSE)</f>
        <v>#REF!</v>
      </c>
      <c r="F280" s="10" t="e">
        <f>VLOOKUP($B280,#REF!,7,FALSE)</f>
        <v>#REF!</v>
      </c>
      <c r="G280" s="10"/>
      <c r="H280" s="10"/>
      <c r="I280" s="11" t="e">
        <f>VLOOKUP($B280,#REF!,19,FALSE)</f>
        <v>#REF!</v>
      </c>
      <c r="J280" s="11" t="e">
        <f>VLOOKUP($B280,#REF!,6,FALSE)</f>
        <v>#REF!</v>
      </c>
      <c r="L280" s="3">
        <v>44652.951388888003</v>
      </c>
      <c r="M280" s="15"/>
    </row>
    <row r="281" spans="2:13">
      <c r="B281" s="7"/>
      <c r="C281" s="8" t="e">
        <f>VLOOKUP($B281,#REF!,5,FALSE)</f>
        <v>#REF!</v>
      </c>
      <c r="D281" s="8" t="e">
        <f>VLOOKUP($B281,#REF!,6,FALSE)</f>
        <v>#REF!</v>
      </c>
      <c r="E281" s="9" t="e">
        <f>VLOOKUP($B281,#REF!,17,FALSE)</f>
        <v>#REF!</v>
      </c>
      <c r="F281" s="10" t="e">
        <f>VLOOKUP($B281,#REF!,7,FALSE)</f>
        <v>#REF!</v>
      </c>
      <c r="G281" s="10"/>
      <c r="H281" s="10"/>
      <c r="I281" s="11" t="e">
        <f>VLOOKUP($B281,#REF!,19,FALSE)</f>
        <v>#REF!</v>
      </c>
      <c r="J281" s="11" t="e">
        <f>VLOOKUP($B281,#REF!,6,FALSE)</f>
        <v>#REF!</v>
      </c>
      <c r="L281" s="3">
        <v>44652.954861110222</v>
      </c>
      <c r="M281" s="15"/>
    </row>
    <row r="282" spans="2:13">
      <c r="B282" s="7"/>
      <c r="C282" s="8" t="e">
        <f>VLOOKUP($B282,#REF!,5,FALSE)</f>
        <v>#REF!</v>
      </c>
      <c r="D282" s="8" t="e">
        <f>VLOOKUP($B282,#REF!,6,FALSE)</f>
        <v>#REF!</v>
      </c>
      <c r="E282" s="9" t="e">
        <f>VLOOKUP($B282,#REF!,17,FALSE)</f>
        <v>#REF!</v>
      </c>
      <c r="F282" s="10" t="e">
        <f>VLOOKUP($B282,#REF!,7,FALSE)</f>
        <v>#REF!</v>
      </c>
      <c r="G282" s="10"/>
      <c r="H282" s="10"/>
      <c r="I282" s="11" t="e">
        <f>VLOOKUP($B282,#REF!,19,FALSE)</f>
        <v>#REF!</v>
      </c>
      <c r="J282" s="11" t="e">
        <f>VLOOKUP($B282,#REF!,6,FALSE)</f>
        <v>#REF!</v>
      </c>
      <c r="L282" s="3">
        <v>44652.958333332441</v>
      </c>
      <c r="M282" s="15"/>
    </row>
    <row r="283" spans="2:13">
      <c r="B283" s="7"/>
      <c r="C283" s="8" t="e">
        <f>VLOOKUP($B283,#REF!,5,FALSE)</f>
        <v>#REF!</v>
      </c>
      <c r="D283" s="8" t="e">
        <f>VLOOKUP($B283,#REF!,6,FALSE)</f>
        <v>#REF!</v>
      </c>
      <c r="E283" s="9" t="e">
        <f>VLOOKUP($B283,#REF!,17,FALSE)</f>
        <v>#REF!</v>
      </c>
      <c r="F283" s="10" t="e">
        <f>VLOOKUP($B283,#REF!,7,FALSE)</f>
        <v>#REF!</v>
      </c>
      <c r="G283" s="10"/>
      <c r="H283" s="10"/>
      <c r="I283" s="11" t="e">
        <f>VLOOKUP($B283,#REF!,19,FALSE)</f>
        <v>#REF!</v>
      </c>
      <c r="J283" s="11" t="e">
        <f>VLOOKUP($B283,#REF!,6,FALSE)</f>
        <v>#REF!</v>
      </c>
      <c r="L283" s="3">
        <v>44652.96180555466</v>
      </c>
      <c r="M283" s="15"/>
    </row>
    <row r="284" spans="2:13">
      <c r="B284" s="7"/>
      <c r="C284" s="8" t="e">
        <f>VLOOKUP($B284,#REF!,5,FALSE)</f>
        <v>#REF!</v>
      </c>
      <c r="D284" s="8" t="e">
        <f>VLOOKUP($B284,#REF!,6,FALSE)</f>
        <v>#REF!</v>
      </c>
      <c r="E284" s="9" t="e">
        <f>VLOOKUP($B284,#REF!,17,FALSE)</f>
        <v>#REF!</v>
      </c>
      <c r="F284" s="10" t="e">
        <f>VLOOKUP($B284,#REF!,7,FALSE)</f>
        <v>#REF!</v>
      </c>
      <c r="G284" s="10"/>
      <c r="H284" s="10"/>
      <c r="I284" s="11" t="e">
        <f>VLOOKUP($B284,#REF!,19,FALSE)</f>
        <v>#REF!</v>
      </c>
      <c r="J284" s="11" t="e">
        <f>VLOOKUP($B284,#REF!,6,FALSE)</f>
        <v>#REF!</v>
      </c>
      <c r="L284" s="3">
        <v>44652.965277776879</v>
      </c>
      <c r="M284" s="15"/>
    </row>
    <row r="285" spans="2:13">
      <c r="B285" s="7"/>
      <c r="C285" s="8" t="e">
        <f>VLOOKUP($B285,#REF!,5,FALSE)</f>
        <v>#REF!</v>
      </c>
      <c r="D285" s="8" t="e">
        <f>VLOOKUP($B285,#REF!,6,FALSE)</f>
        <v>#REF!</v>
      </c>
      <c r="E285" s="9" t="e">
        <f>VLOOKUP($B285,#REF!,17,FALSE)</f>
        <v>#REF!</v>
      </c>
      <c r="F285" s="10" t="e">
        <f>VLOOKUP($B285,#REF!,7,FALSE)</f>
        <v>#REF!</v>
      </c>
      <c r="G285" s="10"/>
      <c r="H285" s="10"/>
      <c r="I285" s="11" t="e">
        <f>VLOOKUP($B285,#REF!,19,FALSE)</f>
        <v>#REF!</v>
      </c>
      <c r="J285" s="11" t="e">
        <f>VLOOKUP($B285,#REF!,6,FALSE)</f>
        <v>#REF!</v>
      </c>
      <c r="L285" s="3">
        <v>44652.968749999098</v>
      </c>
      <c r="M285" s="15"/>
    </row>
    <row r="286" spans="2:13">
      <c r="B286" s="7"/>
      <c r="C286" s="8" t="e">
        <f>VLOOKUP($B286,#REF!,5,FALSE)</f>
        <v>#REF!</v>
      </c>
      <c r="D286" s="8" t="e">
        <f>VLOOKUP($B286,#REF!,6,FALSE)</f>
        <v>#REF!</v>
      </c>
      <c r="E286" s="9" t="e">
        <f>VLOOKUP($B286,#REF!,17,FALSE)</f>
        <v>#REF!</v>
      </c>
      <c r="F286" s="10" t="e">
        <f>VLOOKUP($B286,#REF!,7,FALSE)</f>
        <v>#REF!</v>
      </c>
      <c r="G286" s="10"/>
      <c r="H286" s="10"/>
      <c r="I286" s="11" t="e">
        <f>VLOOKUP($B286,#REF!,19,FALSE)</f>
        <v>#REF!</v>
      </c>
      <c r="J286" s="11" t="e">
        <f>VLOOKUP($B286,#REF!,6,FALSE)</f>
        <v>#REF!</v>
      </c>
      <c r="L286" s="3">
        <v>44652.972222221317</v>
      </c>
      <c r="M286" s="15"/>
    </row>
    <row r="287" spans="2:13">
      <c r="B287" s="7"/>
      <c r="C287" s="8" t="e">
        <f>VLOOKUP($B287,#REF!,5,FALSE)</f>
        <v>#REF!</v>
      </c>
      <c r="D287" s="8" t="e">
        <f>VLOOKUP($B287,#REF!,6,FALSE)</f>
        <v>#REF!</v>
      </c>
      <c r="E287" s="9" t="e">
        <f>VLOOKUP($B287,#REF!,17,FALSE)</f>
        <v>#REF!</v>
      </c>
      <c r="F287" s="10" t="e">
        <f>VLOOKUP($B287,#REF!,7,FALSE)</f>
        <v>#REF!</v>
      </c>
      <c r="G287" s="10"/>
      <c r="H287" s="10"/>
      <c r="I287" s="11" t="e">
        <f>VLOOKUP($B287,#REF!,19,FALSE)</f>
        <v>#REF!</v>
      </c>
      <c r="J287" s="11" t="e">
        <f>VLOOKUP($B287,#REF!,6,FALSE)</f>
        <v>#REF!</v>
      </c>
      <c r="L287" s="3">
        <v>44652.975694443536</v>
      </c>
      <c r="M287" s="15"/>
    </row>
    <row r="288" spans="2:13">
      <c r="B288" s="7"/>
      <c r="C288" s="8" t="e">
        <f>VLOOKUP($B288,#REF!,5,FALSE)</f>
        <v>#REF!</v>
      </c>
      <c r="D288" s="8" t="e">
        <f>VLOOKUP($B288,#REF!,6,FALSE)</f>
        <v>#REF!</v>
      </c>
      <c r="E288" s="9" t="e">
        <f>VLOOKUP($B288,#REF!,17,FALSE)</f>
        <v>#REF!</v>
      </c>
      <c r="F288" s="10" t="e">
        <f>VLOOKUP($B288,#REF!,7,FALSE)</f>
        <v>#REF!</v>
      </c>
      <c r="G288" s="10"/>
      <c r="H288" s="10"/>
      <c r="I288" s="11" t="e">
        <f>VLOOKUP($B288,#REF!,19,FALSE)</f>
        <v>#REF!</v>
      </c>
      <c r="J288" s="11" t="e">
        <f>VLOOKUP($B288,#REF!,6,FALSE)</f>
        <v>#REF!</v>
      </c>
      <c r="L288" s="3">
        <v>44652.979166665755</v>
      </c>
      <c r="M288" s="15"/>
    </row>
    <row r="289" spans="2:13">
      <c r="B289" s="7"/>
      <c r="C289" s="8" t="e">
        <f>VLOOKUP($B289,#REF!,5,FALSE)</f>
        <v>#REF!</v>
      </c>
      <c r="D289" s="8" t="e">
        <f>VLOOKUP($B289,#REF!,6,FALSE)</f>
        <v>#REF!</v>
      </c>
      <c r="E289" s="9" t="e">
        <f>VLOOKUP($B289,#REF!,17,FALSE)</f>
        <v>#REF!</v>
      </c>
      <c r="F289" s="10" t="e">
        <f>VLOOKUP($B289,#REF!,7,FALSE)</f>
        <v>#REF!</v>
      </c>
      <c r="G289" s="10"/>
      <c r="H289" s="10"/>
      <c r="I289" s="11" t="e">
        <f>VLOOKUP($B289,#REF!,19,FALSE)</f>
        <v>#REF!</v>
      </c>
      <c r="J289" s="11" t="e">
        <f>VLOOKUP($B289,#REF!,6,FALSE)</f>
        <v>#REF!</v>
      </c>
      <c r="L289" s="3">
        <v>44652.982638887974</v>
      </c>
      <c r="M289" s="15"/>
    </row>
    <row r="290" spans="2:13">
      <c r="B290" s="7"/>
      <c r="C290" s="8" t="e">
        <f>VLOOKUP($B290,#REF!,5,FALSE)</f>
        <v>#REF!</v>
      </c>
      <c r="D290" s="8" t="e">
        <f>VLOOKUP($B290,#REF!,6,FALSE)</f>
        <v>#REF!</v>
      </c>
      <c r="E290" s="9" t="e">
        <f>VLOOKUP($B290,#REF!,17,FALSE)</f>
        <v>#REF!</v>
      </c>
      <c r="F290" s="10" t="e">
        <f>VLOOKUP($B290,#REF!,7,FALSE)</f>
        <v>#REF!</v>
      </c>
      <c r="G290" s="10"/>
      <c r="H290" s="10"/>
      <c r="I290" s="11" t="e">
        <f>VLOOKUP($B290,#REF!,19,FALSE)</f>
        <v>#REF!</v>
      </c>
      <c r="J290" s="11" t="e">
        <f>VLOOKUP($B290,#REF!,6,FALSE)</f>
        <v>#REF!</v>
      </c>
      <c r="L290" s="3">
        <v>44652.986111110193</v>
      </c>
      <c r="M290" s="15"/>
    </row>
    <row r="291" spans="2:13">
      <c r="B291" s="7"/>
      <c r="C291" s="8" t="e">
        <f>VLOOKUP($B291,#REF!,5,FALSE)</f>
        <v>#REF!</v>
      </c>
      <c r="D291" s="8" t="e">
        <f>VLOOKUP($B291,#REF!,6,FALSE)</f>
        <v>#REF!</v>
      </c>
      <c r="E291" s="9" t="e">
        <f>VLOOKUP($B291,#REF!,17,FALSE)</f>
        <v>#REF!</v>
      </c>
      <c r="F291" s="10" t="e">
        <f>VLOOKUP($B291,#REF!,7,FALSE)</f>
        <v>#REF!</v>
      </c>
      <c r="G291" s="10"/>
      <c r="H291" s="10"/>
      <c r="I291" s="11" t="e">
        <f>VLOOKUP($B291,#REF!,19,FALSE)</f>
        <v>#REF!</v>
      </c>
      <c r="J291" s="11" t="e">
        <f>VLOOKUP($B291,#REF!,6,FALSE)</f>
        <v>#REF!</v>
      </c>
      <c r="L291" s="3">
        <v>44652.989583332412</v>
      </c>
      <c r="M291" s="15"/>
    </row>
    <row r="292" spans="2:13">
      <c r="B292" s="7"/>
      <c r="C292" s="8" t="e">
        <f>VLOOKUP($B292,#REF!,5,FALSE)</f>
        <v>#REF!</v>
      </c>
      <c r="D292" s="8" t="e">
        <f>VLOOKUP($B292,#REF!,6,FALSE)</f>
        <v>#REF!</v>
      </c>
      <c r="E292" s="9" t="e">
        <f>VLOOKUP($B292,#REF!,17,FALSE)</f>
        <v>#REF!</v>
      </c>
      <c r="F292" s="10" t="e">
        <f>VLOOKUP($B292,#REF!,7,FALSE)</f>
        <v>#REF!</v>
      </c>
      <c r="G292" s="10"/>
      <c r="H292" s="10"/>
      <c r="I292" s="11" t="e">
        <f>VLOOKUP($B292,#REF!,19,FALSE)</f>
        <v>#REF!</v>
      </c>
      <c r="J292" s="11" t="e">
        <f>VLOOKUP($B292,#REF!,6,FALSE)</f>
        <v>#REF!</v>
      </c>
      <c r="L292" s="3">
        <v>44652.993055554631</v>
      </c>
      <c r="M292" s="15"/>
    </row>
    <row r="293" spans="2:13">
      <c r="B293" s="7"/>
      <c r="C293" s="8" t="e">
        <f>VLOOKUP($B293,#REF!,5,FALSE)</f>
        <v>#REF!</v>
      </c>
      <c r="D293" s="8" t="e">
        <f>VLOOKUP($B293,#REF!,6,FALSE)</f>
        <v>#REF!</v>
      </c>
      <c r="E293" s="9" t="e">
        <f>VLOOKUP($B293,#REF!,17,FALSE)</f>
        <v>#REF!</v>
      </c>
      <c r="F293" s="10" t="e">
        <f>VLOOKUP($B293,#REF!,7,FALSE)</f>
        <v>#REF!</v>
      </c>
      <c r="G293" s="10"/>
      <c r="H293" s="10"/>
      <c r="I293" s="11" t="e">
        <f>VLOOKUP($B293,#REF!,19,FALSE)</f>
        <v>#REF!</v>
      </c>
      <c r="J293" s="11" t="e">
        <f>VLOOKUP($B293,#REF!,6,FALSE)</f>
        <v>#REF!</v>
      </c>
      <c r="L293" s="3">
        <v>44652.99652777685</v>
      </c>
      <c r="M293" s="15"/>
    </row>
    <row r="294" spans="2:13">
      <c r="B294" s="7"/>
      <c r="C294" s="8" t="e">
        <f>VLOOKUP($B294,#REF!,5,FALSE)</f>
        <v>#REF!</v>
      </c>
      <c r="D294" s="8" t="e">
        <f>VLOOKUP($B294,#REF!,6,FALSE)</f>
        <v>#REF!</v>
      </c>
      <c r="E294" s="9" t="e">
        <f>VLOOKUP($B294,#REF!,17,FALSE)</f>
        <v>#REF!</v>
      </c>
      <c r="F294" s="10" t="e">
        <f>VLOOKUP($B294,#REF!,7,FALSE)</f>
        <v>#REF!</v>
      </c>
      <c r="G294" s="10"/>
      <c r="H294" s="10"/>
      <c r="I294" s="11" t="e">
        <f>VLOOKUP($B294,#REF!,19,FALSE)</f>
        <v>#REF!</v>
      </c>
      <c r="J294" s="11" t="e">
        <f>VLOOKUP($B294,#REF!,6,FALSE)</f>
        <v>#REF!</v>
      </c>
      <c r="L294" s="3">
        <v>44652.999999999069</v>
      </c>
      <c r="M294" s="15"/>
    </row>
    <row r="295" spans="2:13">
      <c r="B295" s="7"/>
      <c r="C295" s="8" t="e">
        <f>VLOOKUP($B295,#REF!,5,FALSE)</f>
        <v>#REF!</v>
      </c>
      <c r="D295" s="8" t="e">
        <f>VLOOKUP($B295,#REF!,6,FALSE)</f>
        <v>#REF!</v>
      </c>
      <c r="E295" s="9" t="e">
        <f>VLOOKUP($B295,#REF!,17,FALSE)</f>
        <v>#REF!</v>
      </c>
      <c r="F295" s="10" t="e">
        <f>VLOOKUP($B295,#REF!,7,FALSE)</f>
        <v>#REF!</v>
      </c>
      <c r="G295" s="10"/>
      <c r="H295" s="10"/>
      <c r="I295" s="11" t="e">
        <f>VLOOKUP($B295,#REF!,19,FALSE)</f>
        <v>#REF!</v>
      </c>
      <c r="J295" s="11" t="e">
        <f>VLOOKUP($B295,#REF!,6,FALSE)</f>
        <v>#REF!</v>
      </c>
      <c r="L295" s="3">
        <v>44653.003472221288</v>
      </c>
      <c r="M295" s="15"/>
    </row>
    <row r="296" spans="2:13">
      <c r="B296" s="7"/>
      <c r="C296" s="8" t="e">
        <f>VLOOKUP($B296,#REF!,5,FALSE)</f>
        <v>#REF!</v>
      </c>
      <c r="D296" s="8" t="e">
        <f>VLOOKUP($B296,#REF!,6,FALSE)</f>
        <v>#REF!</v>
      </c>
      <c r="E296" s="9" t="e">
        <f>VLOOKUP($B296,#REF!,17,FALSE)</f>
        <v>#REF!</v>
      </c>
      <c r="F296" s="10" t="e">
        <f>VLOOKUP($B296,#REF!,7,FALSE)</f>
        <v>#REF!</v>
      </c>
      <c r="G296" s="10"/>
      <c r="H296" s="10"/>
      <c r="I296" s="11" t="e">
        <f>VLOOKUP($B296,#REF!,19,FALSE)</f>
        <v>#REF!</v>
      </c>
      <c r="J296" s="11" t="e">
        <f>VLOOKUP($B296,#REF!,6,FALSE)</f>
        <v>#REF!</v>
      </c>
      <c r="L296" s="3">
        <v>44653.006944443507</v>
      </c>
      <c r="M296" s="15"/>
    </row>
    <row r="297" spans="2:13">
      <c r="B297" s="7"/>
      <c r="C297" s="8" t="e">
        <f>VLOOKUP($B297,#REF!,5,FALSE)</f>
        <v>#REF!</v>
      </c>
      <c r="D297" s="8" t="e">
        <f>VLOOKUP($B297,#REF!,6,FALSE)</f>
        <v>#REF!</v>
      </c>
      <c r="E297" s="9" t="e">
        <f>VLOOKUP($B297,#REF!,17,FALSE)</f>
        <v>#REF!</v>
      </c>
      <c r="F297" s="10" t="e">
        <f>VLOOKUP($B297,#REF!,7,FALSE)</f>
        <v>#REF!</v>
      </c>
      <c r="G297" s="10"/>
      <c r="H297" s="10"/>
      <c r="I297" s="11" t="e">
        <f>VLOOKUP($B297,#REF!,19,FALSE)</f>
        <v>#REF!</v>
      </c>
      <c r="J297" s="11" t="e">
        <f>VLOOKUP($B297,#REF!,6,FALSE)</f>
        <v>#REF!</v>
      </c>
      <c r="L297" s="3">
        <v>44653.010416665726</v>
      </c>
      <c r="M297" s="15"/>
    </row>
    <row r="298" spans="2:13">
      <c r="B298" s="7"/>
      <c r="C298" s="8" t="e">
        <f>VLOOKUP($B298,#REF!,5,FALSE)</f>
        <v>#REF!</v>
      </c>
      <c r="D298" s="8" t="e">
        <f>VLOOKUP($B298,#REF!,6,FALSE)</f>
        <v>#REF!</v>
      </c>
      <c r="E298" s="9" t="e">
        <f>VLOOKUP($B298,#REF!,17,FALSE)</f>
        <v>#REF!</v>
      </c>
      <c r="F298" s="10" t="e">
        <f>VLOOKUP($B298,#REF!,7,FALSE)</f>
        <v>#REF!</v>
      </c>
      <c r="G298" s="10"/>
      <c r="H298" s="10"/>
      <c r="I298" s="11" t="e">
        <f>VLOOKUP($B298,#REF!,19,FALSE)</f>
        <v>#REF!</v>
      </c>
      <c r="J298" s="11" t="e">
        <f>VLOOKUP($B298,#REF!,6,FALSE)</f>
        <v>#REF!</v>
      </c>
      <c r="L298" s="3">
        <v>44653.013888887945</v>
      </c>
      <c r="M298" s="15"/>
    </row>
    <row r="299" spans="2:13">
      <c r="B299" s="7"/>
      <c r="C299" s="8" t="e">
        <f>VLOOKUP($B299,#REF!,5,FALSE)</f>
        <v>#REF!</v>
      </c>
      <c r="D299" s="8" t="e">
        <f>VLOOKUP($B299,#REF!,6,FALSE)</f>
        <v>#REF!</v>
      </c>
      <c r="E299" s="9" t="e">
        <f>VLOOKUP($B299,#REF!,17,FALSE)</f>
        <v>#REF!</v>
      </c>
      <c r="F299" s="10" t="e">
        <f>VLOOKUP($B299,#REF!,7,FALSE)</f>
        <v>#REF!</v>
      </c>
      <c r="G299" s="10"/>
      <c r="H299" s="10"/>
      <c r="I299" s="11" t="e">
        <f>VLOOKUP($B299,#REF!,19,FALSE)</f>
        <v>#REF!</v>
      </c>
      <c r="J299" s="11" t="e">
        <f>VLOOKUP($B299,#REF!,6,FALSE)</f>
        <v>#REF!</v>
      </c>
      <c r="L299" s="3">
        <v>44653.017361110164</v>
      </c>
      <c r="M299" s="15"/>
    </row>
    <row r="300" spans="2:13">
      <c r="B300" s="7"/>
      <c r="C300" s="8" t="e">
        <f>VLOOKUP($B300,#REF!,5,FALSE)</f>
        <v>#REF!</v>
      </c>
      <c r="D300" s="8" t="e">
        <f>VLOOKUP($B300,#REF!,6,FALSE)</f>
        <v>#REF!</v>
      </c>
      <c r="E300" s="9" t="e">
        <f>VLOOKUP($B300,#REF!,17,FALSE)</f>
        <v>#REF!</v>
      </c>
      <c r="F300" s="10" t="e">
        <f>VLOOKUP($B300,#REF!,7,FALSE)</f>
        <v>#REF!</v>
      </c>
      <c r="G300" s="10"/>
      <c r="H300" s="10"/>
      <c r="I300" s="11" t="e">
        <f>VLOOKUP($B300,#REF!,19,FALSE)</f>
        <v>#REF!</v>
      </c>
      <c r="J300" s="11" t="e">
        <f>VLOOKUP($B300,#REF!,6,FALSE)</f>
        <v>#REF!</v>
      </c>
      <c r="L300" s="3">
        <v>44653.020833332383</v>
      </c>
      <c r="M300" s="15"/>
    </row>
    <row r="301" spans="2:13">
      <c r="B301" s="7"/>
      <c r="C301" s="8" t="e">
        <f>VLOOKUP($B301,#REF!,5,FALSE)</f>
        <v>#REF!</v>
      </c>
      <c r="D301" s="8" t="e">
        <f>VLOOKUP($B301,#REF!,6,FALSE)</f>
        <v>#REF!</v>
      </c>
      <c r="E301" s="9" t="e">
        <f>VLOOKUP($B301,#REF!,17,FALSE)</f>
        <v>#REF!</v>
      </c>
      <c r="F301" s="10" t="e">
        <f>VLOOKUP($B301,#REF!,7,FALSE)</f>
        <v>#REF!</v>
      </c>
      <c r="G301" s="10"/>
      <c r="H301" s="10"/>
      <c r="I301" s="11" t="e">
        <f>VLOOKUP($B301,#REF!,19,FALSE)</f>
        <v>#REF!</v>
      </c>
      <c r="J301" s="11" t="e">
        <f>VLOOKUP($B301,#REF!,6,FALSE)</f>
        <v>#REF!</v>
      </c>
      <c r="L301" s="3">
        <v>44653.024305554602</v>
      </c>
      <c r="M301" s="15"/>
    </row>
    <row r="302" spans="2:13">
      <c r="B302" s="7"/>
      <c r="C302" s="8" t="e">
        <f>VLOOKUP($B302,#REF!,5,FALSE)</f>
        <v>#REF!</v>
      </c>
      <c r="D302" s="8" t="e">
        <f>VLOOKUP($B302,#REF!,6,FALSE)</f>
        <v>#REF!</v>
      </c>
      <c r="E302" s="9" t="e">
        <f>VLOOKUP($B302,#REF!,17,FALSE)</f>
        <v>#REF!</v>
      </c>
      <c r="F302" s="10" t="e">
        <f>VLOOKUP($B302,#REF!,7,FALSE)</f>
        <v>#REF!</v>
      </c>
      <c r="G302" s="10"/>
      <c r="H302" s="10"/>
      <c r="I302" s="11" t="e">
        <f>VLOOKUP($B302,#REF!,19,FALSE)</f>
        <v>#REF!</v>
      </c>
      <c r="J302" s="11" t="e">
        <f>VLOOKUP($B302,#REF!,6,FALSE)</f>
        <v>#REF!</v>
      </c>
      <c r="L302" s="3">
        <v>44653.027777776821</v>
      </c>
      <c r="M302" s="15"/>
    </row>
    <row r="303" spans="2:13">
      <c r="B303" s="7"/>
      <c r="C303" s="8" t="e">
        <f>VLOOKUP($B303,#REF!,5,FALSE)</f>
        <v>#REF!</v>
      </c>
      <c r="D303" s="8" t="e">
        <f>VLOOKUP($B303,#REF!,6,FALSE)</f>
        <v>#REF!</v>
      </c>
      <c r="E303" s="9" t="e">
        <f>VLOOKUP($B303,#REF!,17,FALSE)</f>
        <v>#REF!</v>
      </c>
      <c r="F303" s="10" t="e">
        <f>VLOOKUP($B303,#REF!,7,FALSE)</f>
        <v>#REF!</v>
      </c>
      <c r="G303" s="10"/>
      <c r="H303" s="10"/>
      <c r="I303" s="11" t="e">
        <f>VLOOKUP($B303,#REF!,19,FALSE)</f>
        <v>#REF!</v>
      </c>
      <c r="J303" s="11" t="e">
        <f>VLOOKUP($B303,#REF!,6,FALSE)</f>
        <v>#REF!</v>
      </c>
      <c r="L303" s="3">
        <v>44653.03124999904</v>
      </c>
      <c r="M303" s="15"/>
    </row>
    <row r="304" spans="2:13">
      <c r="B304" s="7"/>
      <c r="C304" s="8" t="e">
        <f>VLOOKUP($B304,#REF!,5,FALSE)</f>
        <v>#REF!</v>
      </c>
      <c r="D304" s="8" t="e">
        <f>VLOOKUP($B304,#REF!,6,FALSE)</f>
        <v>#REF!</v>
      </c>
      <c r="E304" s="9" t="e">
        <f>VLOOKUP($B304,#REF!,17,FALSE)</f>
        <v>#REF!</v>
      </c>
      <c r="F304" s="10" t="e">
        <f>VLOOKUP($B304,#REF!,7,FALSE)</f>
        <v>#REF!</v>
      </c>
      <c r="G304" s="10"/>
      <c r="H304" s="10"/>
      <c r="I304" s="11" t="e">
        <f>VLOOKUP($B304,#REF!,19,FALSE)</f>
        <v>#REF!</v>
      </c>
      <c r="J304" s="11" t="e">
        <f>VLOOKUP($B304,#REF!,6,FALSE)</f>
        <v>#REF!</v>
      </c>
      <c r="L304" s="3">
        <v>44653.034722221259</v>
      </c>
      <c r="M304" s="15"/>
    </row>
    <row r="305" spans="2:13">
      <c r="B305" s="7"/>
      <c r="C305" s="8" t="e">
        <f>VLOOKUP($B305,#REF!,5,FALSE)</f>
        <v>#REF!</v>
      </c>
      <c r="D305" s="8" t="e">
        <f>VLOOKUP($B305,#REF!,6,FALSE)</f>
        <v>#REF!</v>
      </c>
      <c r="E305" s="9" t="e">
        <f>VLOOKUP($B305,#REF!,17,FALSE)</f>
        <v>#REF!</v>
      </c>
      <c r="F305" s="10" t="e">
        <f>VLOOKUP($B305,#REF!,7,FALSE)</f>
        <v>#REF!</v>
      </c>
      <c r="G305" s="10"/>
      <c r="H305" s="10"/>
      <c r="I305" s="11" t="e">
        <f>VLOOKUP($B305,#REF!,19,FALSE)</f>
        <v>#REF!</v>
      </c>
      <c r="J305" s="11" t="e">
        <f>VLOOKUP($B305,#REF!,6,FALSE)</f>
        <v>#REF!</v>
      </c>
      <c r="L305" s="3">
        <v>44653.038194443478</v>
      </c>
      <c r="M305" s="15"/>
    </row>
    <row r="306" spans="2:13">
      <c r="B306" s="7"/>
      <c r="C306" s="8" t="e">
        <f>VLOOKUP($B306,#REF!,5,FALSE)</f>
        <v>#REF!</v>
      </c>
      <c r="D306" s="8" t="e">
        <f>VLOOKUP($B306,#REF!,6,FALSE)</f>
        <v>#REF!</v>
      </c>
      <c r="E306" s="9" t="e">
        <f>VLOOKUP($B306,#REF!,17,FALSE)</f>
        <v>#REF!</v>
      </c>
      <c r="F306" s="10" t="e">
        <f>VLOOKUP($B306,#REF!,7,FALSE)</f>
        <v>#REF!</v>
      </c>
      <c r="G306" s="10"/>
      <c r="H306" s="10"/>
      <c r="I306" s="11" t="e">
        <f>VLOOKUP($B306,#REF!,19,FALSE)</f>
        <v>#REF!</v>
      </c>
      <c r="J306" s="11" t="e">
        <f>VLOOKUP($B306,#REF!,6,FALSE)</f>
        <v>#REF!</v>
      </c>
      <c r="L306" s="3">
        <v>44653.041666665697</v>
      </c>
      <c r="M306" s="15"/>
    </row>
    <row r="307" spans="2:13">
      <c r="B307" s="7"/>
      <c r="C307" s="8" t="e">
        <f>VLOOKUP($B307,#REF!,5,FALSE)</f>
        <v>#REF!</v>
      </c>
      <c r="D307" s="8" t="e">
        <f>VLOOKUP($B307,#REF!,6,FALSE)</f>
        <v>#REF!</v>
      </c>
      <c r="E307" s="9" t="e">
        <f>VLOOKUP($B307,#REF!,17,FALSE)</f>
        <v>#REF!</v>
      </c>
      <c r="F307" s="10" t="e">
        <f>VLOOKUP($B307,#REF!,7,FALSE)</f>
        <v>#REF!</v>
      </c>
      <c r="G307" s="10"/>
      <c r="H307" s="10"/>
      <c r="I307" s="11" t="e">
        <f>VLOOKUP($B307,#REF!,19,FALSE)</f>
        <v>#REF!</v>
      </c>
      <c r="J307" s="11" t="e">
        <f>VLOOKUP($B307,#REF!,6,FALSE)</f>
        <v>#REF!</v>
      </c>
      <c r="L307" s="3">
        <v>44653.045138887916</v>
      </c>
      <c r="M307" s="15"/>
    </row>
    <row r="308" spans="2:13">
      <c r="B308" s="7"/>
      <c r="C308" s="8" t="e">
        <f>VLOOKUP($B308,#REF!,5,FALSE)</f>
        <v>#REF!</v>
      </c>
      <c r="D308" s="8" t="e">
        <f>VLOOKUP($B308,#REF!,6,FALSE)</f>
        <v>#REF!</v>
      </c>
      <c r="E308" s="9" t="e">
        <f>VLOOKUP($B308,#REF!,17,FALSE)</f>
        <v>#REF!</v>
      </c>
      <c r="F308" s="10" t="e">
        <f>VLOOKUP($B308,#REF!,7,FALSE)</f>
        <v>#REF!</v>
      </c>
      <c r="G308" s="10"/>
      <c r="H308" s="10"/>
      <c r="I308" s="11" t="e">
        <f>VLOOKUP($B308,#REF!,19,FALSE)</f>
        <v>#REF!</v>
      </c>
      <c r="J308" s="11" t="e">
        <f>VLOOKUP($B308,#REF!,6,FALSE)</f>
        <v>#REF!</v>
      </c>
      <c r="L308" s="3">
        <v>44653.048611110135</v>
      </c>
      <c r="M308" s="15"/>
    </row>
    <row r="309" spans="2:13">
      <c r="B309" s="7"/>
      <c r="C309" s="8" t="e">
        <f>VLOOKUP($B309,#REF!,5,FALSE)</f>
        <v>#REF!</v>
      </c>
      <c r="D309" s="8" t="e">
        <f>VLOOKUP($B309,#REF!,6,FALSE)</f>
        <v>#REF!</v>
      </c>
      <c r="E309" s="9" t="e">
        <f>VLOOKUP($B309,#REF!,17,FALSE)</f>
        <v>#REF!</v>
      </c>
      <c r="F309" s="10" t="e">
        <f>VLOOKUP($B309,#REF!,7,FALSE)</f>
        <v>#REF!</v>
      </c>
      <c r="G309" s="10"/>
      <c r="H309" s="10"/>
      <c r="I309" s="11" t="e">
        <f>VLOOKUP($B309,#REF!,19,FALSE)</f>
        <v>#REF!</v>
      </c>
      <c r="J309" s="11" t="e">
        <f>VLOOKUP($B309,#REF!,6,FALSE)</f>
        <v>#REF!</v>
      </c>
      <c r="L309" s="3">
        <v>44653.052083332354</v>
      </c>
      <c r="M309" s="15"/>
    </row>
    <row r="310" spans="2:13">
      <c r="B310" s="7"/>
      <c r="C310" s="8" t="e">
        <f>VLOOKUP($B310,#REF!,5,FALSE)</f>
        <v>#REF!</v>
      </c>
      <c r="D310" s="8" t="e">
        <f>VLOOKUP($B310,#REF!,6,FALSE)</f>
        <v>#REF!</v>
      </c>
      <c r="E310" s="9" t="e">
        <f>VLOOKUP($B310,#REF!,17,FALSE)</f>
        <v>#REF!</v>
      </c>
      <c r="F310" s="10" t="e">
        <f>VLOOKUP($B310,#REF!,7,FALSE)</f>
        <v>#REF!</v>
      </c>
      <c r="G310" s="10"/>
      <c r="H310" s="10"/>
      <c r="I310" s="11" t="e">
        <f>VLOOKUP($B310,#REF!,19,FALSE)</f>
        <v>#REF!</v>
      </c>
      <c r="J310" s="11" t="e">
        <f>VLOOKUP($B310,#REF!,6,FALSE)</f>
        <v>#REF!</v>
      </c>
      <c r="L310" s="3">
        <v>44653.055555554572</v>
      </c>
      <c r="M310" s="15"/>
    </row>
    <row r="311" spans="2:13">
      <c r="B311" s="7"/>
      <c r="C311" s="8" t="e">
        <f>VLOOKUP($B311,#REF!,5,FALSE)</f>
        <v>#REF!</v>
      </c>
      <c r="D311" s="8" t="e">
        <f>VLOOKUP($B311,#REF!,6,FALSE)</f>
        <v>#REF!</v>
      </c>
      <c r="E311" s="9" t="e">
        <f>VLOOKUP($B311,#REF!,17,FALSE)</f>
        <v>#REF!</v>
      </c>
      <c r="F311" s="10" t="e">
        <f>VLOOKUP($B311,#REF!,7,FALSE)</f>
        <v>#REF!</v>
      </c>
      <c r="G311" s="10"/>
      <c r="H311" s="10"/>
      <c r="I311" s="11" t="e">
        <f>VLOOKUP($B311,#REF!,19,FALSE)</f>
        <v>#REF!</v>
      </c>
      <c r="J311" s="11" t="e">
        <f>VLOOKUP($B311,#REF!,6,FALSE)</f>
        <v>#REF!</v>
      </c>
      <c r="L311" s="3">
        <v>44653.059027776791</v>
      </c>
      <c r="M311" s="15"/>
    </row>
    <row r="312" spans="2:13">
      <c r="B312" s="7"/>
      <c r="C312" s="8" t="e">
        <f>VLOOKUP($B312,#REF!,5,FALSE)</f>
        <v>#REF!</v>
      </c>
      <c r="D312" s="8" t="e">
        <f>VLOOKUP($B312,#REF!,6,FALSE)</f>
        <v>#REF!</v>
      </c>
      <c r="E312" s="9" t="e">
        <f>VLOOKUP($B312,#REF!,17,FALSE)</f>
        <v>#REF!</v>
      </c>
      <c r="F312" s="10" t="e">
        <f>VLOOKUP($B312,#REF!,7,FALSE)</f>
        <v>#REF!</v>
      </c>
      <c r="G312" s="10"/>
      <c r="H312" s="10"/>
      <c r="I312" s="11" t="e">
        <f>VLOOKUP($B312,#REF!,19,FALSE)</f>
        <v>#REF!</v>
      </c>
      <c r="J312" s="11" t="e">
        <f>VLOOKUP($B312,#REF!,6,FALSE)</f>
        <v>#REF!</v>
      </c>
      <c r="L312" s="3">
        <v>44653.06249999901</v>
      </c>
      <c r="M312" s="15"/>
    </row>
    <row r="313" spans="2:13">
      <c r="B313" s="7"/>
      <c r="C313" s="8" t="e">
        <f>VLOOKUP($B313,#REF!,5,FALSE)</f>
        <v>#REF!</v>
      </c>
      <c r="D313" s="8" t="e">
        <f>VLOOKUP($B313,#REF!,6,FALSE)</f>
        <v>#REF!</v>
      </c>
      <c r="E313" s="9" t="e">
        <f>VLOOKUP($B313,#REF!,17,FALSE)</f>
        <v>#REF!</v>
      </c>
      <c r="F313" s="10" t="e">
        <f>VLOOKUP($B313,#REF!,7,FALSE)</f>
        <v>#REF!</v>
      </c>
      <c r="G313" s="10"/>
      <c r="H313" s="10"/>
      <c r="I313" s="11" t="e">
        <f>VLOOKUP($B313,#REF!,19,FALSE)</f>
        <v>#REF!</v>
      </c>
      <c r="J313" s="11" t="e">
        <f>VLOOKUP($B313,#REF!,6,FALSE)</f>
        <v>#REF!</v>
      </c>
      <c r="L313" s="3">
        <v>44653.065972221229</v>
      </c>
      <c r="M313" s="15"/>
    </row>
    <row r="314" spans="2:13">
      <c r="B314" s="7"/>
      <c r="C314" s="8" t="e">
        <f>VLOOKUP($B314,#REF!,5,FALSE)</f>
        <v>#REF!</v>
      </c>
      <c r="D314" s="8" t="e">
        <f>VLOOKUP($B314,#REF!,6,FALSE)</f>
        <v>#REF!</v>
      </c>
      <c r="E314" s="9" t="e">
        <f>VLOOKUP($B314,#REF!,17,FALSE)</f>
        <v>#REF!</v>
      </c>
      <c r="F314" s="10" t="e">
        <f>VLOOKUP($B314,#REF!,7,FALSE)</f>
        <v>#REF!</v>
      </c>
      <c r="G314" s="10"/>
      <c r="H314" s="10"/>
      <c r="I314" s="11" t="e">
        <f>VLOOKUP($B314,#REF!,19,FALSE)</f>
        <v>#REF!</v>
      </c>
      <c r="J314" s="11" t="e">
        <f>VLOOKUP($B314,#REF!,6,FALSE)</f>
        <v>#REF!</v>
      </c>
      <c r="L314" s="3">
        <v>44653.069444443448</v>
      </c>
      <c r="M314" s="15"/>
    </row>
    <row r="315" spans="2:13">
      <c r="B315" s="7"/>
      <c r="C315" s="8" t="e">
        <f>VLOOKUP($B315,#REF!,5,FALSE)</f>
        <v>#REF!</v>
      </c>
      <c r="D315" s="8" t="e">
        <f>VLOOKUP($B315,#REF!,6,FALSE)</f>
        <v>#REF!</v>
      </c>
      <c r="E315" s="9" t="e">
        <f>VLOOKUP($B315,#REF!,17,FALSE)</f>
        <v>#REF!</v>
      </c>
      <c r="F315" s="10" t="e">
        <f>VLOOKUP($B315,#REF!,7,FALSE)</f>
        <v>#REF!</v>
      </c>
      <c r="G315" s="10"/>
      <c r="H315" s="10"/>
      <c r="I315" s="11" t="e">
        <f>VLOOKUP($B315,#REF!,19,FALSE)</f>
        <v>#REF!</v>
      </c>
      <c r="J315" s="11" t="e">
        <f>VLOOKUP($B315,#REF!,6,FALSE)</f>
        <v>#REF!</v>
      </c>
      <c r="L315" s="3">
        <v>44653.072916665667</v>
      </c>
      <c r="M315" s="15"/>
    </row>
    <row r="316" spans="2:13">
      <c r="B316" s="7"/>
      <c r="C316" s="8" t="e">
        <f>VLOOKUP($B316,#REF!,5,FALSE)</f>
        <v>#REF!</v>
      </c>
      <c r="D316" s="8" t="e">
        <f>VLOOKUP($B316,#REF!,6,FALSE)</f>
        <v>#REF!</v>
      </c>
      <c r="E316" s="9" t="e">
        <f>VLOOKUP($B316,#REF!,17,FALSE)</f>
        <v>#REF!</v>
      </c>
      <c r="F316" s="10" t="e">
        <f>VLOOKUP($B316,#REF!,7,FALSE)</f>
        <v>#REF!</v>
      </c>
      <c r="G316" s="10"/>
      <c r="H316" s="10"/>
      <c r="I316" s="11" t="e">
        <f>VLOOKUP($B316,#REF!,19,FALSE)</f>
        <v>#REF!</v>
      </c>
      <c r="J316" s="11" t="e">
        <f>VLOOKUP($B316,#REF!,6,FALSE)</f>
        <v>#REF!</v>
      </c>
      <c r="L316" s="3">
        <v>44653.076388887886</v>
      </c>
      <c r="M316" s="15"/>
    </row>
    <row r="317" spans="2:13">
      <c r="B317" s="7"/>
      <c r="C317" s="8" t="e">
        <f>VLOOKUP($B317,#REF!,5,FALSE)</f>
        <v>#REF!</v>
      </c>
      <c r="D317" s="8" t="e">
        <f>VLOOKUP($B317,#REF!,6,FALSE)</f>
        <v>#REF!</v>
      </c>
      <c r="E317" s="9" t="e">
        <f>VLOOKUP($B317,#REF!,17,FALSE)</f>
        <v>#REF!</v>
      </c>
      <c r="F317" s="10" t="e">
        <f>VLOOKUP($B317,#REF!,7,FALSE)</f>
        <v>#REF!</v>
      </c>
      <c r="G317" s="10"/>
      <c r="H317" s="10"/>
      <c r="I317" s="11" t="e">
        <f>VLOOKUP($B317,#REF!,19,FALSE)</f>
        <v>#REF!</v>
      </c>
      <c r="J317" s="11" t="e">
        <f>VLOOKUP($B317,#REF!,6,FALSE)</f>
        <v>#REF!</v>
      </c>
      <c r="L317" s="3">
        <v>44653.079861110105</v>
      </c>
      <c r="M317" s="15"/>
    </row>
    <row r="318" spans="2:13">
      <c r="B318" s="7"/>
      <c r="C318" s="8" t="e">
        <f>VLOOKUP($B318,#REF!,5,FALSE)</f>
        <v>#REF!</v>
      </c>
      <c r="D318" s="8" t="e">
        <f>VLOOKUP($B318,#REF!,6,FALSE)</f>
        <v>#REF!</v>
      </c>
      <c r="E318" s="9" t="e">
        <f>VLOOKUP($B318,#REF!,17,FALSE)</f>
        <v>#REF!</v>
      </c>
      <c r="F318" s="10" t="e">
        <f>VLOOKUP($B318,#REF!,7,FALSE)</f>
        <v>#REF!</v>
      </c>
      <c r="G318" s="10"/>
      <c r="H318" s="10"/>
      <c r="I318" s="11" t="e">
        <f>VLOOKUP($B318,#REF!,19,FALSE)</f>
        <v>#REF!</v>
      </c>
      <c r="J318" s="11" t="e">
        <f>VLOOKUP($B318,#REF!,6,FALSE)</f>
        <v>#REF!</v>
      </c>
      <c r="L318" s="3">
        <v>44653.083333332324</v>
      </c>
      <c r="M318" s="15"/>
    </row>
    <row r="319" spans="2:13">
      <c r="B319" s="7"/>
      <c r="C319" s="8" t="e">
        <f>VLOOKUP($B319,#REF!,5,FALSE)</f>
        <v>#REF!</v>
      </c>
      <c r="D319" s="8" t="e">
        <f>VLOOKUP($B319,#REF!,6,FALSE)</f>
        <v>#REF!</v>
      </c>
      <c r="E319" s="9" t="e">
        <f>VLOOKUP($B319,#REF!,17,FALSE)</f>
        <v>#REF!</v>
      </c>
      <c r="F319" s="10" t="e">
        <f>VLOOKUP($B319,#REF!,7,FALSE)</f>
        <v>#REF!</v>
      </c>
      <c r="G319" s="10"/>
      <c r="H319" s="10"/>
      <c r="I319" s="11" t="e">
        <f>VLOOKUP($B319,#REF!,19,FALSE)</f>
        <v>#REF!</v>
      </c>
      <c r="J319" s="11" t="e">
        <f>VLOOKUP($B319,#REF!,6,FALSE)</f>
        <v>#REF!</v>
      </c>
      <c r="L319" s="3">
        <v>44653.086805554543</v>
      </c>
      <c r="M319" s="15"/>
    </row>
    <row r="320" spans="2:13">
      <c r="B320" s="7"/>
      <c r="C320" s="8" t="e">
        <f>VLOOKUP($B320,#REF!,5,FALSE)</f>
        <v>#REF!</v>
      </c>
      <c r="D320" s="8" t="e">
        <f>VLOOKUP($B320,#REF!,6,FALSE)</f>
        <v>#REF!</v>
      </c>
      <c r="E320" s="9" t="e">
        <f>VLOOKUP($B320,#REF!,17,FALSE)</f>
        <v>#REF!</v>
      </c>
      <c r="F320" s="10" t="e">
        <f>VLOOKUP($B320,#REF!,7,FALSE)</f>
        <v>#REF!</v>
      </c>
      <c r="G320" s="10"/>
      <c r="H320" s="10"/>
      <c r="I320" s="11" t="e">
        <f>VLOOKUP($B320,#REF!,19,FALSE)</f>
        <v>#REF!</v>
      </c>
      <c r="J320" s="11" t="e">
        <f>VLOOKUP($B320,#REF!,6,FALSE)</f>
        <v>#REF!</v>
      </c>
      <c r="L320" s="3">
        <v>44653.090277776762</v>
      </c>
      <c r="M320" s="15"/>
    </row>
    <row r="321" spans="2:13">
      <c r="B321" s="7"/>
      <c r="C321" s="8" t="e">
        <f>VLOOKUP($B321,#REF!,5,FALSE)</f>
        <v>#REF!</v>
      </c>
      <c r="D321" s="8" t="e">
        <f>VLOOKUP($B321,#REF!,6,FALSE)</f>
        <v>#REF!</v>
      </c>
      <c r="E321" s="9" t="e">
        <f>VLOOKUP($B321,#REF!,17,FALSE)</f>
        <v>#REF!</v>
      </c>
      <c r="F321" s="10" t="e">
        <f>VLOOKUP($B321,#REF!,7,FALSE)</f>
        <v>#REF!</v>
      </c>
      <c r="G321" s="10"/>
      <c r="H321" s="10"/>
      <c r="I321" s="11" t="e">
        <f>VLOOKUP($B321,#REF!,19,FALSE)</f>
        <v>#REF!</v>
      </c>
      <c r="J321" s="11" t="e">
        <f>VLOOKUP($B321,#REF!,6,FALSE)</f>
        <v>#REF!</v>
      </c>
      <c r="L321" s="3">
        <v>44653.093749998981</v>
      </c>
      <c r="M321" s="15"/>
    </row>
    <row r="322" spans="2:13">
      <c r="B322" s="7"/>
      <c r="C322" s="8" t="e">
        <f>VLOOKUP($B322,#REF!,5,FALSE)</f>
        <v>#REF!</v>
      </c>
      <c r="D322" s="8" t="e">
        <f>VLOOKUP($B322,#REF!,6,FALSE)</f>
        <v>#REF!</v>
      </c>
      <c r="E322" s="9" t="e">
        <f>VLOOKUP($B322,#REF!,17,FALSE)</f>
        <v>#REF!</v>
      </c>
      <c r="F322" s="10" t="e">
        <f>VLOOKUP($B322,#REF!,7,FALSE)</f>
        <v>#REF!</v>
      </c>
      <c r="G322" s="10"/>
      <c r="H322" s="10"/>
      <c r="I322" s="11" t="e">
        <f>VLOOKUP($B322,#REF!,19,FALSE)</f>
        <v>#REF!</v>
      </c>
      <c r="J322" s="11" t="e">
        <f>VLOOKUP($B322,#REF!,6,FALSE)</f>
        <v>#REF!</v>
      </c>
      <c r="L322" s="3">
        <v>44653.0972222212</v>
      </c>
      <c r="M322" s="15"/>
    </row>
    <row r="323" spans="2:13">
      <c r="B323" s="7"/>
      <c r="C323" s="8" t="e">
        <f>VLOOKUP($B323,#REF!,5,FALSE)</f>
        <v>#REF!</v>
      </c>
      <c r="D323" s="8" t="e">
        <f>VLOOKUP($B323,#REF!,6,FALSE)</f>
        <v>#REF!</v>
      </c>
      <c r="E323" s="9" t="e">
        <f>VLOOKUP($B323,#REF!,17,FALSE)</f>
        <v>#REF!</v>
      </c>
      <c r="F323" s="10" t="e">
        <f>VLOOKUP($B323,#REF!,7,FALSE)</f>
        <v>#REF!</v>
      </c>
      <c r="G323" s="10"/>
      <c r="H323" s="10"/>
      <c r="I323" s="11" t="e">
        <f>VLOOKUP($B323,#REF!,19,FALSE)</f>
        <v>#REF!</v>
      </c>
      <c r="J323" s="11" t="e">
        <f>VLOOKUP($B323,#REF!,6,FALSE)</f>
        <v>#REF!</v>
      </c>
      <c r="L323" s="3">
        <v>44653.100694443419</v>
      </c>
      <c r="M323" s="15"/>
    </row>
    <row r="324" spans="2:13">
      <c r="B324" s="7"/>
      <c r="C324" s="8" t="e">
        <f>VLOOKUP($B324,#REF!,5,FALSE)</f>
        <v>#REF!</v>
      </c>
      <c r="D324" s="8" t="e">
        <f>VLOOKUP($B324,#REF!,6,FALSE)</f>
        <v>#REF!</v>
      </c>
      <c r="E324" s="9" t="e">
        <f>VLOOKUP($B324,#REF!,17,FALSE)</f>
        <v>#REF!</v>
      </c>
      <c r="F324" s="10" t="e">
        <f>VLOOKUP($B324,#REF!,7,FALSE)</f>
        <v>#REF!</v>
      </c>
      <c r="G324" s="10"/>
      <c r="H324" s="10"/>
      <c r="I324" s="11" t="e">
        <f>VLOOKUP($B324,#REF!,19,FALSE)</f>
        <v>#REF!</v>
      </c>
      <c r="J324" s="11" t="e">
        <f>VLOOKUP($B324,#REF!,6,FALSE)</f>
        <v>#REF!</v>
      </c>
      <c r="L324" s="3">
        <v>44653.104166665638</v>
      </c>
      <c r="M324" s="15"/>
    </row>
    <row r="325" spans="2:13">
      <c r="B325" s="7"/>
      <c r="C325" s="8" t="e">
        <f>VLOOKUP($B325,#REF!,5,FALSE)</f>
        <v>#REF!</v>
      </c>
      <c r="D325" s="8" t="e">
        <f>VLOOKUP($B325,#REF!,6,FALSE)</f>
        <v>#REF!</v>
      </c>
      <c r="E325" s="9" t="e">
        <f>VLOOKUP($B325,#REF!,17,FALSE)</f>
        <v>#REF!</v>
      </c>
      <c r="F325" s="10" t="e">
        <f>VLOOKUP($B325,#REF!,7,FALSE)</f>
        <v>#REF!</v>
      </c>
      <c r="G325" s="10"/>
      <c r="H325" s="10"/>
      <c r="I325" s="11" t="e">
        <f>VLOOKUP($B325,#REF!,19,FALSE)</f>
        <v>#REF!</v>
      </c>
      <c r="J325" s="11" t="e">
        <f>VLOOKUP($B325,#REF!,6,FALSE)</f>
        <v>#REF!</v>
      </c>
      <c r="L325" s="3">
        <v>44653.107638887857</v>
      </c>
      <c r="M325" s="15"/>
    </row>
    <row r="326" spans="2:13">
      <c r="B326" s="7"/>
      <c r="C326" s="8" t="e">
        <f>VLOOKUP($B326,#REF!,5,FALSE)</f>
        <v>#REF!</v>
      </c>
      <c r="D326" s="8" t="e">
        <f>VLOOKUP($B326,#REF!,6,FALSE)</f>
        <v>#REF!</v>
      </c>
      <c r="E326" s="9" t="e">
        <f>VLOOKUP($B326,#REF!,17,FALSE)</f>
        <v>#REF!</v>
      </c>
      <c r="F326" s="10" t="e">
        <f>VLOOKUP($B326,#REF!,7,FALSE)</f>
        <v>#REF!</v>
      </c>
      <c r="G326" s="10"/>
      <c r="H326" s="10"/>
      <c r="I326" s="11" t="e">
        <f>VLOOKUP($B326,#REF!,19,FALSE)</f>
        <v>#REF!</v>
      </c>
      <c r="J326" s="11" t="e">
        <f>VLOOKUP($B326,#REF!,6,FALSE)</f>
        <v>#REF!</v>
      </c>
      <c r="L326" s="3">
        <v>44653.111111110076</v>
      </c>
      <c r="M326" s="15"/>
    </row>
    <row r="327" spans="2:13">
      <c r="B327" s="7"/>
      <c r="C327" s="8" t="e">
        <f>VLOOKUP($B327,#REF!,5,FALSE)</f>
        <v>#REF!</v>
      </c>
      <c r="D327" s="8" t="e">
        <f>VLOOKUP($B327,#REF!,6,FALSE)</f>
        <v>#REF!</v>
      </c>
      <c r="E327" s="9" t="e">
        <f>VLOOKUP($B327,#REF!,17,FALSE)</f>
        <v>#REF!</v>
      </c>
      <c r="F327" s="10" t="e">
        <f>VLOOKUP($B327,#REF!,7,FALSE)</f>
        <v>#REF!</v>
      </c>
      <c r="G327" s="10"/>
      <c r="H327" s="10"/>
      <c r="I327" s="11" t="e">
        <f>VLOOKUP($B327,#REF!,19,FALSE)</f>
        <v>#REF!</v>
      </c>
      <c r="J327" s="11" t="e">
        <f>VLOOKUP($B327,#REF!,6,FALSE)</f>
        <v>#REF!</v>
      </c>
      <c r="L327" s="3">
        <v>44653.114583332295</v>
      </c>
      <c r="M327" s="15"/>
    </row>
    <row r="328" spans="2:13">
      <c r="B328" s="7"/>
      <c r="C328" s="8" t="e">
        <f>VLOOKUP($B328,#REF!,5,FALSE)</f>
        <v>#REF!</v>
      </c>
      <c r="D328" s="8" t="e">
        <f>VLOOKUP($B328,#REF!,6,FALSE)</f>
        <v>#REF!</v>
      </c>
      <c r="E328" s="9" t="e">
        <f>VLOOKUP($B328,#REF!,17,FALSE)</f>
        <v>#REF!</v>
      </c>
      <c r="F328" s="10" t="e">
        <f>VLOOKUP($B328,#REF!,7,FALSE)</f>
        <v>#REF!</v>
      </c>
      <c r="G328" s="10"/>
      <c r="H328" s="10"/>
      <c r="I328" s="11" t="e">
        <f>VLOOKUP($B328,#REF!,19,FALSE)</f>
        <v>#REF!</v>
      </c>
      <c r="J328" s="11" t="e">
        <f>VLOOKUP($B328,#REF!,6,FALSE)</f>
        <v>#REF!</v>
      </c>
      <c r="L328" s="3">
        <v>44653.118055554514</v>
      </c>
      <c r="M328" s="15"/>
    </row>
    <row r="329" spans="2:13">
      <c r="B329" s="7"/>
      <c r="C329" s="8" t="e">
        <f>VLOOKUP($B329,#REF!,5,FALSE)</f>
        <v>#REF!</v>
      </c>
      <c r="D329" s="8" t="e">
        <f>VLOOKUP($B329,#REF!,6,FALSE)</f>
        <v>#REF!</v>
      </c>
      <c r="E329" s="9" t="e">
        <f>VLOOKUP($B329,#REF!,17,FALSE)</f>
        <v>#REF!</v>
      </c>
      <c r="F329" s="10" t="e">
        <f>VLOOKUP($B329,#REF!,7,FALSE)</f>
        <v>#REF!</v>
      </c>
      <c r="G329" s="10"/>
      <c r="H329" s="10"/>
      <c r="I329" s="11" t="e">
        <f>VLOOKUP($B329,#REF!,19,FALSE)</f>
        <v>#REF!</v>
      </c>
      <c r="J329" s="11" t="e">
        <f>VLOOKUP($B329,#REF!,6,FALSE)</f>
        <v>#REF!</v>
      </c>
      <c r="L329" s="3">
        <v>44653.121527776733</v>
      </c>
      <c r="M329" s="15"/>
    </row>
    <row r="330" spans="2:13">
      <c r="B330" s="7"/>
      <c r="C330" s="8" t="e">
        <f>VLOOKUP($B330,#REF!,5,FALSE)</f>
        <v>#REF!</v>
      </c>
      <c r="D330" s="8" t="e">
        <f>VLOOKUP($B330,#REF!,6,FALSE)</f>
        <v>#REF!</v>
      </c>
      <c r="E330" s="9" t="e">
        <f>VLOOKUP($B330,#REF!,17,FALSE)</f>
        <v>#REF!</v>
      </c>
      <c r="F330" s="10" t="e">
        <f>VLOOKUP($B330,#REF!,7,FALSE)</f>
        <v>#REF!</v>
      </c>
      <c r="G330" s="10"/>
      <c r="H330" s="10"/>
      <c r="I330" s="11" t="e">
        <f>VLOOKUP($B330,#REF!,19,FALSE)</f>
        <v>#REF!</v>
      </c>
      <c r="J330" s="11" t="e">
        <f>VLOOKUP($B330,#REF!,6,FALSE)</f>
        <v>#REF!</v>
      </c>
      <c r="L330" s="3">
        <v>44653.124999998952</v>
      </c>
      <c r="M330" s="15"/>
    </row>
    <row r="331" spans="2:13">
      <c r="B331" s="7"/>
      <c r="C331" s="8" t="e">
        <f>VLOOKUP($B331,#REF!,5,FALSE)</f>
        <v>#REF!</v>
      </c>
      <c r="D331" s="8" t="e">
        <f>VLOOKUP($B331,#REF!,6,FALSE)</f>
        <v>#REF!</v>
      </c>
      <c r="E331" s="9" t="e">
        <f>VLOOKUP($B331,#REF!,17,FALSE)</f>
        <v>#REF!</v>
      </c>
      <c r="F331" s="10" t="e">
        <f>VLOOKUP($B331,#REF!,7,FALSE)</f>
        <v>#REF!</v>
      </c>
      <c r="G331" s="10"/>
      <c r="H331" s="10"/>
      <c r="I331" s="11" t="e">
        <f>VLOOKUP($B331,#REF!,19,FALSE)</f>
        <v>#REF!</v>
      </c>
      <c r="J331" s="11" t="e">
        <f>VLOOKUP($B331,#REF!,6,FALSE)</f>
        <v>#REF!</v>
      </c>
      <c r="L331" s="3">
        <v>44653.128472221171</v>
      </c>
      <c r="M331" s="15"/>
    </row>
    <row r="332" spans="2:13">
      <c r="B332" s="7"/>
      <c r="C332" s="8" t="e">
        <f>VLOOKUP($B332,#REF!,5,FALSE)</f>
        <v>#REF!</v>
      </c>
      <c r="D332" s="8" t="e">
        <f>VLOOKUP($B332,#REF!,6,FALSE)</f>
        <v>#REF!</v>
      </c>
      <c r="E332" s="9" t="e">
        <f>VLOOKUP($B332,#REF!,17,FALSE)</f>
        <v>#REF!</v>
      </c>
      <c r="F332" s="10" t="e">
        <f>VLOOKUP($B332,#REF!,7,FALSE)</f>
        <v>#REF!</v>
      </c>
      <c r="G332" s="10"/>
      <c r="H332" s="10"/>
      <c r="I332" s="11" t="e">
        <f>VLOOKUP($B332,#REF!,19,FALSE)</f>
        <v>#REF!</v>
      </c>
      <c r="J332" s="11" t="e">
        <f>VLOOKUP($B332,#REF!,6,FALSE)</f>
        <v>#REF!</v>
      </c>
      <c r="L332" s="3">
        <v>44653.13194444339</v>
      </c>
      <c r="M332" s="15"/>
    </row>
    <row r="333" spans="2:13">
      <c r="B333" s="7"/>
      <c r="C333" s="8" t="e">
        <f>VLOOKUP($B333,#REF!,5,FALSE)</f>
        <v>#REF!</v>
      </c>
      <c r="D333" s="8" t="e">
        <f>VLOOKUP($B333,#REF!,6,FALSE)</f>
        <v>#REF!</v>
      </c>
      <c r="E333" s="9" t="e">
        <f>VLOOKUP($B333,#REF!,17,FALSE)</f>
        <v>#REF!</v>
      </c>
      <c r="F333" s="10" t="e">
        <f>VLOOKUP($B333,#REF!,7,FALSE)</f>
        <v>#REF!</v>
      </c>
      <c r="G333" s="10"/>
      <c r="H333" s="10"/>
      <c r="I333" s="11" t="e">
        <f>VLOOKUP($B333,#REF!,19,FALSE)</f>
        <v>#REF!</v>
      </c>
      <c r="J333" s="11" t="e">
        <f>VLOOKUP($B333,#REF!,6,FALSE)</f>
        <v>#REF!</v>
      </c>
      <c r="L333" s="3">
        <v>44653.135416665609</v>
      </c>
      <c r="M333" s="15"/>
    </row>
    <row r="334" spans="2:13">
      <c r="B334" s="7"/>
      <c r="C334" s="8" t="e">
        <f>VLOOKUP($B334,#REF!,5,FALSE)</f>
        <v>#REF!</v>
      </c>
      <c r="D334" s="8" t="e">
        <f>VLOOKUP($B334,#REF!,6,FALSE)</f>
        <v>#REF!</v>
      </c>
      <c r="E334" s="9" t="e">
        <f>VLOOKUP($B334,#REF!,17,FALSE)</f>
        <v>#REF!</v>
      </c>
      <c r="F334" s="10" t="e">
        <f>VLOOKUP($B334,#REF!,7,FALSE)</f>
        <v>#REF!</v>
      </c>
      <c r="G334" s="10"/>
      <c r="H334" s="10"/>
      <c r="I334" s="11" t="e">
        <f>VLOOKUP($B334,#REF!,19,FALSE)</f>
        <v>#REF!</v>
      </c>
      <c r="J334" s="11" t="e">
        <f>VLOOKUP($B334,#REF!,6,FALSE)</f>
        <v>#REF!</v>
      </c>
      <c r="L334" s="3">
        <v>44653.138888887828</v>
      </c>
      <c r="M334" s="15"/>
    </row>
    <row r="335" spans="2:13">
      <c r="B335" s="7"/>
      <c r="C335" s="8" t="e">
        <f>VLOOKUP($B335,#REF!,5,FALSE)</f>
        <v>#REF!</v>
      </c>
      <c r="D335" s="8" t="e">
        <f>VLOOKUP($B335,#REF!,6,FALSE)</f>
        <v>#REF!</v>
      </c>
      <c r="E335" s="9" t="e">
        <f>VLOOKUP($B335,#REF!,17,FALSE)</f>
        <v>#REF!</v>
      </c>
      <c r="F335" s="10" t="e">
        <f>VLOOKUP($B335,#REF!,7,FALSE)</f>
        <v>#REF!</v>
      </c>
      <c r="G335" s="10"/>
      <c r="H335" s="10"/>
      <c r="I335" s="11" t="e">
        <f>VLOOKUP($B335,#REF!,19,FALSE)</f>
        <v>#REF!</v>
      </c>
      <c r="J335" s="11" t="e">
        <f>VLOOKUP($B335,#REF!,6,FALSE)</f>
        <v>#REF!</v>
      </c>
      <c r="L335" s="3">
        <v>44653.142361110047</v>
      </c>
      <c r="M335" s="15"/>
    </row>
    <row r="336" spans="2:13">
      <c r="B336" s="7"/>
      <c r="C336" s="8" t="e">
        <f>VLOOKUP($B336,#REF!,5,FALSE)</f>
        <v>#REF!</v>
      </c>
      <c r="D336" s="8" t="e">
        <f>VLOOKUP($B336,#REF!,6,FALSE)</f>
        <v>#REF!</v>
      </c>
      <c r="E336" s="9" t="e">
        <f>VLOOKUP($B336,#REF!,17,FALSE)</f>
        <v>#REF!</v>
      </c>
      <c r="F336" s="10" t="e">
        <f>VLOOKUP($B336,#REF!,7,FALSE)</f>
        <v>#REF!</v>
      </c>
      <c r="G336" s="10"/>
      <c r="H336" s="10"/>
      <c r="I336" s="11" t="e">
        <f>VLOOKUP($B336,#REF!,19,FALSE)</f>
        <v>#REF!</v>
      </c>
      <c r="J336" s="11" t="e">
        <f>VLOOKUP($B336,#REF!,6,FALSE)</f>
        <v>#REF!</v>
      </c>
      <c r="L336" s="3">
        <v>44653.145833332266</v>
      </c>
      <c r="M336" s="15"/>
    </row>
    <row r="337" spans="2:13">
      <c r="B337" s="7"/>
      <c r="C337" s="8" t="e">
        <f>VLOOKUP($B337,#REF!,5,FALSE)</f>
        <v>#REF!</v>
      </c>
      <c r="D337" s="8" t="e">
        <f>VLOOKUP($B337,#REF!,6,FALSE)</f>
        <v>#REF!</v>
      </c>
      <c r="E337" s="9" t="e">
        <f>VLOOKUP($B337,#REF!,17,FALSE)</f>
        <v>#REF!</v>
      </c>
      <c r="F337" s="10" t="e">
        <f>VLOOKUP($B337,#REF!,7,FALSE)</f>
        <v>#REF!</v>
      </c>
      <c r="G337" s="10"/>
      <c r="H337" s="10"/>
      <c r="I337" s="11" t="e">
        <f>VLOOKUP($B337,#REF!,19,FALSE)</f>
        <v>#REF!</v>
      </c>
      <c r="J337" s="11" t="e">
        <f>VLOOKUP($B337,#REF!,6,FALSE)</f>
        <v>#REF!</v>
      </c>
      <c r="L337" s="3">
        <v>44653.149305554485</v>
      </c>
      <c r="M337" s="15"/>
    </row>
    <row r="338" spans="2:13">
      <c r="B338" s="7"/>
      <c r="C338" s="8" t="e">
        <f>VLOOKUP($B338,#REF!,5,FALSE)</f>
        <v>#REF!</v>
      </c>
      <c r="D338" s="8" t="e">
        <f>VLOOKUP($B338,#REF!,6,FALSE)</f>
        <v>#REF!</v>
      </c>
      <c r="E338" s="9" t="e">
        <f>VLOOKUP($B338,#REF!,17,FALSE)</f>
        <v>#REF!</v>
      </c>
      <c r="F338" s="10" t="e">
        <f>VLOOKUP($B338,#REF!,7,FALSE)</f>
        <v>#REF!</v>
      </c>
      <c r="G338" s="10"/>
      <c r="H338" s="10"/>
      <c r="I338" s="11" t="e">
        <f>VLOOKUP($B338,#REF!,19,FALSE)</f>
        <v>#REF!</v>
      </c>
      <c r="J338" s="11" t="e">
        <f>VLOOKUP($B338,#REF!,6,FALSE)</f>
        <v>#REF!</v>
      </c>
      <c r="L338" s="3">
        <v>44653.152777776704</v>
      </c>
      <c r="M338" s="15"/>
    </row>
    <row r="339" spans="2:13">
      <c r="B339" s="7"/>
      <c r="C339" s="8" t="e">
        <f>VLOOKUP($B339,#REF!,5,FALSE)</f>
        <v>#REF!</v>
      </c>
      <c r="D339" s="8" t="e">
        <f>VLOOKUP($B339,#REF!,6,FALSE)</f>
        <v>#REF!</v>
      </c>
      <c r="E339" s="9" t="e">
        <f>VLOOKUP($B339,#REF!,17,FALSE)</f>
        <v>#REF!</v>
      </c>
      <c r="F339" s="10" t="e">
        <f>VLOOKUP($B339,#REF!,7,FALSE)</f>
        <v>#REF!</v>
      </c>
      <c r="G339" s="10"/>
      <c r="H339" s="10"/>
      <c r="I339" s="11" t="e">
        <f>VLOOKUP($B339,#REF!,19,FALSE)</f>
        <v>#REF!</v>
      </c>
      <c r="J339" s="11" t="e">
        <f>VLOOKUP($B339,#REF!,6,FALSE)</f>
        <v>#REF!</v>
      </c>
      <c r="L339" s="3">
        <v>44653.156249998923</v>
      </c>
      <c r="M339" s="15"/>
    </row>
    <row r="340" spans="2:13">
      <c r="B340" s="7"/>
      <c r="C340" s="8" t="e">
        <f>VLOOKUP($B340,#REF!,5,FALSE)</f>
        <v>#REF!</v>
      </c>
      <c r="D340" s="8" t="e">
        <f>VLOOKUP($B340,#REF!,6,FALSE)</f>
        <v>#REF!</v>
      </c>
      <c r="E340" s="9" t="e">
        <f>VLOOKUP($B340,#REF!,17,FALSE)</f>
        <v>#REF!</v>
      </c>
      <c r="F340" s="10" t="e">
        <f>VLOOKUP($B340,#REF!,7,FALSE)</f>
        <v>#REF!</v>
      </c>
      <c r="G340" s="10"/>
      <c r="H340" s="10"/>
      <c r="I340" s="11" t="e">
        <f>VLOOKUP($B340,#REF!,19,FALSE)</f>
        <v>#REF!</v>
      </c>
      <c r="J340" s="11" t="e">
        <f>VLOOKUP($B340,#REF!,6,FALSE)</f>
        <v>#REF!</v>
      </c>
      <c r="L340" s="3">
        <v>44653.159722221142</v>
      </c>
      <c r="M340" s="15"/>
    </row>
    <row r="341" spans="2:13">
      <c r="B341" s="7"/>
      <c r="C341" s="8" t="e">
        <f>VLOOKUP($B341,#REF!,5,FALSE)</f>
        <v>#REF!</v>
      </c>
      <c r="D341" s="8" t="e">
        <f>VLOOKUP($B341,#REF!,6,FALSE)</f>
        <v>#REF!</v>
      </c>
      <c r="E341" s="9" t="e">
        <f>VLOOKUP($B341,#REF!,17,FALSE)</f>
        <v>#REF!</v>
      </c>
      <c r="F341" s="10" t="e">
        <f>VLOOKUP($B341,#REF!,7,FALSE)</f>
        <v>#REF!</v>
      </c>
      <c r="G341" s="10"/>
      <c r="H341" s="10"/>
      <c r="I341" s="11" t="e">
        <f>VLOOKUP($B341,#REF!,19,FALSE)</f>
        <v>#REF!</v>
      </c>
      <c r="J341" s="11" t="e">
        <f>VLOOKUP($B341,#REF!,6,FALSE)</f>
        <v>#REF!</v>
      </c>
      <c r="L341" s="3">
        <v>44653.163194443361</v>
      </c>
      <c r="M341" s="15"/>
    </row>
    <row r="342" spans="2:13">
      <c r="B342" s="7"/>
      <c r="C342" s="8" t="e">
        <f>VLOOKUP($B342,#REF!,5,FALSE)</f>
        <v>#REF!</v>
      </c>
      <c r="D342" s="8" t="e">
        <f>VLOOKUP($B342,#REF!,6,FALSE)</f>
        <v>#REF!</v>
      </c>
      <c r="E342" s="9" t="e">
        <f>VLOOKUP($B342,#REF!,17,FALSE)</f>
        <v>#REF!</v>
      </c>
      <c r="F342" s="10" t="e">
        <f>VLOOKUP($B342,#REF!,7,FALSE)</f>
        <v>#REF!</v>
      </c>
      <c r="G342" s="10"/>
      <c r="H342" s="10"/>
      <c r="I342" s="11" t="e">
        <f>VLOOKUP($B342,#REF!,19,FALSE)</f>
        <v>#REF!</v>
      </c>
      <c r="J342" s="11" t="e">
        <f>VLOOKUP($B342,#REF!,6,FALSE)</f>
        <v>#REF!</v>
      </c>
      <c r="L342" s="3">
        <v>44653.16666666558</v>
      </c>
      <c r="M342" s="15"/>
    </row>
    <row r="343" spans="2:13">
      <c r="B343" s="7"/>
      <c r="C343" s="8" t="e">
        <f>VLOOKUP($B343,#REF!,5,FALSE)</f>
        <v>#REF!</v>
      </c>
      <c r="D343" s="8" t="e">
        <f>VLOOKUP($B343,#REF!,6,FALSE)</f>
        <v>#REF!</v>
      </c>
      <c r="E343" s="9" t="e">
        <f>VLOOKUP($B343,#REF!,17,FALSE)</f>
        <v>#REF!</v>
      </c>
      <c r="F343" s="10" t="e">
        <f>VLOOKUP($B343,#REF!,7,FALSE)</f>
        <v>#REF!</v>
      </c>
      <c r="G343" s="10"/>
      <c r="H343" s="10"/>
      <c r="I343" s="11" t="e">
        <f>VLOOKUP($B343,#REF!,19,FALSE)</f>
        <v>#REF!</v>
      </c>
      <c r="J343" s="11" t="e">
        <f>VLOOKUP($B343,#REF!,6,FALSE)</f>
        <v>#REF!</v>
      </c>
      <c r="L343" s="3">
        <v>44653.170138887799</v>
      </c>
      <c r="M343" s="15"/>
    </row>
    <row r="344" spans="2:13">
      <c r="B344" s="7"/>
      <c r="C344" s="8" t="e">
        <f>VLOOKUP($B344,#REF!,5,FALSE)</f>
        <v>#REF!</v>
      </c>
      <c r="D344" s="8" t="e">
        <f>VLOOKUP($B344,#REF!,6,FALSE)</f>
        <v>#REF!</v>
      </c>
      <c r="E344" s="9" t="e">
        <f>VLOOKUP($B344,#REF!,17,FALSE)</f>
        <v>#REF!</v>
      </c>
      <c r="F344" s="10" t="e">
        <f>VLOOKUP($B344,#REF!,7,FALSE)</f>
        <v>#REF!</v>
      </c>
      <c r="G344" s="10"/>
      <c r="H344" s="10"/>
      <c r="I344" s="11" t="e">
        <f>VLOOKUP($B344,#REF!,19,FALSE)</f>
        <v>#REF!</v>
      </c>
      <c r="J344" s="11" t="e">
        <f>VLOOKUP($B344,#REF!,6,FALSE)</f>
        <v>#REF!</v>
      </c>
      <c r="L344" s="3">
        <v>44653.173611110018</v>
      </c>
      <c r="M344" s="15"/>
    </row>
    <row r="345" spans="2:13">
      <c r="B345" s="7"/>
      <c r="C345" s="8" t="e">
        <f>VLOOKUP($B345,#REF!,5,FALSE)</f>
        <v>#REF!</v>
      </c>
      <c r="D345" s="8" t="e">
        <f>VLOOKUP($B345,#REF!,6,FALSE)</f>
        <v>#REF!</v>
      </c>
      <c r="E345" s="9" t="e">
        <f>VLOOKUP($B345,#REF!,17,FALSE)</f>
        <v>#REF!</v>
      </c>
      <c r="F345" s="10" t="e">
        <f>VLOOKUP($B345,#REF!,7,FALSE)</f>
        <v>#REF!</v>
      </c>
      <c r="G345" s="10"/>
      <c r="H345" s="10"/>
      <c r="I345" s="11" t="e">
        <f>VLOOKUP($B345,#REF!,19,FALSE)</f>
        <v>#REF!</v>
      </c>
      <c r="J345" s="11" t="e">
        <f>VLOOKUP($B345,#REF!,6,FALSE)</f>
        <v>#REF!</v>
      </c>
      <c r="L345" s="3">
        <v>44653.177083332237</v>
      </c>
      <c r="M345" s="15"/>
    </row>
    <row r="346" spans="2:13">
      <c r="B346" s="7"/>
      <c r="C346" s="8" t="e">
        <f>VLOOKUP($B346,#REF!,5,FALSE)</f>
        <v>#REF!</v>
      </c>
      <c r="D346" s="8" t="e">
        <f>VLOOKUP($B346,#REF!,6,FALSE)</f>
        <v>#REF!</v>
      </c>
      <c r="E346" s="9" t="e">
        <f>VLOOKUP($B346,#REF!,17,FALSE)</f>
        <v>#REF!</v>
      </c>
      <c r="F346" s="10" t="e">
        <f>VLOOKUP($B346,#REF!,7,FALSE)</f>
        <v>#REF!</v>
      </c>
      <c r="G346" s="10"/>
      <c r="H346" s="10"/>
      <c r="I346" s="11" t="e">
        <f>VLOOKUP($B346,#REF!,19,FALSE)</f>
        <v>#REF!</v>
      </c>
      <c r="J346" s="11" t="e">
        <f>VLOOKUP($B346,#REF!,6,FALSE)</f>
        <v>#REF!</v>
      </c>
      <c r="L346" s="3">
        <v>44653.180555554456</v>
      </c>
      <c r="M346" s="15"/>
    </row>
    <row r="347" spans="2:13">
      <c r="B347" s="7"/>
      <c r="C347" s="8" t="e">
        <f>VLOOKUP($B347,#REF!,5,FALSE)</f>
        <v>#REF!</v>
      </c>
      <c r="D347" s="8" t="e">
        <f>VLOOKUP($B347,#REF!,6,FALSE)</f>
        <v>#REF!</v>
      </c>
      <c r="E347" s="9" t="e">
        <f>VLOOKUP($B347,#REF!,17,FALSE)</f>
        <v>#REF!</v>
      </c>
      <c r="F347" s="10" t="e">
        <f>VLOOKUP($B347,#REF!,7,FALSE)</f>
        <v>#REF!</v>
      </c>
      <c r="G347" s="10"/>
      <c r="H347" s="10"/>
      <c r="I347" s="11" t="e">
        <f>VLOOKUP($B347,#REF!,19,FALSE)</f>
        <v>#REF!</v>
      </c>
      <c r="J347" s="11" t="e">
        <f>VLOOKUP($B347,#REF!,6,FALSE)</f>
        <v>#REF!</v>
      </c>
      <c r="L347" s="3">
        <v>44653.184027776675</v>
      </c>
      <c r="M347" s="15"/>
    </row>
    <row r="348" spans="2:13">
      <c r="B348" s="7"/>
      <c r="C348" s="8" t="e">
        <f>VLOOKUP($B348,#REF!,5,FALSE)</f>
        <v>#REF!</v>
      </c>
      <c r="D348" s="8" t="e">
        <f>VLOOKUP($B348,#REF!,6,FALSE)</f>
        <v>#REF!</v>
      </c>
      <c r="E348" s="9" t="e">
        <f>VLOOKUP($B348,#REF!,17,FALSE)</f>
        <v>#REF!</v>
      </c>
      <c r="F348" s="10" t="e">
        <f>VLOOKUP($B348,#REF!,7,FALSE)</f>
        <v>#REF!</v>
      </c>
      <c r="G348" s="10"/>
      <c r="H348" s="10"/>
      <c r="I348" s="11" t="e">
        <f>VLOOKUP($B348,#REF!,19,FALSE)</f>
        <v>#REF!</v>
      </c>
      <c r="J348" s="11" t="e">
        <f>VLOOKUP($B348,#REF!,6,FALSE)</f>
        <v>#REF!</v>
      </c>
      <c r="L348" s="3">
        <v>44653.187499998894</v>
      </c>
      <c r="M348" s="15"/>
    </row>
    <row r="349" spans="2:13">
      <c r="B349" s="7"/>
      <c r="C349" s="8" t="e">
        <f>VLOOKUP($B349,#REF!,5,FALSE)</f>
        <v>#REF!</v>
      </c>
      <c r="D349" s="8" t="e">
        <f>VLOOKUP($B349,#REF!,6,FALSE)</f>
        <v>#REF!</v>
      </c>
      <c r="E349" s="9" t="e">
        <f>VLOOKUP($B349,#REF!,17,FALSE)</f>
        <v>#REF!</v>
      </c>
      <c r="F349" s="10" t="e">
        <f>VLOOKUP($B349,#REF!,7,FALSE)</f>
        <v>#REF!</v>
      </c>
      <c r="G349" s="10"/>
      <c r="H349" s="10"/>
      <c r="I349" s="11" t="e">
        <f>VLOOKUP($B349,#REF!,19,FALSE)</f>
        <v>#REF!</v>
      </c>
      <c r="J349" s="11" t="e">
        <f>VLOOKUP($B349,#REF!,6,FALSE)</f>
        <v>#REF!</v>
      </c>
      <c r="L349" s="3">
        <v>44653.190972221113</v>
      </c>
      <c r="M349" s="15"/>
    </row>
    <row r="350" spans="2:13">
      <c r="B350" s="7"/>
      <c r="C350" s="8" t="e">
        <f>VLOOKUP($B350,#REF!,5,FALSE)</f>
        <v>#REF!</v>
      </c>
      <c r="D350" s="8" t="e">
        <f>VLOOKUP($B350,#REF!,6,FALSE)</f>
        <v>#REF!</v>
      </c>
      <c r="E350" s="9" t="e">
        <f>VLOOKUP($B350,#REF!,17,FALSE)</f>
        <v>#REF!</v>
      </c>
      <c r="F350" s="10" t="e">
        <f>VLOOKUP($B350,#REF!,7,FALSE)</f>
        <v>#REF!</v>
      </c>
      <c r="G350" s="10"/>
      <c r="H350" s="10"/>
      <c r="I350" s="11" t="e">
        <f>VLOOKUP($B350,#REF!,19,FALSE)</f>
        <v>#REF!</v>
      </c>
      <c r="J350" s="11" t="e">
        <f>VLOOKUP($B350,#REF!,6,FALSE)</f>
        <v>#REF!</v>
      </c>
      <c r="L350" s="3">
        <v>44653.194444443332</v>
      </c>
      <c r="M350" s="15"/>
    </row>
    <row r="351" spans="2:13">
      <c r="B351" s="7"/>
      <c r="C351" s="8" t="e">
        <f>VLOOKUP($B351,#REF!,5,FALSE)</f>
        <v>#REF!</v>
      </c>
      <c r="D351" s="8" t="e">
        <f>VLOOKUP($B351,#REF!,6,FALSE)</f>
        <v>#REF!</v>
      </c>
      <c r="E351" s="9" t="e">
        <f>VLOOKUP($B351,#REF!,17,FALSE)</f>
        <v>#REF!</v>
      </c>
      <c r="F351" s="10" t="e">
        <f>VLOOKUP($B351,#REF!,7,FALSE)</f>
        <v>#REF!</v>
      </c>
      <c r="G351" s="10"/>
      <c r="H351" s="10"/>
      <c r="I351" s="11" t="e">
        <f>VLOOKUP($B351,#REF!,19,FALSE)</f>
        <v>#REF!</v>
      </c>
      <c r="J351" s="11" t="e">
        <f>VLOOKUP($B351,#REF!,6,FALSE)</f>
        <v>#REF!</v>
      </c>
      <c r="L351" s="3">
        <v>44653.197916665551</v>
      </c>
      <c r="M351" s="15"/>
    </row>
    <row r="352" spans="2:13">
      <c r="B352" s="7"/>
      <c r="C352" s="8" t="e">
        <f>VLOOKUP($B352,#REF!,5,FALSE)</f>
        <v>#REF!</v>
      </c>
      <c r="D352" s="8" t="e">
        <f>VLOOKUP($B352,#REF!,6,FALSE)</f>
        <v>#REF!</v>
      </c>
      <c r="E352" s="9" t="e">
        <f>VLOOKUP($B352,#REF!,17,FALSE)</f>
        <v>#REF!</v>
      </c>
      <c r="F352" s="10" t="e">
        <f>VLOOKUP($B352,#REF!,7,FALSE)</f>
        <v>#REF!</v>
      </c>
      <c r="G352" s="10"/>
      <c r="H352" s="10"/>
      <c r="I352" s="11" t="e">
        <f>VLOOKUP($B352,#REF!,19,FALSE)</f>
        <v>#REF!</v>
      </c>
      <c r="J352" s="11" t="e">
        <f>VLOOKUP($B352,#REF!,6,FALSE)</f>
        <v>#REF!</v>
      </c>
      <c r="L352" s="3">
        <v>44653.20138888777</v>
      </c>
      <c r="M352" s="15"/>
    </row>
    <row r="353" spans="2:13">
      <c r="B353" s="7"/>
      <c r="C353" s="8" t="e">
        <f>VLOOKUP($B353,#REF!,5,FALSE)</f>
        <v>#REF!</v>
      </c>
      <c r="D353" s="8" t="e">
        <f>VLOOKUP($B353,#REF!,6,FALSE)</f>
        <v>#REF!</v>
      </c>
      <c r="E353" s="9" t="e">
        <f>VLOOKUP($B353,#REF!,17,FALSE)</f>
        <v>#REF!</v>
      </c>
      <c r="F353" s="10" t="e">
        <f>VLOOKUP($B353,#REF!,7,FALSE)</f>
        <v>#REF!</v>
      </c>
      <c r="G353" s="10"/>
      <c r="H353" s="10"/>
      <c r="I353" s="11" t="e">
        <f>VLOOKUP($B353,#REF!,19,FALSE)</f>
        <v>#REF!</v>
      </c>
      <c r="J353" s="11" t="e">
        <f>VLOOKUP($B353,#REF!,6,FALSE)</f>
        <v>#REF!</v>
      </c>
      <c r="L353" s="3">
        <v>44653.204861109989</v>
      </c>
      <c r="M353" s="15"/>
    </row>
    <row r="354" spans="2:13">
      <c r="B354" s="7"/>
      <c r="C354" s="8" t="e">
        <f>VLOOKUP($B354,#REF!,5,FALSE)</f>
        <v>#REF!</v>
      </c>
      <c r="D354" s="8" t="e">
        <f>VLOOKUP($B354,#REF!,6,FALSE)</f>
        <v>#REF!</v>
      </c>
      <c r="E354" s="9" t="e">
        <f>VLOOKUP($B354,#REF!,17,FALSE)</f>
        <v>#REF!</v>
      </c>
      <c r="F354" s="10" t="e">
        <f>VLOOKUP($B354,#REF!,7,FALSE)</f>
        <v>#REF!</v>
      </c>
      <c r="G354" s="10"/>
      <c r="H354" s="10"/>
      <c r="I354" s="11" t="e">
        <f>VLOOKUP($B354,#REF!,19,FALSE)</f>
        <v>#REF!</v>
      </c>
      <c r="J354" s="11" t="e">
        <f>VLOOKUP($B354,#REF!,6,FALSE)</f>
        <v>#REF!</v>
      </c>
      <c r="L354" s="3">
        <v>44653.208333332208</v>
      </c>
      <c r="M354" s="15"/>
    </row>
    <row r="355" spans="2:13">
      <c r="B355" s="7"/>
      <c r="C355" s="8" t="e">
        <f>VLOOKUP($B355,#REF!,5,FALSE)</f>
        <v>#REF!</v>
      </c>
      <c r="D355" s="8" t="e">
        <f>VLOOKUP($B355,#REF!,6,FALSE)</f>
        <v>#REF!</v>
      </c>
      <c r="E355" s="9" t="e">
        <f>VLOOKUP($B355,#REF!,17,FALSE)</f>
        <v>#REF!</v>
      </c>
      <c r="F355" s="10" t="e">
        <f>VLOOKUP($B355,#REF!,7,FALSE)</f>
        <v>#REF!</v>
      </c>
      <c r="G355" s="10"/>
      <c r="H355" s="10"/>
      <c r="I355" s="11" t="e">
        <f>VLOOKUP($B355,#REF!,19,FALSE)</f>
        <v>#REF!</v>
      </c>
      <c r="J355" s="11" t="e">
        <f>VLOOKUP($B355,#REF!,6,FALSE)</f>
        <v>#REF!</v>
      </c>
      <c r="L355" s="3">
        <v>44653.211805554427</v>
      </c>
      <c r="M355" s="15"/>
    </row>
    <row r="356" spans="2:13">
      <c r="B356" s="7"/>
      <c r="C356" s="8" t="e">
        <f>VLOOKUP($B356,#REF!,5,FALSE)</f>
        <v>#REF!</v>
      </c>
      <c r="D356" s="8" t="e">
        <f>VLOOKUP($B356,#REF!,6,FALSE)</f>
        <v>#REF!</v>
      </c>
      <c r="E356" s="9" t="e">
        <f>VLOOKUP($B356,#REF!,17,FALSE)</f>
        <v>#REF!</v>
      </c>
      <c r="F356" s="10" t="e">
        <f>VLOOKUP($B356,#REF!,7,FALSE)</f>
        <v>#REF!</v>
      </c>
      <c r="G356" s="10"/>
      <c r="H356" s="10"/>
      <c r="I356" s="11" t="e">
        <f>VLOOKUP($B356,#REF!,19,FALSE)</f>
        <v>#REF!</v>
      </c>
      <c r="J356" s="11" t="e">
        <f>VLOOKUP($B356,#REF!,6,FALSE)</f>
        <v>#REF!</v>
      </c>
      <c r="L356" s="3">
        <v>44653.215277776646</v>
      </c>
      <c r="M356" s="15"/>
    </row>
    <row r="357" spans="2:13">
      <c r="B357" s="7"/>
      <c r="C357" s="8" t="e">
        <f>VLOOKUP($B357,#REF!,5,FALSE)</f>
        <v>#REF!</v>
      </c>
      <c r="D357" s="8" t="e">
        <f>VLOOKUP($B357,#REF!,6,FALSE)</f>
        <v>#REF!</v>
      </c>
      <c r="E357" s="9" t="e">
        <f>VLOOKUP($B357,#REF!,17,FALSE)</f>
        <v>#REF!</v>
      </c>
      <c r="F357" s="10" t="e">
        <f>VLOOKUP($B357,#REF!,7,FALSE)</f>
        <v>#REF!</v>
      </c>
      <c r="G357" s="10"/>
      <c r="H357" s="10"/>
      <c r="I357" s="11" t="e">
        <f>VLOOKUP($B357,#REF!,19,FALSE)</f>
        <v>#REF!</v>
      </c>
      <c r="J357" s="11" t="e">
        <f>VLOOKUP($B357,#REF!,6,FALSE)</f>
        <v>#REF!</v>
      </c>
      <c r="L357" s="3">
        <v>44653.218749998865</v>
      </c>
      <c r="M357" s="15"/>
    </row>
    <row r="358" spans="2:13">
      <c r="B358" s="7"/>
      <c r="C358" s="8" t="e">
        <f>VLOOKUP($B358,#REF!,5,FALSE)</f>
        <v>#REF!</v>
      </c>
      <c r="D358" s="8" t="e">
        <f>VLOOKUP($B358,#REF!,6,FALSE)</f>
        <v>#REF!</v>
      </c>
      <c r="E358" s="9" t="e">
        <f>VLOOKUP($B358,#REF!,17,FALSE)</f>
        <v>#REF!</v>
      </c>
      <c r="F358" s="10" t="e">
        <f>VLOOKUP($B358,#REF!,7,FALSE)</f>
        <v>#REF!</v>
      </c>
      <c r="G358" s="10"/>
      <c r="H358" s="10"/>
      <c r="I358" s="11" t="e">
        <f>VLOOKUP($B358,#REF!,19,FALSE)</f>
        <v>#REF!</v>
      </c>
      <c r="J358" s="11" t="e">
        <f>VLOOKUP($B358,#REF!,6,FALSE)</f>
        <v>#REF!</v>
      </c>
      <c r="L358" s="3">
        <v>44653.222222221084</v>
      </c>
      <c r="M358" s="15"/>
    </row>
    <row r="359" spans="2:13">
      <c r="B359" s="7"/>
      <c r="C359" s="8" t="e">
        <f>VLOOKUP($B359,#REF!,5,FALSE)</f>
        <v>#REF!</v>
      </c>
      <c r="D359" s="8" t="e">
        <f>VLOOKUP($B359,#REF!,6,FALSE)</f>
        <v>#REF!</v>
      </c>
      <c r="E359" s="9" t="e">
        <f>VLOOKUP($B359,#REF!,17,FALSE)</f>
        <v>#REF!</v>
      </c>
      <c r="F359" s="10" t="e">
        <f>VLOOKUP($B359,#REF!,7,FALSE)</f>
        <v>#REF!</v>
      </c>
      <c r="G359" s="10"/>
      <c r="H359" s="10"/>
      <c r="I359" s="11" t="e">
        <f>VLOOKUP($B359,#REF!,19,FALSE)</f>
        <v>#REF!</v>
      </c>
      <c r="J359" s="11" t="e">
        <f>VLOOKUP($B359,#REF!,6,FALSE)</f>
        <v>#REF!</v>
      </c>
      <c r="L359" s="3">
        <v>44653.225694443303</v>
      </c>
      <c r="M359" s="15"/>
    </row>
    <row r="360" spans="2:13">
      <c r="B360" s="7"/>
      <c r="C360" s="8" t="e">
        <f>VLOOKUP($B360,#REF!,5,FALSE)</f>
        <v>#REF!</v>
      </c>
      <c r="D360" s="8" t="e">
        <f>VLOOKUP($B360,#REF!,6,FALSE)</f>
        <v>#REF!</v>
      </c>
      <c r="E360" s="9" t="e">
        <f>VLOOKUP($B360,#REF!,17,FALSE)</f>
        <v>#REF!</v>
      </c>
      <c r="F360" s="10" t="e">
        <f>VLOOKUP($B360,#REF!,7,FALSE)</f>
        <v>#REF!</v>
      </c>
      <c r="G360" s="10"/>
      <c r="H360" s="10"/>
      <c r="I360" s="11" t="e">
        <f>VLOOKUP($B360,#REF!,19,FALSE)</f>
        <v>#REF!</v>
      </c>
      <c r="J360" s="11" t="e">
        <f>VLOOKUP($B360,#REF!,6,FALSE)</f>
        <v>#REF!</v>
      </c>
      <c r="L360" s="3">
        <v>44653.229166665522</v>
      </c>
      <c r="M360" s="15"/>
    </row>
    <row r="361" spans="2:13">
      <c r="B361" s="7"/>
      <c r="C361" s="8" t="e">
        <f>VLOOKUP($B361,#REF!,5,FALSE)</f>
        <v>#REF!</v>
      </c>
      <c r="D361" s="8" t="e">
        <f>VLOOKUP($B361,#REF!,6,FALSE)</f>
        <v>#REF!</v>
      </c>
      <c r="E361" s="9" t="e">
        <f>VLOOKUP($B361,#REF!,17,FALSE)</f>
        <v>#REF!</v>
      </c>
      <c r="F361" s="10" t="e">
        <f>VLOOKUP($B361,#REF!,7,FALSE)</f>
        <v>#REF!</v>
      </c>
      <c r="G361" s="10"/>
      <c r="H361" s="10"/>
      <c r="I361" s="11" t="e">
        <f>VLOOKUP($B361,#REF!,19,FALSE)</f>
        <v>#REF!</v>
      </c>
      <c r="J361" s="11" t="e">
        <f>VLOOKUP($B361,#REF!,6,FALSE)</f>
        <v>#REF!</v>
      </c>
      <c r="L361" s="3">
        <v>44653.232638887741</v>
      </c>
      <c r="M361" s="15"/>
    </row>
    <row r="362" spans="2:13">
      <c r="B362" s="7"/>
      <c r="C362" s="8" t="e">
        <f>VLOOKUP($B362,#REF!,5,FALSE)</f>
        <v>#REF!</v>
      </c>
      <c r="D362" s="8" t="e">
        <f>VLOOKUP($B362,#REF!,6,FALSE)</f>
        <v>#REF!</v>
      </c>
      <c r="E362" s="9" t="e">
        <f>VLOOKUP($B362,#REF!,17,FALSE)</f>
        <v>#REF!</v>
      </c>
      <c r="F362" s="10" t="e">
        <f>VLOOKUP($B362,#REF!,7,FALSE)</f>
        <v>#REF!</v>
      </c>
      <c r="G362" s="10"/>
      <c r="H362" s="10"/>
      <c r="I362" s="11" t="e">
        <f>VLOOKUP($B362,#REF!,19,FALSE)</f>
        <v>#REF!</v>
      </c>
      <c r="J362" s="11" t="e">
        <f>VLOOKUP($B362,#REF!,6,FALSE)</f>
        <v>#REF!</v>
      </c>
      <c r="L362" s="3">
        <v>44653.23611110996</v>
      </c>
      <c r="M362" s="15"/>
    </row>
    <row r="363" spans="2:13">
      <c r="B363" s="7"/>
      <c r="C363" s="8" t="e">
        <f>VLOOKUP($B363,#REF!,5,FALSE)</f>
        <v>#REF!</v>
      </c>
      <c r="D363" s="8" t="e">
        <f>VLOOKUP($B363,#REF!,6,FALSE)</f>
        <v>#REF!</v>
      </c>
      <c r="E363" s="9" t="e">
        <f>VLOOKUP($B363,#REF!,17,FALSE)</f>
        <v>#REF!</v>
      </c>
      <c r="F363" s="10" t="e">
        <f>VLOOKUP($B363,#REF!,7,FALSE)</f>
        <v>#REF!</v>
      </c>
      <c r="G363" s="10"/>
      <c r="H363" s="10"/>
      <c r="I363" s="11" t="e">
        <f>VLOOKUP($B363,#REF!,19,FALSE)</f>
        <v>#REF!</v>
      </c>
      <c r="J363" s="11" t="e">
        <f>VLOOKUP($B363,#REF!,6,FALSE)</f>
        <v>#REF!</v>
      </c>
      <c r="L363" s="3">
        <v>44653.239583332179</v>
      </c>
      <c r="M363" s="15"/>
    </row>
    <row r="364" spans="2:13">
      <c r="B364" s="7"/>
      <c r="C364" s="8" t="e">
        <f>VLOOKUP($B364,#REF!,5,FALSE)</f>
        <v>#REF!</v>
      </c>
      <c r="D364" s="8" t="e">
        <f>VLOOKUP($B364,#REF!,6,FALSE)</f>
        <v>#REF!</v>
      </c>
      <c r="E364" s="9" t="e">
        <f>VLOOKUP($B364,#REF!,17,FALSE)</f>
        <v>#REF!</v>
      </c>
      <c r="F364" s="10" t="e">
        <f>VLOOKUP($B364,#REF!,7,FALSE)</f>
        <v>#REF!</v>
      </c>
      <c r="G364" s="10"/>
      <c r="H364" s="10"/>
      <c r="I364" s="11" t="e">
        <f>VLOOKUP($B364,#REF!,19,FALSE)</f>
        <v>#REF!</v>
      </c>
      <c r="J364" s="11" t="e">
        <f>VLOOKUP($B364,#REF!,6,FALSE)</f>
        <v>#REF!</v>
      </c>
      <c r="L364" s="3">
        <v>44653.243055554398</v>
      </c>
      <c r="M364" s="15"/>
    </row>
    <row r="365" spans="2:13">
      <c r="B365" s="7"/>
      <c r="C365" s="8" t="e">
        <f>VLOOKUP($B365,#REF!,5,FALSE)</f>
        <v>#REF!</v>
      </c>
      <c r="D365" s="8" t="e">
        <f>VLOOKUP($B365,#REF!,6,FALSE)</f>
        <v>#REF!</v>
      </c>
      <c r="E365" s="9" t="e">
        <f>VLOOKUP($B365,#REF!,17,FALSE)</f>
        <v>#REF!</v>
      </c>
      <c r="F365" s="10" t="e">
        <f>VLOOKUP($B365,#REF!,7,FALSE)</f>
        <v>#REF!</v>
      </c>
      <c r="G365" s="10"/>
      <c r="H365" s="10"/>
      <c r="I365" s="11" t="e">
        <f>VLOOKUP($B365,#REF!,19,FALSE)</f>
        <v>#REF!</v>
      </c>
      <c r="J365" s="11" t="e">
        <f>VLOOKUP($B365,#REF!,6,FALSE)</f>
        <v>#REF!</v>
      </c>
      <c r="L365" s="3">
        <v>44653.246527776617</v>
      </c>
      <c r="M365" s="15"/>
    </row>
    <row r="366" spans="2:13">
      <c r="B366" s="7"/>
      <c r="C366" s="8" t="e">
        <f>VLOOKUP($B366,#REF!,5,FALSE)</f>
        <v>#REF!</v>
      </c>
      <c r="D366" s="8" t="e">
        <f>VLOOKUP($B366,#REF!,6,FALSE)</f>
        <v>#REF!</v>
      </c>
      <c r="E366" s="9" t="e">
        <f>VLOOKUP($B366,#REF!,17,FALSE)</f>
        <v>#REF!</v>
      </c>
      <c r="F366" s="10" t="e">
        <f>VLOOKUP($B366,#REF!,7,FALSE)</f>
        <v>#REF!</v>
      </c>
      <c r="G366" s="10"/>
      <c r="H366" s="10"/>
      <c r="I366" s="11" t="e">
        <f>VLOOKUP($B366,#REF!,19,FALSE)</f>
        <v>#REF!</v>
      </c>
      <c r="J366" s="11" t="e">
        <f>VLOOKUP($B366,#REF!,6,FALSE)</f>
        <v>#REF!</v>
      </c>
      <c r="L366" s="3">
        <v>44653.249999998836</v>
      </c>
      <c r="M366" s="15"/>
    </row>
    <row r="367" spans="2:13">
      <c r="B367" s="7"/>
      <c r="C367" s="8" t="e">
        <f>VLOOKUP($B367,#REF!,5,FALSE)</f>
        <v>#REF!</v>
      </c>
      <c r="D367" s="8" t="e">
        <f>VLOOKUP($B367,#REF!,6,FALSE)</f>
        <v>#REF!</v>
      </c>
      <c r="E367" s="9" t="e">
        <f>VLOOKUP($B367,#REF!,17,FALSE)</f>
        <v>#REF!</v>
      </c>
      <c r="F367" s="10" t="e">
        <f>VLOOKUP($B367,#REF!,7,FALSE)</f>
        <v>#REF!</v>
      </c>
      <c r="G367" s="10"/>
      <c r="H367" s="10"/>
      <c r="I367" s="11" t="e">
        <f>VLOOKUP($B367,#REF!,19,FALSE)</f>
        <v>#REF!</v>
      </c>
      <c r="J367" s="11" t="e">
        <f>VLOOKUP($B367,#REF!,6,FALSE)</f>
        <v>#REF!</v>
      </c>
      <c r="L367" s="3">
        <v>44653.253472221055</v>
      </c>
      <c r="M367" s="15"/>
    </row>
    <row r="368" spans="2:13">
      <c r="B368" s="7"/>
      <c r="C368" s="8" t="e">
        <f>VLOOKUP($B368,#REF!,5,FALSE)</f>
        <v>#REF!</v>
      </c>
      <c r="D368" s="8" t="e">
        <f>VLOOKUP($B368,#REF!,6,FALSE)</f>
        <v>#REF!</v>
      </c>
      <c r="E368" s="9" t="e">
        <f>VLOOKUP($B368,#REF!,17,FALSE)</f>
        <v>#REF!</v>
      </c>
      <c r="F368" s="10" t="e">
        <f>VLOOKUP($B368,#REF!,7,FALSE)</f>
        <v>#REF!</v>
      </c>
      <c r="G368" s="10"/>
      <c r="H368" s="10"/>
      <c r="I368" s="11" t="e">
        <f>VLOOKUP($B368,#REF!,19,FALSE)</f>
        <v>#REF!</v>
      </c>
      <c r="J368" s="11" t="e">
        <f>VLOOKUP($B368,#REF!,6,FALSE)</f>
        <v>#REF!</v>
      </c>
      <c r="L368" s="3">
        <v>44653.256944443274</v>
      </c>
      <c r="M368" s="15"/>
    </row>
    <row r="369" spans="2:13">
      <c r="B369" s="7"/>
      <c r="C369" s="8" t="e">
        <f>VLOOKUP($B369,#REF!,5,FALSE)</f>
        <v>#REF!</v>
      </c>
      <c r="D369" s="8" t="e">
        <f>VLOOKUP($B369,#REF!,6,FALSE)</f>
        <v>#REF!</v>
      </c>
      <c r="E369" s="9" t="e">
        <f>VLOOKUP($B369,#REF!,17,FALSE)</f>
        <v>#REF!</v>
      </c>
      <c r="F369" s="10" t="e">
        <f>VLOOKUP($B369,#REF!,7,FALSE)</f>
        <v>#REF!</v>
      </c>
      <c r="G369" s="10"/>
      <c r="H369" s="10"/>
      <c r="I369" s="11" t="e">
        <f>VLOOKUP($B369,#REF!,19,FALSE)</f>
        <v>#REF!</v>
      </c>
      <c r="J369" s="11" t="e">
        <f>VLOOKUP($B369,#REF!,6,FALSE)</f>
        <v>#REF!</v>
      </c>
      <c r="L369" s="3">
        <v>44653.260416665493</v>
      </c>
      <c r="M369" s="15"/>
    </row>
    <row r="370" spans="2:13">
      <c r="B370" s="7"/>
      <c r="C370" s="8" t="e">
        <f>VLOOKUP($B370,#REF!,5,FALSE)</f>
        <v>#REF!</v>
      </c>
      <c r="D370" s="8" t="e">
        <f>VLOOKUP($B370,#REF!,6,FALSE)</f>
        <v>#REF!</v>
      </c>
      <c r="E370" s="9" t="e">
        <f>VLOOKUP($B370,#REF!,17,FALSE)</f>
        <v>#REF!</v>
      </c>
      <c r="F370" s="10" t="e">
        <f>VLOOKUP($B370,#REF!,7,FALSE)</f>
        <v>#REF!</v>
      </c>
      <c r="G370" s="10"/>
      <c r="H370" s="10"/>
      <c r="I370" s="11" t="e">
        <f>VLOOKUP($B370,#REF!,19,FALSE)</f>
        <v>#REF!</v>
      </c>
      <c r="J370" s="11" t="e">
        <f>VLOOKUP($B370,#REF!,6,FALSE)</f>
        <v>#REF!</v>
      </c>
      <c r="L370" s="3">
        <v>44653.263888887712</v>
      </c>
      <c r="M370" s="15"/>
    </row>
    <row r="371" spans="2:13">
      <c r="B371" s="7"/>
      <c r="C371" s="8" t="e">
        <f>VLOOKUP($B371,#REF!,5,FALSE)</f>
        <v>#REF!</v>
      </c>
      <c r="D371" s="8" t="e">
        <f>VLOOKUP($B371,#REF!,6,FALSE)</f>
        <v>#REF!</v>
      </c>
      <c r="E371" s="9" t="e">
        <f>VLOOKUP($B371,#REF!,17,FALSE)</f>
        <v>#REF!</v>
      </c>
      <c r="F371" s="10" t="e">
        <f>VLOOKUP($B371,#REF!,7,FALSE)</f>
        <v>#REF!</v>
      </c>
      <c r="G371" s="10"/>
      <c r="H371" s="10"/>
      <c r="I371" s="11" t="e">
        <f>VLOOKUP($B371,#REF!,19,FALSE)</f>
        <v>#REF!</v>
      </c>
      <c r="J371" s="11" t="e">
        <f>VLOOKUP($B371,#REF!,6,FALSE)</f>
        <v>#REF!</v>
      </c>
      <c r="L371" s="3">
        <v>44653.267361109931</v>
      </c>
      <c r="M371" s="15"/>
    </row>
    <row r="372" spans="2:13">
      <c r="B372" s="7"/>
      <c r="C372" s="8" t="e">
        <f>VLOOKUP($B372,#REF!,5,FALSE)</f>
        <v>#REF!</v>
      </c>
      <c r="D372" s="8" t="e">
        <f>VLOOKUP($B372,#REF!,6,FALSE)</f>
        <v>#REF!</v>
      </c>
      <c r="E372" s="9" t="e">
        <f>VLOOKUP($B372,#REF!,17,FALSE)</f>
        <v>#REF!</v>
      </c>
      <c r="F372" s="10" t="e">
        <f>VLOOKUP($B372,#REF!,7,FALSE)</f>
        <v>#REF!</v>
      </c>
      <c r="G372" s="10"/>
      <c r="H372" s="10"/>
      <c r="I372" s="11" t="e">
        <f>VLOOKUP($B372,#REF!,19,FALSE)</f>
        <v>#REF!</v>
      </c>
      <c r="J372" s="11" t="e">
        <f>VLOOKUP($B372,#REF!,6,FALSE)</f>
        <v>#REF!</v>
      </c>
      <c r="L372" s="3">
        <v>44653.27083333215</v>
      </c>
      <c r="M372" s="15"/>
    </row>
    <row r="373" spans="2:13">
      <c r="B373" s="7"/>
      <c r="C373" s="8" t="e">
        <f>VLOOKUP($B373,#REF!,5,FALSE)</f>
        <v>#REF!</v>
      </c>
      <c r="D373" s="8" t="e">
        <f>VLOOKUP($B373,#REF!,6,FALSE)</f>
        <v>#REF!</v>
      </c>
      <c r="E373" s="9" t="e">
        <f>VLOOKUP($B373,#REF!,17,FALSE)</f>
        <v>#REF!</v>
      </c>
      <c r="F373" s="10" t="e">
        <f>VLOOKUP($B373,#REF!,7,FALSE)</f>
        <v>#REF!</v>
      </c>
      <c r="G373" s="10"/>
      <c r="H373" s="10"/>
      <c r="I373" s="11" t="e">
        <f>VLOOKUP($B373,#REF!,19,FALSE)</f>
        <v>#REF!</v>
      </c>
      <c r="J373" s="11" t="e">
        <f>VLOOKUP($B373,#REF!,6,FALSE)</f>
        <v>#REF!</v>
      </c>
      <c r="L373" s="3">
        <v>44653.274305554369</v>
      </c>
      <c r="M373" s="15"/>
    </row>
    <row r="374" spans="2:13">
      <c r="B374" s="7"/>
      <c r="C374" s="8" t="e">
        <f>VLOOKUP($B374,#REF!,5,FALSE)</f>
        <v>#REF!</v>
      </c>
      <c r="D374" s="8" t="e">
        <f>VLOOKUP($B374,#REF!,6,FALSE)</f>
        <v>#REF!</v>
      </c>
      <c r="E374" s="9" t="e">
        <f>VLOOKUP($B374,#REF!,17,FALSE)</f>
        <v>#REF!</v>
      </c>
      <c r="F374" s="10" t="e">
        <f>VLOOKUP($B374,#REF!,7,FALSE)</f>
        <v>#REF!</v>
      </c>
      <c r="G374" s="10"/>
      <c r="H374" s="10"/>
      <c r="I374" s="11" t="e">
        <f>VLOOKUP($B374,#REF!,19,FALSE)</f>
        <v>#REF!</v>
      </c>
      <c r="J374" s="11" t="e">
        <f>VLOOKUP($B374,#REF!,6,FALSE)</f>
        <v>#REF!</v>
      </c>
      <c r="L374" s="3">
        <v>44653.277777776588</v>
      </c>
      <c r="M374" s="15"/>
    </row>
    <row r="375" spans="2:13">
      <c r="B375" s="7"/>
      <c r="C375" s="8" t="e">
        <f>VLOOKUP($B375,#REF!,5,FALSE)</f>
        <v>#REF!</v>
      </c>
      <c r="D375" s="8" t="e">
        <f>VLOOKUP($B375,#REF!,6,FALSE)</f>
        <v>#REF!</v>
      </c>
      <c r="E375" s="9" t="e">
        <f>VLOOKUP($B375,#REF!,17,FALSE)</f>
        <v>#REF!</v>
      </c>
      <c r="F375" s="10" t="e">
        <f>VLOOKUP($B375,#REF!,7,FALSE)</f>
        <v>#REF!</v>
      </c>
      <c r="G375" s="10"/>
      <c r="H375" s="10"/>
      <c r="I375" s="11" t="e">
        <f>VLOOKUP($B375,#REF!,19,FALSE)</f>
        <v>#REF!</v>
      </c>
      <c r="J375" s="11" t="e">
        <f>VLOOKUP($B375,#REF!,6,FALSE)</f>
        <v>#REF!</v>
      </c>
      <c r="L375" s="3">
        <v>44653.281249998807</v>
      </c>
      <c r="M375" s="15"/>
    </row>
    <row r="376" spans="2:13">
      <c r="B376" s="7"/>
      <c r="C376" s="8" t="e">
        <f>VLOOKUP($B376,#REF!,5,FALSE)</f>
        <v>#REF!</v>
      </c>
      <c r="D376" s="8" t="e">
        <f>VLOOKUP($B376,#REF!,6,FALSE)</f>
        <v>#REF!</v>
      </c>
      <c r="E376" s="9" t="e">
        <f>VLOOKUP($B376,#REF!,17,FALSE)</f>
        <v>#REF!</v>
      </c>
      <c r="F376" s="10" t="e">
        <f>VLOOKUP($B376,#REF!,7,FALSE)</f>
        <v>#REF!</v>
      </c>
      <c r="G376" s="10"/>
      <c r="H376" s="10"/>
      <c r="I376" s="11" t="e">
        <f>VLOOKUP($B376,#REF!,19,FALSE)</f>
        <v>#REF!</v>
      </c>
      <c r="J376" s="11" t="e">
        <f>VLOOKUP($B376,#REF!,6,FALSE)</f>
        <v>#REF!</v>
      </c>
      <c r="L376" s="3">
        <v>44653.284722221026</v>
      </c>
      <c r="M376" s="15"/>
    </row>
    <row r="377" spans="2:13">
      <c r="B377" s="7"/>
      <c r="C377" s="8" t="e">
        <f>VLOOKUP($B377,#REF!,5,FALSE)</f>
        <v>#REF!</v>
      </c>
      <c r="D377" s="8" t="e">
        <f>VLOOKUP($B377,#REF!,6,FALSE)</f>
        <v>#REF!</v>
      </c>
      <c r="E377" s="9" t="e">
        <f>VLOOKUP($B377,#REF!,17,FALSE)</f>
        <v>#REF!</v>
      </c>
      <c r="F377" s="10" t="e">
        <f>VLOOKUP($B377,#REF!,7,FALSE)</f>
        <v>#REF!</v>
      </c>
      <c r="G377" s="10"/>
      <c r="H377" s="10"/>
      <c r="I377" s="11" t="e">
        <f>VLOOKUP($B377,#REF!,19,FALSE)</f>
        <v>#REF!</v>
      </c>
      <c r="J377" s="11" t="e">
        <f>VLOOKUP($B377,#REF!,6,FALSE)</f>
        <v>#REF!</v>
      </c>
      <c r="L377" s="3">
        <v>44653.288194443245</v>
      </c>
      <c r="M377" s="15"/>
    </row>
    <row r="378" spans="2:13">
      <c r="B378" s="7"/>
      <c r="C378" s="8" t="e">
        <f>VLOOKUP($B378,#REF!,5,FALSE)</f>
        <v>#REF!</v>
      </c>
      <c r="D378" s="8" t="e">
        <f>VLOOKUP($B378,#REF!,6,FALSE)</f>
        <v>#REF!</v>
      </c>
      <c r="E378" s="9" t="e">
        <f>VLOOKUP($B378,#REF!,17,FALSE)</f>
        <v>#REF!</v>
      </c>
      <c r="F378" s="10" t="e">
        <f>VLOOKUP($B378,#REF!,7,FALSE)</f>
        <v>#REF!</v>
      </c>
      <c r="G378" s="10"/>
      <c r="H378" s="10"/>
      <c r="I378" s="11" t="e">
        <f>VLOOKUP($B378,#REF!,19,FALSE)</f>
        <v>#REF!</v>
      </c>
      <c r="J378" s="11" t="e">
        <f>VLOOKUP($B378,#REF!,6,FALSE)</f>
        <v>#REF!</v>
      </c>
      <c r="L378" s="3">
        <v>44653.291666665464</v>
      </c>
      <c r="M378" s="15"/>
    </row>
    <row r="379" spans="2:13">
      <c r="B379" s="7"/>
      <c r="C379" s="8" t="e">
        <f>VLOOKUP($B379,#REF!,5,FALSE)</f>
        <v>#REF!</v>
      </c>
      <c r="D379" s="8" t="e">
        <f>VLOOKUP($B379,#REF!,6,FALSE)</f>
        <v>#REF!</v>
      </c>
      <c r="E379" s="9" t="e">
        <f>VLOOKUP($B379,#REF!,17,FALSE)</f>
        <v>#REF!</v>
      </c>
      <c r="F379" s="10" t="e">
        <f>VLOOKUP($B379,#REF!,7,FALSE)</f>
        <v>#REF!</v>
      </c>
      <c r="G379" s="10"/>
      <c r="H379" s="10"/>
      <c r="I379" s="11" t="e">
        <f>VLOOKUP($B379,#REF!,19,FALSE)</f>
        <v>#REF!</v>
      </c>
      <c r="J379" s="11" t="e">
        <f>VLOOKUP($B379,#REF!,6,FALSE)</f>
        <v>#REF!</v>
      </c>
      <c r="L379" s="3">
        <v>44653.295138887683</v>
      </c>
      <c r="M379" s="15"/>
    </row>
    <row r="380" spans="2:13">
      <c r="B380" s="7"/>
      <c r="C380" s="8" t="e">
        <f>VLOOKUP($B380,#REF!,5,FALSE)</f>
        <v>#REF!</v>
      </c>
      <c r="D380" s="8" t="e">
        <f>VLOOKUP($B380,#REF!,6,FALSE)</f>
        <v>#REF!</v>
      </c>
      <c r="E380" s="9" t="e">
        <f>VLOOKUP($B380,#REF!,17,FALSE)</f>
        <v>#REF!</v>
      </c>
      <c r="F380" s="10" t="e">
        <f>VLOOKUP($B380,#REF!,7,FALSE)</f>
        <v>#REF!</v>
      </c>
      <c r="G380" s="10"/>
      <c r="H380" s="10"/>
      <c r="I380" s="11" t="e">
        <f>VLOOKUP($B380,#REF!,19,FALSE)</f>
        <v>#REF!</v>
      </c>
      <c r="J380" s="11" t="e">
        <f>VLOOKUP($B380,#REF!,6,FALSE)</f>
        <v>#REF!</v>
      </c>
      <c r="L380" s="3">
        <v>44653.298611109902</v>
      </c>
      <c r="M380" s="15"/>
    </row>
    <row r="381" spans="2:13">
      <c r="B381" s="7"/>
      <c r="C381" s="8" t="e">
        <f>VLOOKUP($B381,#REF!,5,FALSE)</f>
        <v>#REF!</v>
      </c>
      <c r="D381" s="8" t="e">
        <f>VLOOKUP($B381,#REF!,6,FALSE)</f>
        <v>#REF!</v>
      </c>
      <c r="E381" s="9" t="e">
        <f>VLOOKUP($B381,#REF!,17,FALSE)</f>
        <v>#REF!</v>
      </c>
      <c r="F381" s="10" t="e">
        <f>VLOOKUP($B381,#REF!,7,FALSE)</f>
        <v>#REF!</v>
      </c>
      <c r="G381" s="10"/>
      <c r="H381" s="10"/>
      <c r="I381" s="11" t="e">
        <f>VLOOKUP($B381,#REF!,19,FALSE)</f>
        <v>#REF!</v>
      </c>
      <c r="J381" s="11" t="e">
        <f>VLOOKUP($B381,#REF!,6,FALSE)</f>
        <v>#REF!</v>
      </c>
      <c r="L381" s="3">
        <v>44653.302083332121</v>
      </c>
      <c r="M381" s="15"/>
    </row>
    <row r="382" spans="2:13">
      <c r="B382" s="7"/>
      <c r="C382" s="8" t="e">
        <f>VLOOKUP($B382,#REF!,5,FALSE)</f>
        <v>#REF!</v>
      </c>
      <c r="D382" s="8" t="e">
        <f>VLOOKUP($B382,#REF!,6,FALSE)</f>
        <v>#REF!</v>
      </c>
      <c r="E382" s="9" t="e">
        <f>VLOOKUP($B382,#REF!,17,FALSE)</f>
        <v>#REF!</v>
      </c>
      <c r="F382" s="10" t="e">
        <f>VLOOKUP($B382,#REF!,7,FALSE)</f>
        <v>#REF!</v>
      </c>
      <c r="G382" s="10"/>
      <c r="H382" s="10"/>
      <c r="I382" s="11" t="e">
        <f>VLOOKUP($B382,#REF!,19,FALSE)</f>
        <v>#REF!</v>
      </c>
      <c r="J382" s="11" t="e">
        <f>VLOOKUP($B382,#REF!,6,FALSE)</f>
        <v>#REF!</v>
      </c>
      <c r="L382" s="3">
        <v>44653.30555555434</v>
      </c>
      <c r="M382" s="15"/>
    </row>
    <row r="383" spans="2:13">
      <c r="B383" s="7"/>
      <c r="C383" s="8" t="e">
        <f>VLOOKUP($B383,#REF!,5,FALSE)</f>
        <v>#REF!</v>
      </c>
      <c r="D383" s="8" t="e">
        <f>VLOOKUP($B383,#REF!,6,FALSE)</f>
        <v>#REF!</v>
      </c>
      <c r="E383" s="9" t="e">
        <f>VLOOKUP($B383,#REF!,17,FALSE)</f>
        <v>#REF!</v>
      </c>
      <c r="F383" s="10" t="e">
        <f>VLOOKUP($B383,#REF!,7,FALSE)</f>
        <v>#REF!</v>
      </c>
      <c r="G383" s="10"/>
      <c r="H383" s="10"/>
      <c r="I383" s="11" t="e">
        <f>VLOOKUP($B383,#REF!,19,FALSE)</f>
        <v>#REF!</v>
      </c>
      <c r="J383" s="11" t="e">
        <f>VLOOKUP($B383,#REF!,6,FALSE)</f>
        <v>#REF!</v>
      </c>
      <c r="L383" s="3">
        <v>44653.309027776559</v>
      </c>
      <c r="M383" s="15"/>
    </row>
    <row r="384" spans="2:13">
      <c r="B384" s="7"/>
      <c r="C384" s="8" t="e">
        <f>VLOOKUP($B384,#REF!,5,FALSE)</f>
        <v>#REF!</v>
      </c>
      <c r="D384" s="8" t="e">
        <f>VLOOKUP($B384,#REF!,6,FALSE)</f>
        <v>#REF!</v>
      </c>
      <c r="E384" s="9" t="e">
        <f>VLOOKUP($B384,#REF!,17,FALSE)</f>
        <v>#REF!</v>
      </c>
      <c r="F384" s="10" t="e">
        <f>VLOOKUP($B384,#REF!,7,FALSE)</f>
        <v>#REF!</v>
      </c>
      <c r="G384" s="10"/>
      <c r="H384" s="10"/>
      <c r="I384" s="11" t="e">
        <f>VLOOKUP($B384,#REF!,19,FALSE)</f>
        <v>#REF!</v>
      </c>
      <c r="J384" s="11" t="e">
        <f>VLOOKUP($B384,#REF!,6,FALSE)</f>
        <v>#REF!</v>
      </c>
      <c r="L384" s="3">
        <v>44653.312499998778</v>
      </c>
      <c r="M384" s="15"/>
    </row>
    <row r="385" spans="2:13">
      <c r="B385" s="7"/>
      <c r="C385" s="8" t="e">
        <f>VLOOKUP($B385,#REF!,5,FALSE)</f>
        <v>#REF!</v>
      </c>
      <c r="D385" s="8" t="e">
        <f>VLOOKUP($B385,#REF!,6,FALSE)</f>
        <v>#REF!</v>
      </c>
      <c r="E385" s="9" t="e">
        <f>VLOOKUP($B385,#REF!,17,FALSE)</f>
        <v>#REF!</v>
      </c>
      <c r="F385" s="10" t="e">
        <f>VLOOKUP($B385,#REF!,7,FALSE)</f>
        <v>#REF!</v>
      </c>
      <c r="G385" s="10"/>
      <c r="H385" s="10"/>
      <c r="I385" s="11" t="e">
        <f>VLOOKUP($B385,#REF!,19,FALSE)</f>
        <v>#REF!</v>
      </c>
      <c r="J385" s="11" t="e">
        <f>VLOOKUP($B385,#REF!,6,FALSE)</f>
        <v>#REF!</v>
      </c>
      <c r="L385" s="3">
        <v>44653.315972220997</v>
      </c>
      <c r="M385" s="15"/>
    </row>
    <row r="386" spans="2:13">
      <c r="B386" s="7"/>
      <c r="C386" s="8" t="e">
        <f>VLOOKUP($B386,#REF!,5,FALSE)</f>
        <v>#REF!</v>
      </c>
      <c r="D386" s="8" t="e">
        <f>VLOOKUP($B386,#REF!,6,FALSE)</f>
        <v>#REF!</v>
      </c>
      <c r="E386" s="9" t="e">
        <f>VLOOKUP($B386,#REF!,17,FALSE)</f>
        <v>#REF!</v>
      </c>
      <c r="F386" s="10" t="e">
        <f>VLOOKUP($B386,#REF!,7,FALSE)</f>
        <v>#REF!</v>
      </c>
      <c r="G386" s="10"/>
      <c r="H386" s="10"/>
      <c r="I386" s="11" t="e">
        <f>VLOOKUP($B386,#REF!,19,FALSE)</f>
        <v>#REF!</v>
      </c>
      <c r="J386" s="11" t="e">
        <f>VLOOKUP($B386,#REF!,6,FALSE)</f>
        <v>#REF!</v>
      </c>
      <c r="L386" s="3">
        <v>44653.319444443216</v>
      </c>
      <c r="M386" s="15"/>
    </row>
    <row r="387" spans="2:13">
      <c r="B387" s="7"/>
      <c r="C387" s="8" t="e">
        <f>VLOOKUP($B387,#REF!,5,FALSE)</f>
        <v>#REF!</v>
      </c>
      <c r="D387" s="8" t="e">
        <f>VLOOKUP($B387,#REF!,6,FALSE)</f>
        <v>#REF!</v>
      </c>
      <c r="E387" s="9" t="e">
        <f>VLOOKUP($B387,#REF!,17,FALSE)</f>
        <v>#REF!</v>
      </c>
      <c r="F387" s="10" t="e">
        <f>VLOOKUP($B387,#REF!,7,FALSE)</f>
        <v>#REF!</v>
      </c>
      <c r="G387" s="10"/>
      <c r="H387" s="10"/>
      <c r="I387" s="11" t="e">
        <f>VLOOKUP($B387,#REF!,19,FALSE)</f>
        <v>#REF!</v>
      </c>
      <c r="J387" s="11" t="e">
        <f>VLOOKUP($B387,#REF!,6,FALSE)</f>
        <v>#REF!</v>
      </c>
      <c r="L387" s="3">
        <v>44653.322916665435</v>
      </c>
      <c r="M387" s="15"/>
    </row>
    <row r="388" spans="2:13">
      <c r="B388" s="7"/>
      <c r="C388" s="8" t="e">
        <f>VLOOKUP($B388,#REF!,5,FALSE)</f>
        <v>#REF!</v>
      </c>
      <c r="D388" s="8" t="e">
        <f>VLOOKUP($B388,#REF!,6,FALSE)</f>
        <v>#REF!</v>
      </c>
      <c r="E388" s="9" t="e">
        <f>VLOOKUP($B388,#REF!,17,FALSE)</f>
        <v>#REF!</v>
      </c>
      <c r="F388" s="10" t="e">
        <f>VLOOKUP($B388,#REF!,7,FALSE)</f>
        <v>#REF!</v>
      </c>
      <c r="G388" s="10"/>
      <c r="H388" s="10"/>
      <c r="I388" s="11" t="e">
        <f>VLOOKUP($B388,#REF!,19,FALSE)</f>
        <v>#REF!</v>
      </c>
      <c r="J388" s="11" t="e">
        <f>VLOOKUP($B388,#REF!,6,FALSE)</f>
        <v>#REF!</v>
      </c>
      <c r="L388" s="3">
        <v>44653.326388887654</v>
      </c>
      <c r="M388" s="15"/>
    </row>
    <row r="389" spans="2:13">
      <c r="B389" s="7"/>
      <c r="C389" s="8" t="e">
        <f>VLOOKUP($B389,#REF!,5,FALSE)</f>
        <v>#REF!</v>
      </c>
      <c r="D389" s="8" t="e">
        <f>VLOOKUP($B389,#REF!,6,FALSE)</f>
        <v>#REF!</v>
      </c>
      <c r="E389" s="9" t="e">
        <f>VLOOKUP($B389,#REF!,17,FALSE)</f>
        <v>#REF!</v>
      </c>
      <c r="F389" s="10" t="e">
        <f>VLOOKUP($B389,#REF!,7,FALSE)</f>
        <v>#REF!</v>
      </c>
      <c r="G389" s="10"/>
      <c r="H389" s="10"/>
      <c r="I389" s="11" t="e">
        <f>VLOOKUP($B389,#REF!,19,FALSE)</f>
        <v>#REF!</v>
      </c>
      <c r="J389" s="11" t="e">
        <f>VLOOKUP($B389,#REF!,6,FALSE)</f>
        <v>#REF!</v>
      </c>
      <c r="L389" s="3">
        <v>44653.329861109873</v>
      </c>
      <c r="M389" s="15"/>
    </row>
    <row r="390" spans="2:13">
      <c r="B390" s="7"/>
      <c r="C390" s="8" t="e">
        <f>VLOOKUP($B390,#REF!,5,FALSE)</f>
        <v>#REF!</v>
      </c>
      <c r="D390" s="8" t="e">
        <f>VLOOKUP($B390,#REF!,6,FALSE)</f>
        <v>#REF!</v>
      </c>
      <c r="E390" s="9" t="e">
        <f>VLOOKUP($B390,#REF!,17,FALSE)</f>
        <v>#REF!</v>
      </c>
      <c r="F390" s="10" t="e">
        <f>VLOOKUP($B390,#REF!,7,FALSE)</f>
        <v>#REF!</v>
      </c>
      <c r="G390" s="10"/>
      <c r="H390" s="10"/>
      <c r="I390" s="11" t="e">
        <f>VLOOKUP($B390,#REF!,19,FALSE)</f>
        <v>#REF!</v>
      </c>
      <c r="J390" s="11" t="e">
        <f>VLOOKUP($B390,#REF!,6,FALSE)</f>
        <v>#REF!</v>
      </c>
      <c r="L390" s="3">
        <v>44653.333333332092</v>
      </c>
      <c r="M390" s="15"/>
    </row>
    <row r="391" spans="2:13">
      <c r="B391" s="7"/>
      <c r="C391" s="8" t="e">
        <f>VLOOKUP($B391,#REF!,5,FALSE)</f>
        <v>#REF!</v>
      </c>
      <c r="D391" s="8" t="e">
        <f>VLOOKUP($B391,#REF!,6,FALSE)</f>
        <v>#REF!</v>
      </c>
      <c r="E391" s="9" t="e">
        <f>VLOOKUP($B391,#REF!,17,FALSE)</f>
        <v>#REF!</v>
      </c>
      <c r="F391" s="10" t="e">
        <f>VLOOKUP($B391,#REF!,7,FALSE)</f>
        <v>#REF!</v>
      </c>
      <c r="G391" s="10"/>
      <c r="H391" s="10"/>
      <c r="I391" s="11" t="e">
        <f>VLOOKUP($B391,#REF!,19,FALSE)</f>
        <v>#REF!</v>
      </c>
      <c r="J391" s="11" t="e">
        <f>VLOOKUP($B391,#REF!,6,FALSE)</f>
        <v>#REF!</v>
      </c>
      <c r="L391" s="3">
        <v>44653.336805554311</v>
      </c>
      <c r="M391" s="15"/>
    </row>
    <row r="392" spans="2:13">
      <c r="B392" s="7"/>
      <c r="C392" s="8" t="e">
        <f>VLOOKUP($B392,#REF!,5,FALSE)</f>
        <v>#REF!</v>
      </c>
      <c r="D392" s="8" t="e">
        <f>VLOOKUP($B392,#REF!,6,FALSE)</f>
        <v>#REF!</v>
      </c>
      <c r="E392" s="9" t="e">
        <f>VLOOKUP($B392,#REF!,17,FALSE)</f>
        <v>#REF!</v>
      </c>
      <c r="F392" s="10" t="e">
        <f>VLOOKUP($B392,#REF!,7,FALSE)</f>
        <v>#REF!</v>
      </c>
      <c r="G392" s="10"/>
      <c r="H392" s="10"/>
      <c r="I392" s="11" t="e">
        <f>VLOOKUP($B392,#REF!,19,FALSE)</f>
        <v>#REF!</v>
      </c>
      <c r="J392" s="11" t="e">
        <f>VLOOKUP($B392,#REF!,6,FALSE)</f>
        <v>#REF!</v>
      </c>
      <c r="L392" s="3">
        <v>44653.34027777653</v>
      </c>
      <c r="M392" s="15"/>
    </row>
    <row r="393" spans="2:13">
      <c r="B393" s="7"/>
      <c r="C393" s="8" t="e">
        <f>VLOOKUP($B393,#REF!,5,FALSE)</f>
        <v>#REF!</v>
      </c>
      <c r="D393" s="8" t="e">
        <f>VLOOKUP($B393,#REF!,6,FALSE)</f>
        <v>#REF!</v>
      </c>
      <c r="E393" s="9" t="e">
        <f>VLOOKUP($B393,#REF!,17,FALSE)</f>
        <v>#REF!</v>
      </c>
      <c r="F393" s="10" t="e">
        <f>VLOOKUP($B393,#REF!,7,FALSE)</f>
        <v>#REF!</v>
      </c>
      <c r="G393" s="10"/>
      <c r="H393" s="10"/>
      <c r="I393" s="11" t="e">
        <f>VLOOKUP($B393,#REF!,19,FALSE)</f>
        <v>#REF!</v>
      </c>
      <c r="J393" s="11" t="e">
        <f>VLOOKUP($B393,#REF!,6,FALSE)</f>
        <v>#REF!</v>
      </c>
      <c r="L393" s="3">
        <v>44653.343749998749</v>
      </c>
      <c r="M393" s="15"/>
    </row>
    <row r="394" spans="2:13">
      <c r="B394" s="7"/>
      <c r="C394" s="8" t="e">
        <f>VLOOKUP($B394,#REF!,5,FALSE)</f>
        <v>#REF!</v>
      </c>
      <c r="D394" s="8" t="e">
        <f>VLOOKUP($B394,#REF!,6,FALSE)</f>
        <v>#REF!</v>
      </c>
      <c r="E394" s="9" t="e">
        <f>VLOOKUP($B394,#REF!,17,FALSE)</f>
        <v>#REF!</v>
      </c>
      <c r="F394" s="10" t="e">
        <f>VLOOKUP($B394,#REF!,7,FALSE)</f>
        <v>#REF!</v>
      </c>
      <c r="G394" s="10"/>
      <c r="H394" s="10"/>
      <c r="I394" s="11" t="e">
        <f>VLOOKUP($B394,#REF!,19,FALSE)</f>
        <v>#REF!</v>
      </c>
      <c r="J394" s="11" t="e">
        <f>VLOOKUP($B394,#REF!,6,FALSE)</f>
        <v>#REF!</v>
      </c>
      <c r="L394" s="3">
        <v>44653.347222220968</v>
      </c>
      <c r="M394" s="15"/>
    </row>
    <row r="395" spans="2:13">
      <c r="B395" s="7"/>
      <c r="C395" s="8" t="e">
        <f>VLOOKUP($B395,#REF!,5,FALSE)</f>
        <v>#REF!</v>
      </c>
      <c r="D395" s="8" t="e">
        <f>VLOOKUP($B395,#REF!,6,FALSE)</f>
        <v>#REF!</v>
      </c>
      <c r="E395" s="9" t="e">
        <f>VLOOKUP($B395,#REF!,17,FALSE)</f>
        <v>#REF!</v>
      </c>
      <c r="F395" s="10" t="e">
        <f>VLOOKUP($B395,#REF!,7,FALSE)</f>
        <v>#REF!</v>
      </c>
      <c r="G395" s="10"/>
      <c r="H395" s="10"/>
      <c r="I395" s="11" t="e">
        <f>VLOOKUP($B395,#REF!,19,FALSE)</f>
        <v>#REF!</v>
      </c>
      <c r="J395" s="11" t="e">
        <f>VLOOKUP($B395,#REF!,6,FALSE)</f>
        <v>#REF!</v>
      </c>
      <c r="L395" s="3">
        <v>44653.350694443187</v>
      </c>
      <c r="M395" s="15"/>
    </row>
    <row r="396" spans="2:13">
      <c r="B396" s="7"/>
      <c r="C396" s="8" t="e">
        <f>VLOOKUP($B396,#REF!,5,FALSE)</f>
        <v>#REF!</v>
      </c>
      <c r="D396" s="8" t="e">
        <f>VLOOKUP($B396,#REF!,6,FALSE)</f>
        <v>#REF!</v>
      </c>
      <c r="E396" s="9" t="e">
        <f>VLOOKUP($B396,#REF!,17,FALSE)</f>
        <v>#REF!</v>
      </c>
      <c r="F396" s="10" t="e">
        <f>VLOOKUP($B396,#REF!,7,FALSE)</f>
        <v>#REF!</v>
      </c>
      <c r="G396" s="10"/>
      <c r="H396" s="10"/>
      <c r="I396" s="11" t="e">
        <f>VLOOKUP($B396,#REF!,19,FALSE)</f>
        <v>#REF!</v>
      </c>
      <c r="J396" s="11" t="e">
        <f>VLOOKUP($B396,#REF!,6,FALSE)</f>
        <v>#REF!</v>
      </c>
      <c r="L396" s="3">
        <v>44653.354166665406</v>
      </c>
      <c r="M396" s="15"/>
    </row>
    <row r="397" spans="2:13">
      <c r="B397" s="7"/>
      <c r="C397" s="8" t="e">
        <f>VLOOKUP($B397,#REF!,5,FALSE)</f>
        <v>#REF!</v>
      </c>
      <c r="D397" s="8" t="e">
        <f>VLOOKUP($B397,#REF!,6,FALSE)</f>
        <v>#REF!</v>
      </c>
      <c r="E397" s="9" t="e">
        <f>VLOOKUP($B397,#REF!,17,FALSE)</f>
        <v>#REF!</v>
      </c>
      <c r="F397" s="10" t="e">
        <f>VLOOKUP($B397,#REF!,7,FALSE)</f>
        <v>#REF!</v>
      </c>
      <c r="G397" s="10"/>
      <c r="H397" s="10"/>
      <c r="I397" s="11" t="e">
        <f>VLOOKUP($B397,#REF!,19,FALSE)</f>
        <v>#REF!</v>
      </c>
      <c r="J397" s="11" t="e">
        <f>VLOOKUP($B397,#REF!,6,FALSE)</f>
        <v>#REF!</v>
      </c>
      <c r="L397" s="3">
        <v>44653.357638887624</v>
      </c>
      <c r="M397" s="15"/>
    </row>
    <row r="398" spans="2:13">
      <c r="B398" s="7"/>
      <c r="C398" s="8" t="e">
        <f>VLOOKUP($B398,#REF!,5,FALSE)</f>
        <v>#REF!</v>
      </c>
      <c r="D398" s="8" t="e">
        <f>VLOOKUP($B398,#REF!,6,FALSE)</f>
        <v>#REF!</v>
      </c>
      <c r="E398" s="9" t="e">
        <f>VLOOKUP($B398,#REF!,17,FALSE)</f>
        <v>#REF!</v>
      </c>
      <c r="F398" s="10" t="e">
        <f>VLOOKUP($B398,#REF!,7,FALSE)</f>
        <v>#REF!</v>
      </c>
      <c r="G398" s="10"/>
      <c r="H398" s="10"/>
      <c r="I398" s="11" t="e">
        <f>VLOOKUP($B398,#REF!,19,FALSE)</f>
        <v>#REF!</v>
      </c>
      <c r="J398" s="11" t="e">
        <f>VLOOKUP($B398,#REF!,6,FALSE)</f>
        <v>#REF!</v>
      </c>
      <c r="L398" s="3">
        <v>44653.361111109843</v>
      </c>
      <c r="M398" s="15"/>
    </row>
    <row r="399" spans="2:13">
      <c r="B399" s="7"/>
      <c r="C399" s="8" t="e">
        <f>VLOOKUP($B399,#REF!,5,FALSE)</f>
        <v>#REF!</v>
      </c>
      <c r="D399" s="8" t="e">
        <f>VLOOKUP($B399,#REF!,6,FALSE)</f>
        <v>#REF!</v>
      </c>
      <c r="E399" s="9" t="e">
        <f>VLOOKUP($B399,#REF!,17,FALSE)</f>
        <v>#REF!</v>
      </c>
      <c r="F399" s="10" t="e">
        <f>VLOOKUP($B399,#REF!,7,FALSE)</f>
        <v>#REF!</v>
      </c>
      <c r="G399" s="10"/>
      <c r="H399" s="10"/>
      <c r="I399" s="11" t="e">
        <f>VLOOKUP($B399,#REF!,19,FALSE)</f>
        <v>#REF!</v>
      </c>
      <c r="J399" s="11" t="e">
        <f>VLOOKUP($B399,#REF!,6,FALSE)</f>
        <v>#REF!</v>
      </c>
      <c r="L399" s="3">
        <v>44653.364583332062</v>
      </c>
      <c r="M399" s="15"/>
    </row>
    <row r="400" spans="2:13">
      <c r="B400" s="7"/>
      <c r="C400" s="8" t="e">
        <f>VLOOKUP($B400,#REF!,5,FALSE)</f>
        <v>#REF!</v>
      </c>
      <c r="D400" s="8" t="e">
        <f>VLOOKUP($B400,#REF!,6,FALSE)</f>
        <v>#REF!</v>
      </c>
      <c r="E400" s="9" t="e">
        <f>VLOOKUP($B400,#REF!,17,FALSE)</f>
        <v>#REF!</v>
      </c>
      <c r="F400" s="10" t="e">
        <f>VLOOKUP($B400,#REF!,7,FALSE)</f>
        <v>#REF!</v>
      </c>
      <c r="G400" s="10"/>
      <c r="H400" s="10"/>
      <c r="I400" s="11" t="e">
        <f>VLOOKUP($B400,#REF!,19,FALSE)</f>
        <v>#REF!</v>
      </c>
      <c r="J400" s="11" t="e">
        <f>VLOOKUP($B400,#REF!,6,FALSE)</f>
        <v>#REF!</v>
      </c>
      <c r="L400" s="3">
        <v>44653.368055554281</v>
      </c>
      <c r="M400" s="15"/>
    </row>
    <row r="401" spans="2:13">
      <c r="B401" s="7"/>
      <c r="C401" s="8" t="e">
        <f>VLOOKUP($B401,#REF!,5,FALSE)</f>
        <v>#REF!</v>
      </c>
      <c r="D401" s="8" t="e">
        <f>VLOOKUP($B401,#REF!,6,FALSE)</f>
        <v>#REF!</v>
      </c>
      <c r="E401" s="9" t="e">
        <f>VLOOKUP($B401,#REF!,17,FALSE)</f>
        <v>#REF!</v>
      </c>
      <c r="F401" s="10" t="e">
        <f>VLOOKUP($B401,#REF!,7,FALSE)</f>
        <v>#REF!</v>
      </c>
      <c r="G401" s="10"/>
      <c r="H401" s="10"/>
      <c r="I401" s="11" t="e">
        <f>VLOOKUP($B401,#REF!,19,FALSE)</f>
        <v>#REF!</v>
      </c>
      <c r="J401" s="11" t="e">
        <f>VLOOKUP($B401,#REF!,6,FALSE)</f>
        <v>#REF!</v>
      </c>
      <c r="L401" s="3">
        <v>44653.3715277765</v>
      </c>
      <c r="M401" s="15"/>
    </row>
    <row r="402" spans="2:13">
      <c r="B402" s="7"/>
      <c r="C402" s="8" t="e">
        <f>VLOOKUP($B402,#REF!,5,FALSE)</f>
        <v>#REF!</v>
      </c>
      <c r="D402" s="8" t="e">
        <f>VLOOKUP($B402,#REF!,6,FALSE)</f>
        <v>#REF!</v>
      </c>
      <c r="E402" s="9" t="e">
        <f>VLOOKUP($B402,#REF!,17,FALSE)</f>
        <v>#REF!</v>
      </c>
      <c r="F402" s="10" t="e">
        <f>VLOOKUP($B402,#REF!,7,FALSE)</f>
        <v>#REF!</v>
      </c>
      <c r="G402" s="10"/>
      <c r="H402" s="10"/>
      <c r="I402" s="11" t="e">
        <f>VLOOKUP($B402,#REF!,19,FALSE)</f>
        <v>#REF!</v>
      </c>
      <c r="J402" s="11" t="e">
        <f>VLOOKUP($B402,#REF!,6,FALSE)</f>
        <v>#REF!</v>
      </c>
      <c r="L402" s="3">
        <v>44653.374999998719</v>
      </c>
      <c r="M402" s="15"/>
    </row>
    <row r="403" spans="2:13">
      <c r="B403" s="7"/>
      <c r="C403" s="8" t="e">
        <f>VLOOKUP($B403,#REF!,5,FALSE)</f>
        <v>#REF!</v>
      </c>
      <c r="D403" s="8" t="e">
        <f>VLOOKUP($B403,#REF!,6,FALSE)</f>
        <v>#REF!</v>
      </c>
      <c r="E403" s="9" t="e">
        <f>VLOOKUP($B403,#REF!,17,FALSE)</f>
        <v>#REF!</v>
      </c>
      <c r="F403" s="10" t="e">
        <f>VLOOKUP($B403,#REF!,7,FALSE)</f>
        <v>#REF!</v>
      </c>
      <c r="G403" s="10"/>
      <c r="H403" s="10"/>
      <c r="I403" s="11" t="e">
        <f>VLOOKUP($B403,#REF!,19,FALSE)</f>
        <v>#REF!</v>
      </c>
      <c r="J403" s="11" t="e">
        <f>VLOOKUP($B403,#REF!,6,FALSE)</f>
        <v>#REF!</v>
      </c>
      <c r="L403" s="3">
        <v>44653.378472220938</v>
      </c>
      <c r="M403" s="15"/>
    </row>
    <row r="404" spans="2:13">
      <c r="B404" s="7"/>
      <c r="C404" s="8" t="e">
        <f>VLOOKUP($B404,#REF!,5,FALSE)</f>
        <v>#REF!</v>
      </c>
      <c r="D404" s="8" t="e">
        <f>VLOOKUP($B404,#REF!,6,FALSE)</f>
        <v>#REF!</v>
      </c>
      <c r="E404" s="9" t="e">
        <f>VLOOKUP($B404,#REF!,17,FALSE)</f>
        <v>#REF!</v>
      </c>
      <c r="F404" s="10" t="e">
        <f>VLOOKUP($B404,#REF!,7,FALSE)</f>
        <v>#REF!</v>
      </c>
      <c r="G404" s="10"/>
      <c r="H404" s="10"/>
      <c r="I404" s="11" t="e">
        <f>VLOOKUP($B404,#REF!,19,FALSE)</f>
        <v>#REF!</v>
      </c>
      <c r="J404" s="11" t="e">
        <f>VLOOKUP($B404,#REF!,6,FALSE)</f>
        <v>#REF!</v>
      </c>
      <c r="L404" s="3">
        <v>44653.381944443157</v>
      </c>
      <c r="M404" s="15"/>
    </row>
    <row r="405" spans="2:13">
      <c r="B405" s="7"/>
      <c r="C405" s="8" t="e">
        <f>VLOOKUP($B405,#REF!,5,FALSE)</f>
        <v>#REF!</v>
      </c>
      <c r="D405" s="8" t="e">
        <f>VLOOKUP($B405,#REF!,6,FALSE)</f>
        <v>#REF!</v>
      </c>
      <c r="E405" s="9" t="e">
        <f>VLOOKUP($B405,#REF!,17,FALSE)</f>
        <v>#REF!</v>
      </c>
      <c r="F405" s="10" t="e">
        <f>VLOOKUP($B405,#REF!,7,FALSE)</f>
        <v>#REF!</v>
      </c>
      <c r="G405" s="10"/>
      <c r="H405" s="10"/>
      <c r="I405" s="11" t="e">
        <f>VLOOKUP($B405,#REF!,19,FALSE)</f>
        <v>#REF!</v>
      </c>
      <c r="J405" s="11" t="e">
        <f>VLOOKUP($B405,#REF!,6,FALSE)</f>
        <v>#REF!</v>
      </c>
      <c r="L405" s="3">
        <v>44653.385416665376</v>
      </c>
      <c r="M405" s="15"/>
    </row>
    <row r="406" spans="2:13">
      <c r="B406" s="7"/>
      <c r="C406" s="8" t="e">
        <f>VLOOKUP($B406,#REF!,5,FALSE)</f>
        <v>#REF!</v>
      </c>
      <c r="D406" s="8" t="e">
        <f>VLOOKUP($B406,#REF!,6,FALSE)</f>
        <v>#REF!</v>
      </c>
      <c r="E406" s="9" t="e">
        <f>VLOOKUP($B406,#REF!,17,FALSE)</f>
        <v>#REF!</v>
      </c>
      <c r="F406" s="10" t="e">
        <f>VLOOKUP($B406,#REF!,7,FALSE)</f>
        <v>#REF!</v>
      </c>
      <c r="G406" s="10"/>
      <c r="H406" s="10"/>
      <c r="I406" s="11" t="e">
        <f>VLOOKUP($B406,#REF!,19,FALSE)</f>
        <v>#REF!</v>
      </c>
      <c r="J406" s="11" t="e">
        <f>VLOOKUP($B406,#REF!,6,FALSE)</f>
        <v>#REF!</v>
      </c>
      <c r="L406" s="3">
        <v>44653.388888887595</v>
      </c>
      <c r="M406" s="15"/>
    </row>
    <row r="407" spans="2:13">
      <c r="B407" s="7"/>
      <c r="C407" s="8" t="e">
        <f>VLOOKUP($B407,#REF!,5,FALSE)</f>
        <v>#REF!</v>
      </c>
      <c r="D407" s="8" t="e">
        <f>VLOOKUP($B407,#REF!,6,FALSE)</f>
        <v>#REF!</v>
      </c>
      <c r="E407" s="9" t="e">
        <f>VLOOKUP($B407,#REF!,17,FALSE)</f>
        <v>#REF!</v>
      </c>
      <c r="F407" s="10" t="e">
        <f>VLOOKUP($B407,#REF!,7,FALSE)</f>
        <v>#REF!</v>
      </c>
      <c r="G407" s="10"/>
      <c r="H407" s="10"/>
      <c r="I407" s="11" t="e">
        <f>VLOOKUP($B407,#REF!,19,FALSE)</f>
        <v>#REF!</v>
      </c>
      <c r="J407" s="11" t="e">
        <f>VLOOKUP($B407,#REF!,6,FALSE)</f>
        <v>#REF!</v>
      </c>
      <c r="L407" s="3">
        <v>44653.392361109814</v>
      </c>
      <c r="M407" s="15"/>
    </row>
    <row r="408" spans="2:13">
      <c r="B408" s="7"/>
      <c r="C408" s="8" t="e">
        <f>VLOOKUP($B408,#REF!,5,FALSE)</f>
        <v>#REF!</v>
      </c>
      <c r="D408" s="8" t="e">
        <f>VLOOKUP($B408,#REF!,6,FALSE)</f>
        <v>#REF!</v>
      </c>
      <c r="E408" s="9" t="e">
        <f>VLOOKUP($B408,#REF!,17,FALSE)</f>
        <v>#REF!</v>
      </c>
      <c r="F408" s="10" t="e">
        <f>VLOOKUP($B408,#REF!,7,FALSE)</f>
        <v>#REF!</v>
      </c>
      <c r="G408" s="10"/>
      <c r="H408" s="10"/>
      <c r="I408" s="11" t="e">
        <f>VLOOKUP($B408,#REF!,19,FALSE)</f>
        <v>#REF!</v>
      </c>
      <c r="J408" s="11" t="e">
        <f>VLOOKUP($B408,#REF!,6,FALSE)</f>
        <v>#REF!</v>
      </c>
      <c r="L408" s="3">
        <v>44653.395833332033</v>
      </c>
      <c r="M408" s="15"/>
    </row>
    <row r="409" spans="2:13">
      <c r="B409" s="7"/>
      <c r="C409" s="8" t="e">
        <f>VLOOKUP($B409,#REF!,5,FALSE)</f>
        <v>#REF!</v>
      </c>
      <c r="D409" s="8" t="e">
        <f>VLOOKUP($B409,#REF!,6,FALSE)</f>
        <v>#REF!</v>
      </c>
      <c r="E409" s="9" t="e">
        <f>VLOOKUP($B409,#REF!,17,FALSE)</f>
        <v>#REF!</v>
      </c>
      <c r="F409" s="10" t="e">
        <f>VLOOKUP($B409,#REF!,7,FALSE)</f>
        <v>#REF!</v>
      </c>
      <c r="G409" s="10"/>
      <c r="H409" s="10"/>
      <c r="I409" s="11" t="e">
        <f>VLOOKUP($B409,#REF!,19,FALSE)</f>
        <v>#REF!</v>
      </c>
      <c r="J409" s="11" t="e">
        <f>VLOOKUP($B409,#REF!,6,FALSE)</f>
        <v>#REF!</v>
      </c>
      <c r="L409" s="3">
        <v>44653.399305554252</v>
      </c>
      <c r="M409" s="15"/>
    </row>
    <row r="410" spans="2:13">
      <c r="B410" s="7"/>
      <c r="C410" s="8" t="e">
        <f>VLOOKUP($B410,#REF!,5,FALSE)</f>
        <v>#REF!</v>
      </c>
      <c r="D410" s="8" t="e">
        <f>VLOOKUP($B410,#REF!,6,FALSE)</f>
        <v>#REF!</v>
      </c>
      <c r="E410" s="9" t="e">
        <f>VLOOKUP($B410,#REF!,17,FALSE)</f>
        <v>#REF!</v>
      </c>
      <c r="F410" s="10" t="e">
        <f>VLOOKUP($B410,#REF!,7,FALSE)</f>
        <v>#REF!</v>
      </c>
      <c r="G410" s="10"/>
      <c r="H410" s="10"/>
      <c r="I410" s="11" t="e">
        <f>VLOOKUP($B410,#REF!,19,FALSE)</f>
        <v>#REF!</v>
      </c>
      <c r="J410" s="11" t="e">
        <f>VLOOKUP($B410,#REF!,6,FALSE)</f>
        <v>#REF!</v>
      </c>
      <c r="L410" s="3">
        <v>44653.402777776471</v>
      </c>
      <c r="M410" s="15"/>
    </row>
    <row r="411" spans="2:13">
      <c r="B411" s="7"/>
      <c r="C411" s="8" t="e">
        <f>VLOOKUP($B411,#REF!,5,FALSE)</f>
        <v>#REF!</v>
      </c>
      <c r="D411" s="8" t="e">
        <f>VLOOKUP($B411,#REF!,6,FALSE)</f>
        <v>#REF!</v>
      </c>
      <c r="E411" s="9" t="e">
        <f>VLOOKUP($B411,#REF!,17,FALSE)</f>
        <v>#REF!</v>
      </c>
      <c r="F411" s="10" t="e">
        <f>VLOOKUP($B411,#REF!,7,FALSE)</f>
        <v>#REF!</v>
      </c>
      <c r="G411" s="10"/>
      <c r="H411" s="10"/>
      <c r="I411" s="11" t="e">
        <f>VLOOKUP($B411,#REF!,19,FALSE)</f>
        <v>#REF!</v>
      </c>
      <c r="J411" s="11" t="e">
        <f>VLOOKUP($B411,#REF!,6,FALSE)</f>
        <v>#REF!</v>
      </c>
      <c r="L411" s="3">
        <v>44653.40624999869</v>
      </c>
      <c r="M411" s="15"/>
    </row>
    <row r="412" spans="2:13">
      <c r="B412" s="7"/>
      <c r="C412" s="8" t="e">
        <f>VLOOKUP($B412,#REF!,5,FALSE)</f>
        <v>#REF!</v>
      </c>
      <c r="D412" s="8" t="e">
        <f>VLOOKUP($B412,#REF!,6,FALSE)</f>
        <v>#REF!</v>
      </c>
      <c r="E412" s="9" t="e">
        <f>VLOOKUP($B412,#REF!,17,FALSE)</f>
        <v>#REF!</v>
      </c>
      <c r="F412" s="10" t="e">
        <f>VLOOKUP($B412,#REF!,7,FALSE)</f>
        <v>#REF!</v>
      </c>
      <c r="G412" s="10"/>
      <c r="H412" s="10"/>
      <c r="I412" s="11" t="e">
        <f>VLOOKUP($B412,#REF!,19,FALSE)</f>
        <v>#REF!</v>
      </c>
      <c r="J412" s="11" t="e">
        <f>VLOOKUP($B412,#REF!,6,FALSE)</f>
        <v>#REF!</v>
      </c>
      <c r="L412" s="3">
        <v>44653.409722220909</v>
      </c>
      <c r="M412" s="15"/>
    </row>
    <row r="413" spans="2:13">
      <c r="B413" s="7"/>
      <c r="C413" s="8" t="e">
        <f>VLOOKUP($B413,#REF!,5,FALSE)</f>
        <v>#REF!</v>
      </c>
      <c r="D413" s="8" t="e">
        <f>VLOOKUP($B413,#REF!,6,FALSE)</f>
        <v>#REF!</v>
      </c>
      <c r="E413" s="9" t="e">
        <f>VLOOKUP($B413,#REF!,17,FALSE)</f>
        <v>#REF!</v>
      </c>
      <c r="F413" s="10" t="e">
        <f>VLOOKUP($B413,#REF!,7,FALSE)</f>
        <v>#REF!</v>
      </c>
      <c r="G413" s="10"/>
      <c r="H413" s="10"/>
      <c r="I413" s="11" t="e">
        <f>VLOOKUP($B413,#REF!,19,FALSE)</f>
        <v>#REF!</v>
      </c>
      <c r="J413" s="11" t="e">
        <f>VLOOKUP($B413,#REF!,6,FALSE)</f>
        <v>#REF!</v>
      </c>
      <c r="L413" s="3">
        <v>44653.413194443128</v>
      </c>
      <c r="M413" s="15"/>
    </row>
    <row r="414" spans="2:13">
      <c r="B414" s="7"/>
      <c r="C414" s="8" t="e">
        <f>VLOOKUP($B414,#REF!,5,FALSE)</f>
        <v>#REF!</v>
      </c>
      <c r="D414" s="8" t="e">
        <f>VLOOKUP($B414,#REF!,6,FALSE)</f>
        <v>#REF!</v>
      </c>
      <c r="E414" s="9" t="e">
        <f>VLOOKUP($B414,#REF!,17,FALSE)</f>
        <v>#REF!</v>
      </c>
      <c r="F414" s="10" t="e">
        <f>VLOOKUP($B414,#REF!,7,FALSE)</f>
        <v>#REF!</v>
      </c>
      <c r="G414" s="10"/>
      <c r="H414" s="10"/>
      <c r="I414" s="11" t="e">
        <f>VLOOKUP($B414,#REF!,19,FALSE)</f>
        <v>#REF!</v>
      </c>
      <c r="J414" s="11" t="e">
        <f>VLOOKUP($B414,#REF!,6,FALSE)</f>
        <v>#REF!</v>
      </c>
      <c r="L414" s="3">
        <v>44653.416666665347</v>
      </c>
      <c r="M414" s="15"/>
    </row>
    <row r="415" spans="2:13">
      <c r="B415" s="7"/>
      <c r="C415" s="8" t="e">
        <f>VLOOKUP($B415,#REF!,5,FALSE)</f>
        <v>#REF!</v>
      </c>
      <c r="D415" s="8" t="e">
        <f>VLOOKUP($B415,#REF!,6,FALSE)</f>
        <v>#REF!</v>
      </c>
      <c r="E415" s="9" t="e">
        <f>VLOOKUP($B415,#REF!,17,FALSE)</f>
        <v>#REF!</v>
      </c>
      <c r="F415" s="10" t="e">
        <f>VLOOKUP($B415,#REF!,7,FALSE)</f>
        <v>#REF!</v>
      </c>
      <c r="G415" s="10"/>
      <c r="H415" s="10"/>
      <c r="I415" s="11" t="e">
        <f>VLOOKUP($B415,#REF!,19,FALSE)</f>
        <v>#REF!</v>
      </c>
      <c r="J415" s="11" t="e">
        <f>VLOOKUP($B415,#REF!,6,FALSE)</f>
        <v>#REF!</v>
      </c>
      <c r="L415" s="3">
        <v>44653.420138887566</v>
      </c>
      <c r="M415" s="15"/>
    </row>
    <row r="416" spans="2:13">
      <c r="B416" s="7"/>
      <c r="C416" s="8" t="e">
        <f>VLOOKUP($B416,#REF!,5,FALSE)</f>
        <v>#REF!</v>
      </c>
      <c r="D416" s="8" t="e">
        <f>VLOOKUP($B416,#REF!,6,FALSE)</f>
        <v>#REF!</v>
      </c>
      <c r="E416" s="9" t="e">
        <f>VLOOKUP($B416,#REF!,17,FALSE)</f>
        <v>#REF!</v>
      </c>
      <c r="F416" s="10" t="e">
        <f>VLOOKUP($B416,#REF!,7,FALSE)</f>
        <v>#REF!</v>
      </c>
      <c r="G416" s="10"/>
      <c r="H416" s="10"/>
      <c r="I416" s="11" t="e">
        <f>VLOOKUP($B416,#REF!,19,FALSE)</f>
        <v>#REF!</v>
      </c>
      <c r="J416" s="11" t="e">
        <f>VLOOKUP($B416,#REF!,6,FALSE)</f>
        <v>#REF!</v>
      </c>
      <c r="L416" s="3">
        <v>44653.423611109785</v>
      </c>
      <c r="M416" s="15"/>
    </row>
    <row r="417" spans="2:13">
      <c r="B417" s="7"/>
      <c r="C417" s="8" t="e">
        <f>VLOOKUP($B417,#REF!,5,FALSE)</f>
        <v>#REF!</v>
      </c>
      <c r="D417" s="8" t="e">
        <f>VLOOKUP($B417,#REF!,6,FALSE)</f>
        <v>#REF!</v>
      </c>
      <c r="E417" s="9" t="e">
        <f>VLOOKUP($B417,#REF!,17,FALSE)</f>
        <v>#REF!</v>
      </c>
      <c r="F417" s="10" t="e">
        <f>VLOOKUP($B417,#REF!,7,FALSE)</f>
        <v>#REF!</v>
      </c>
      <c r="G417" s="10"/>
      <c r="H417" s="10"/>
      <c r="I417" s="11" t="e">
        <f>VLOOKUP($B417,#REF!,19,FALSE)</f>
        <v>#REF!</v>
      </c>
      <c r="J417" s="11" t="e">
        <f>VLOOKUP($B417,#REF!,6,FALSE)</f>
        <v>#REF!</v>
      </c>
      <c r="L417" s="3">
        <v>44653.427083332004</v>
      </c>
      <c r="M417" s="15"/>
    </row>
    <row r="418" spans="2:13">
      <c r="B418" s="7"/>
      <c r="C418" s="8" t="e">
        <f>VLOOKUP($B418,#REF!,5,FALSE)</f>
        <v>#REF!</v>
      </c>
      <c r="D418" s="8" t="e">
        <f>VLOOKUP($B418,#REF!,6,FALSE)</f>
        <v>#REF!</v>
      </c>
      <c r="E418" s="9" t="e">
        <f>VLOOKUP($B418,#REF!,17,FALSE)</f>
        <v>#REF!</v>
      </c>
      <c r="F418" s="10" t="e">
        <f>VLOOKUP($B418,#REF!,7,FALSE)</f>
        <v>#REF!</v>
      </c>
      <c r="G418" s="10"/>
      <c r="H418" s="10"/>
      <c r="I418" s="11" t="e">
        <f>VLOOKUP($B418,#REF!,19,FALSE)</f>
        <v>#REF!</v>
      </c>
      <c r="J418" s="11" t="e">
        <f>VLOOKUP($B418,#REF!,6,FALSE)</f>
        <v>#REF!</v>
      </c>
      <c r="L418" s="3">
        <v>44653.430555554223</v>
      </c>
      <c r="M418" s="15"/>
    </row>
    <row r="419" spans="2:13">
      <c r="B419" s="7"/>
      <c r="C419" s="8" t="e">
        <f>VLOOKUP($B419,#REF!,5,FALSE)</f>
        <v>#REF!</v>
      </c>
      <c r="D419" s="8" t="e">
        <f>VLOOKUP($B419,#REF!,6,FALSE)</f>
        <v>#REF!</v>
      </c>
      <c r="E419" s="9" t="e">
        <f>VLOOKUP($B419,#REF!,17,FALSE)</f>
        <v>#REF!</v>
      </c>
      <c r="F419" s="10" t="e">
        <f>VLOOKUP($B419,#REF!,7,FALSE)</f>
        <v>#REF!</v>
      </c>
      <c r="G419" s="10"/>
      <c r="H419" s="10"/>
      <c r="I419" s="11" t="e">
        <f>VLOOKUP($B419,#REF!,19,FALSE)</f>
        <v>#REF!</v>
      </c>
      <c r="J419" s="11" t="e">
        <f>VLOOKUP($B419,#REF!,6,FALSE)</f>
        <v>#REF!</v>
      </c>
      <c r="L419" s="3">
        <v>44653.434027776442</v>
      </c>
      <c r="M419" s="15"/>
    </row>
    <row r="420" spans="2:13">
      <c r="B420" s="7"/>
      <c r="C420" s="8" t="e">
        <f>VLOOKUP($B420,#REF!,5,FALSE)</f>
        <v>#REF!</v>
      </c>
      <c r="D420" s="8" t="e">
        <f>VLOOKUP($B420,#REF!,6,FALSE)</f>
        <v>#REF!</v>
      </c>
      <c r="E420" s="9" t="e">
        <f>VLOOKUP($B420,#REF!,17,FALSE)</f>
        <v>#REF!</v>
      </c>
      <c r="F420" s="10" t="e">
        <f>VLOOKUP($B420,#REF!,7,FALSE)</f>
        <v>#REF!</v>
      </c>
      <c r="G420" s="10"/>
      <c r="H420" s="10"/>
      <c r="I420" s="11" t="e">
        <f>VLOOKUP($B420,#REF!,19,FALSE)</f>
        <v>#REF!</v>
      </c>
      <c r="J420" s="11" t="e">
        <f>VLOOKUP($B420,#REF!,6,FALSE)</f>
        <v>#REF!</v>
      </c>
      <c r="L420" s="3">
        <v>44653.437499998661</v>
      </c>
      <c r="M420" s="15"/>
    </row>
    <row r="421" spans="2:13">
      <c r="B421" s="7"/>
      <c r="C421" s="8" t="e">
        <f>VLOOKUP($B421,#REF!,5,FALSE)</f>
        <v>#REF!</v>
      </c>
      <c r="D421" s="8" t="e">
        <f>VLOOKUP($B421,#REF!,6,FALSE)</f>
        <v>#REF!</v>
      </c>
      <c r="E421" s="9" t="e">
        <f>VLOOKUP($B421,#REF!,17,FALSE)</f>
        <v>#REF!</v>
      </c>
      <c r="F421" s="10" t="e">
        <f>VLOOKUP($B421,#REF!,7,FALSE)</f>
        <v>#REF!</v>
      </c>
      <c r="G421" s="10"/>
      <c r="H421" s="10"/>
      <c r="I421" s="11" t="e">
        <f>VLOOKUP($B421,#REF!,19,FALSE)</f>
        <v>#REF!</v>
      </c>
      <c r="J421" s="11" t="e">
        <f>VLOOKUP($B421,#REF!,6,FALSE)</f>
        <v>#REF!</v>
      </c>
      <c r="L421" s="3">
        <v>44653.44097222088</v>
      </c>
      <c r="M421" s="15"/>
    </row>
    <row r="422" spans="2:13">
      <c r="B422" s="7"/>
      <c r="C422" s="8" t="e">
        <f>VLOOKUP($B422,#REF!,5,FALSE)</f>
        <v>#REF!</v>
      </c>
      <c r="D422" s="8" t="e">
        <f>VLOOKUP($B422,#REF!,6,FALSE)</f>
        <v>#REF!</v>
      </c>
      <c r="E422" s="9" t="e">
        <f>VLOOKUP($B422,#REF!,17,FALSE)</f>
        <v>#REF!</v>
      </c>
      <c r="F422" s="10" t="e">
        <f>VLOOKUP($B422,#REF!,7,FALSE)</f>
        <v>#REF!</v>
      </c>
      <c r="G422" s="10"/>
      <c r="H422" s="10"/>
      <c r="I422" s="11" t="e">
        <f>VLOOKUP($B422,#REF!,19,FALSE)</f>
        <v>#REF!</v>
      </c>
      <c r="J422" s="11" t="e">
        <f>VLOOKUP($B422,#REF!,6,FALSE)</f>
        <v>#REF!</v>
      </c>
      <c r="L422" s="3">
        <v>44653.444444443099</v>
      </c>
      <c r="M422" s="15"/>
    </row>
    <row r="423" spans="2:13">
      <c r="B423" s="7"/>
      <c r="C423" s="8" t="e">
        <f>VLOOKUP($B423,#REF!,5,FALSE)</f>
        <v>#REF!</v>
      </c>
      <c r="D423" s="8" t="e">
        <f>VLOOKUP($B423,#REF!,6,FALSE)</f>
        <v>#REF!</v>
      </c>
      <c r="E423" s="9" t="e">
        <f>VLOOKUP($B423,#REF!,17,FALSE)</f>
        <v>#REF!</v>
      </c>
      <c r="F423" s="10" t="e">
        <f>VLOOKUP($B423,#REF!,7,FALSE)</f>
        <v>#REF!</v>
      </c>
      <c r="G423" s="10"/>
      <c r="H423" s="10"/>
      <c r="I423" s="11" t="e">
        <f>VLOOKUP($B423,#REF!,19,FALSE)</f>
        <v>#REF!</v>
      </c>
      <c r="J423" s="11" t="e">
        <f>VLOOKUP($B423,#REF!,6,FALSE)</f>
        <v>#REF!</v>
      </c>
      <c r="L423" s="3">
        <v>44653.447916665318</v>
      </c>
      <c r="M423" s="15"/>
    </row>
    <row r="424" spans="2:13">
      <c r="B424" s="7"/>
      <c r="C424" s="8" t="e">
        <f>VLOOKUP($B424,#REF!,5,FALSE)</f>
        <v>#REF!</v>
      </c>
      <c r="D424" s="8" t="e">
        <f>VLOOKUP($B424,#REF!,6,FALSE)</f>
        <v>#REF!</v>
      </c>
      <c r="E424" s="9" t="e">
        <f>VLOOKUP($B424,#REF!,17,FALSE)</f>
        <v>#REF!</v>
      </c>
      <c r="F424" s="10" t="e">
        <f>VLOOKUP($B424,#REF!,7,FALSE)</f>
        <v>#REF!</v>
      </c>
      <c r="G424" s="10"/>
      <c r="H424" s="10"/>
      <c r="I424" s="11" t="e">
        <f>VLOOKUP($B424,#REF!,19,FALSE)</f>
        <v>#REF!</v>
      </c>
      <c r="J424" s="11" t="e">
        <f>VLOOKUP($B424,#REF!,6,FALSE)</f>
        <v>#REF!</v>
      </c>
      <c r="L424" s="3">
        <v>44653.451388887537</v>
      </c>
      <c r="M424" s="15"/>
    </row>
    <row r="425" spans="2:13">
      <c r="B425" s="7"/>
      <c r="C425" s="8" t="e">
        <f>VLOOKUP($B425,#REF!,5,FALSE)</f>
        <v>#REF!</v>
      </c>
      <c r="D425" s="8" t="e">
        <f>VLOOKUP($B425,#REF!,6,FALSE)</f>
        <v>#REF!</v>
      </c>
      <c r="E425" s="9" t="e">
        <f>VLOOKUP($B425,#REF!,17,FALSE)</f>
        <v>#REF!</v>
      </c>
      <c r="F425" s="10" t="e">
        <f>VLOOKUP($B425,#REF!,7,FALSE)</f>
        <v>#REF!</v>
      </c>
      <c r="G425" s="10"/>
      <c r="H425" s="10"/>
      <c r="I425" s="11" t="e">
        <f>VLOOKUP($B425,#REF!,19,FALSE)</f>
        <v>#REF!</v>
      </c>
      <c r="J425" s="11" t="e">
        <f>VLOOKUP($B425,#REF!,6,FALSE)</f>
        <v>#REF!</v>
      </c>
      <c r="L425" s="3">
        <v>44653.454861109756</v>
      </c>
      <c r="M425" s="15"/>
    </row>
    <row r="426" spans="2:13">
      <c r="B426" s="7"/>
      <c r="C426" s="8" t="e">
        <f>VLOOKUP($B426,#REF!,5,FALSE)</f>
        <v>#REF!</v>
      </c>
      <c r="D426" s="8" t="e">
        <f>VLOOKUP($B426,#REF!,6,FALSE)</f>
        <v>#REF!</v>
      </c>
      <c r="E426" s="9" t="e">
        <f>VLOOKUP($B426,#REF!,17,FALSE)</f>
        <v>#REF!</v>
      </c>
      <c r="F426" s="10" t="e">
        <f>VLOOKUP($B426,#REF!,7,FALSE)</f>
        <v>#REF!</v>
      </c>
      <c r="G426" s="10"/>
      <c r="H426" s="10"/>
      <c r="I426" s="11" t="e">
        <f>VLOOKUP($B426,#REF!,19,FALSE)</f>
        <v>#REF!</v>
      </c>
      <c r="J426" s="11" t="e">
        <f>VLOOKUP($B426,#REF!,6,FALSE)</f>
        <v>#REF!</v>
      </c>
      <c r="L426" s="3">
        <v>44653.458333331975</v>
      </c>
      <c r="M426" s="15"/>
    </row>
    <row r="427" spans="2:13">
      <c r="B427" s="7"/>
      <c r="C427" s="8" t="e">
        <f>VLOOKUP($B427,#REF!,5,FALSE)</f>
        <v>#REF!</v>
      </c>
      <c r="D427" s="8" t="e">
        <f>VLOOKUP($B427,#REF!,6,FALSE)</f>
        <v>#REF!</v>
      </c>
      <c r="E427" s="9" t="e">
        <f>VLOOKUP($B427,#REF!,17,FALSE)</f>
        <v>#REF!</v>
      </c>
      <c r="F427" s="10" t="e">
        <f>VLOOKUP($B427,#REF!,7,FALSE)</f>
        <v>#REF!</v>
      </c>
      <c r="G427" s="10"/>
      <c r="H427" s="10"/>
      <c r="I427" s="11" t="e">
        <f>VLOOKUP($B427,#REF!,19,FALSE)</f>
        <v>#REF!</v>
      </c>
      <c r="J427" s="11" t="e">
        <f>VLOOKUP($B427,#REF!,6,FALSE)</f>
        <v>#REF!</v>
      </c>
      <c r="L427" s="3">
        <v>44653.461805554194</v>
      </c>
      <c r="M427" s="15"/>
    </row>
    <row r="428" spans="2:13">
      <c r="B428" s="7"/>
      <c r="C428" s="8" t="e">
        <f>VLOOKUP($B428,#REF!,5,FALSE)</f>
        <v>#REF!</v>
      </c>
      <c r="D428" s="8" t="e">
        <f>VLOOKUP($B428,#REF!,6,FALSE)</f>
        <v>#REF!</v>
      </c>
      <c r="E428" s="9" t="e">
        <f>VLOOKUP($B428,#REF!,17,FALSE)</f>
        <v>#REF!</v>
      </c>
      <c r="F428" s="10" t="e">
        <f>VLOOKUP($B428,#REF!,7,FALSE)</f>
        <v>#REF!</v>
      </c>
      <c r="G428" s="10"/>
      <c r="H428" s="10"/>
      <c r="I428" s="11" t="e">
        <f>VLOOKUP($B428,#REF!,19,FALSE)</f>
        <v>#REF!</v>
      </c>
      <c r="J428" s="11" t="e">
        <f>VLOOKUP($B428,#REF!,6,FALSE)</f>
        <v>#REF!</v>
      </c>
      <c r="L428" s="3">
        <v>44653.465277776413</v>
      </c>
      <c r="M428" s="15"/>
    </row>
    <row r="429" spans="2:13">
      <c r="B429" s="7"/>
      <c r="C429" s="8" t="e">
        <f>VLOOKUP($B429,#REF!,5,FALSE)</f>
        <v>#REF!</v>
      </c>
      <c r="D429" s="8" t="e">
        <f>VLOOKUP($B429,#REF!,6,FALSE)</f>
        <v>#REF!</v>
      </c>
      <c r="E429" s="9" t="e">
        <f>VLOOKUP($B429,#REF!,17,FALSE)</f>
        <v>#REF!</v>
      </c>
      <c r="F429" s="10" t="e">
        <f>VLOOKUP($B429,#REF!,7,FALSE)</f>
        <v>#REF!</v>
      </c>
      <c r="G429" s="10"/>
      <c r="H429" s="10"/>
      <c r="I429" s="11" t="e">
        <f>VLOOKUP($B429,#REF!,19,FALSE)</f>
        <v>#REF!</v>
      </c>
      <c r="J429" s="11" t="e">
        <f>VLOOKUP($B429,#REF!,6,FALSE)</f>
        <v>#REF!</v>
      </c>
      <c r="L429" s="3">
        <v>44653.468749998632</v>
      </c>
      <c r="M429" s="15"/>
    </row>
    <row r="430" spans="2:13">
      <c r="B430" s="7"/>
      <c r="C430" s="8" t="e">
        <f>VLOOKUP($B430,#REF!,5,FALSE)</f>
        <v>#REF!</v>
      </c>
      <c r="D430" s="8" t="e">
        <f>VLOOKUP($B430,#REF!,6,FALSE)</f>
        <v>#REF!</v>
      </c>
      <c r="E430" s="9" t="e">
        <f>VLOOKUP($B430,#REF!,17,FALSE)</f>
        <v>#REF!</v>
      </c>
      <c r="F430" s="10" t="e">
        <f>VLOOKUP($B430,#REF!,7,FALSE)</f>
        <v>#REF!</v>
      </c>
      <c r="G430" s="10"/>
      <c r="H430" s="10"/>
      <c r="I430" s="11" t="e">
        <f>VLOOKUP($B430,#REF!,19,FALSE)</f>
        <v>#REF!</v>
      </c>
      <c r="J430" s="11" t="e">
        <f>VLOOKUP($B430,#REF!,6,FALSE)</f>
        <v>#REF!</v>
      </c>
      <c r="L430" s="3">
        <v>44653.472222220851</v>
      </c>
      <c r="M430" s="15"/>
    </row>
    <row r="431" spans="2:13">
      <c r="B431" s="7"/>
      <c r="C431" s="8" t="e">
        <f>VLOOKUP($B431,#REF!,5,FALSE)</f>
        <v>#REF!</v>
      </c>
      <c r="D431" s="8" t="e">
        <f>VLOOKUP($B431,#REF!,6,FALSE)</f>
        <v>#REF!</v>
      </c>
      <c r="E431" s="9" t="e">
        <f>VLOOKUP($B431,#REF!,17,FALSE)</f>
        <v>#REF!</v>
      </c>
      <c r="F431" s="10" t="e">
        <f>VLOOKUP($B431,#REF!,7,FALSE)</f>
        <v>#REF!</v>
      </c>
      <c r="G431" s="10"/>
      <c r="H431" s="10"/>
      <c r="I431" s="11" t="e">
        <f>VLOOKUP($B431,#REF!,19,FALSE)</f>
        <v>#REF!</v>
      </c>
      <c r="J431" s="11" t="e">
        <f>VLOOKUP($B431,#REF!,6,FALSE)</f>
        <v>#REF!</v>
      </c>
      <c r="L431" s="3">
        <v>44653.47569444307</v>
      </c>
      <c r="M431" s="15"/>
    </row>
    <row r="432" spans="2:13">
      <c r="B432" s="7"/>
      <c r="C432" s="8" t="e">
        <f>VLOOKUP($B432,#REF!,5,FALSE)</f>
        <v>#REF!</v>
      </c>
      <c r="D432" s="8" t="e">
        <f>VLOOKUP($B432,#REF!,6,FALSE)</f>
        <v>#REF!</v>
      </c>
      <c r="E432" s="9" t="e">
        <f>VLOOKUP($B432,#REF!,17,FALSE)</f>
        <v>#REF!</v>
      </c>
      <c r="F432" s="10" t="e">
        <f>VLOOKUP($B432,#REF!,7,FALSE)</f>
        <v>#REF!</v>
      </c>
      <c r="G432" s="10"/>
      <c r="H432" s="10"/>
      <c r="I432" s="11" t="e">
        <f>VLOOKUP($B432,#REF!,19,FALSE)</f>
        <v>#REF!</v>
      </c>
      <c r="J432" s="11" t="e">
        <f>VLOOKUP($B432,#REF!,6,FALSE)</f>
        <v>#REF!</v>
      </c>
      <c r="L432" s="3">
        <v>44653.479166665289</v>
      </c>
      <c r="M432" s="15"/>
    </row>
    <row r="433" spans="2:13">
      <c r="B433" s="7"/>
      <c r="C433" s="8" t="e">
        <f>VLOOKUP($B433,#REF!,5,FALSE)</f>
        <v>#REF!</v>
      </c>
      <c r="D433" s="8" t="e">
        <f>VLOOKUP($B433,#REF!,6,FALSE)</f>
        <v>#REF!</v>
      </c>
      <c r="E433" s="9" t="e">
        <f>VLOOKUP($B433,#REF!,17,FALSE)</f>
        <v>#REF!</v>
      </c>
      <c r="F433" s="10" t="e">
        <f>VLOOKUP($B433,#REF!,7,FALSE)</f>
        <v>#REF!</v>
      </c>
      <c r="G433" s="10"/>
      <c r="H433" s="10"/>
      <c r="I433" s="11" t="e">
        <f>VLOOKUP($B433,#REF!,19,FALSE)</f>
        <v>#REF!</v>
      </c>
      <c r="J433" s="11" t="e">
        <f>VLOOKUP($B433,#REF!,6,FALSE)</f>
        <v>#REF!</v>
      </c>
      <c r="L433" s="3">
        <v>44653.482638887508</v>
      </c>
      <c r="M433" s="15"/>
    </row>
    <row r="434" spans="2:13">
      <c r="B434" s="7"/>
      <c r="C434" s="8" t="e">
        <f>VLOOKUP($B434,#REF!,5,FALSE)</f>
        <v>#REF!</v>
      </c>
      <c r="D434" s="8" t="e">
        <f>VLOOKUP($B434,#REF!,6,FALSE)</f>
        <v>#REF!</v>
      </c>
      <c r="E434" s="9" t="e">
        <f>VLOOKUP($B434,#REF!,17,FALSE)</f>
        <v>#REF!</v>
      </c>
      <c r="F434" s="10" t="e">
        <f>VLOOKUP($B434,#REF!,7,FALSE)</f>
        <v>#REF!</v>
      </c>
      <c r="G434" s="10"/>
      <c r="H434" s="10"/>
      <c r="I434" s="11" t="e">
        <f>VLOOKUP($B434,#REF!,19,FALSE)</f>
        <v>#REF!</v>
      </c>
      <c r="J434" s="11" t="e">
        <f>VLOOKUP($B434,#REF!,6,FALSE)</f>
        <v>#REF!</v>
      </c>
      <c r="L434" s="3">
        <v>44653.486111109727</v>
      </c>
      <c r="M434" s="15"/>
    </row>
    <row r="435" spans="2:13">
      <c r="B435" s="7"/>
      <c r="C435" s="8" t="e">
        <f>VLOOKUP($B435,#REF!,5,FALSE)</f>
        <v>#REF!</v>
      </c>
      <c r="D435" s="8" t="e">
        <f>VLOOKUP($B435,#REF!,6,FALSE)</f>
        <v>#REF!</v>
      </c>
      <c r="E435" s="9" t="e">
        <f>VLOOKUP($B435,#REF!,17,FALSE)</f>
        <v>#REF!</v>
      </c>
      <c r="F435" s="10" t="e">
        <f>VLOOKUP($B435,#REF!,7,FALSE)</f>
        <v>#REF!</v>
      </c>
      <c r="G435" s="10"/>
      <c r="H435" s="10"/>
      <c r="I435" s="11" t="e">
        <f>VLOOKUP($B435,#REF!,19,FALSE)</f>
        <v>#REF!</v>
      </c>
      <c r="J435" s="11" t="e">
        <f>VLOOKUP($B435,#REF!,6,FALSE)</f>
        <v>#REF!</v>
      </c>
      <c r="L435" s="3">
        <v>44653.489583331946</v>
      </c>
      <c r="M435" s="15"/>
    </row>
    <row r="436" spans="2:13">
      <c r="B436" s="7"/>
      <c r="C436" s="8" t="e">
        <f>VLOOKUP($B436,#REF!,5,FALSE)</f>
        <v>#REF!</v>
      </c>
      <c r="D436" s="8" t="e">
        <f>VLOOKUP($B436,#REF!,6,FALSE)</f>
        <v>#REF!</v>
      </c>
      <c r="E436" s="9" t="e">
        <f>VLOOKUP($B436,#REF!,17,FALSE)</f>
        <v>#REF!</v>
      </c>
      <c r="F436" s="10" t="e">
        <f>VLOOKUP($B436,#REF!,7,FALSE)</f>
        <v>#REF!</v>
      </c>
      <c r="G436" s="10"/>
      <c r="H436" s="10"/>
      <c r="I436" s="11" t="e">
        <f>VLOOKUP($B436,#REF!,19,FALSE)</f>
        <v>#REF!</v>
      </c>
      <c r="J436" s="11" t="e">
        <f>VLOOKUP($B436,#REF!,6,FALSE)</f>
        <v>#REF!</v>
      </c>
      <c r="L436" s="3">
        <v>44653.493055554165</v>
      </c>
      <c r="M436" s="15"/>
    </row>
    <row r="437" spans="2:13">
      <c r="B437" s="7"/>
      <c r="C437" s="8" t="e">
        <f>VLOOKUP($B437,#REF!,5,FALSE)</f>
        <v>#REF!</v>
      </c>
      <c r="D437" s="8" t="e">
        <f>VLOOKUP($B437,#REF!,6,FALSE)</f>
        <v>#REF!</v>
      </c>
      <c r="E437" s="9" t="e">
        <f>VLOOKUP($B437,#REF!,17,FALSE)</f>
        <v>#REF!</v>
      </c>
      <c r="F437" s="10" t="e">
        <f>VLOOKUP($B437,#REF!,7,FALSE)</f>
        <v>#REF!</v>
      </c>
      <c r="G437" s="10"/>
      <c r="H437" s="10"/>
      <c r="I437" s="11" t="e">
        <f>VLOOKUP($B437,#REF!,19,FALSE)</f>
        <v>#REF!</v>
      </c>
      <c r="J437" s="11" t="e">
        <f>VLOOKUP($B437,#REF!,6,FALSE)</f>
        <v>#REF!</v>
      </c>
      <c r="L437" s="3">
        <v>44653.496527776384</v>
      </c>
      <c r="M437" s="15"/>
    </row>
    <row r="438" spans="2:13">
      <c r="B438" s="7"/>
      <c r="C438" s="8" t="e">
        <f>VLOOKUP($B438,#REF!,5,FALSE)</f>
        <v>#REF!</v>
      </c>
      <c r="D438" s="8" t="e">
        <f>VLOOKUP($B438,#REF!,6,FALSE)</f>
        <v>#REF!</v>
      </c>
      <c r="E438" s="9" t="e">
        <f>VLOOKUP($B438,#REF!,17,FALSE)</f>
        <v>#REF!</v>
      </c>
      <c r="F438" s="10" t="e">
        <f>VLOOKUP($B438,#REF!,7,FALSE)</f>
        <v>#REF!</v>
      </c>
      <c r="G438" s="10"/>
      <c r="H438" s="10"/>
      <c r="I438" s="11" t="e">
        <f>VLOOKUP($B438,#REF!,19,FALSE)</f>
        <v>#REF!</v>
      </c>
      <c r="J438" s="11" t="e">
        <f>VLOOKUP($B438,#REF!,6,FALSE)</f>
        <v>#REF!</v>
      </c>
      <c r="L438" s="3">
        <v>44653.499999998603</v>
      </c>
      <c r="M438" s="15"/>
    </row>
    <row r="439" spans="2:13">
      <c r="B439" s="7"/>
      <c r="C439" s="8" t="e">
        <f>VLOOKUP($B439,#REF!,5,FALSE)</f>
        <v>#REF!</v>
      </c>
      <c r="D439" s="8" t="e">
        <f>VLOOKUP($B439,#REF!,6,FALSE)</f>
        <v>#REF!</v>
      </c>
      <c r="E439" s="9" t="e">
        <f>VLOOKUP($B439,#REF!,17,FALSE)</f>
        <v>#REF!</v>
      </c>
      <c r="F439" s="10" t="e">
        <f>VLOOKUP($B439,#REF!,7,FALSE)</f>
        <v>#REF!</v>
      </c>
      <c r="G439" s="10"/>
      <c r="H439" s="10"/>
      <c r="I439" s="11" t="e">
        <f>VLOOKUP($B439,#REF!,19,FALSE)</f>
        <v>#REF!</v>
      </c>
      <c r="J439" s="11" t="e">
        <f>VLOOKUP($B439,#REF!,6,FALSE)</f>
        <v>#REF!</v>
      </c>
      <c r="L439" s="3">
        <v>44653.503472220822</v>
      </c>
      <c r="M439" s="15"/>
    </row>
    <row r="440" spans="2:13">
      <c r="B440" s="7"/>
      <c r="C440" s="8" t="e">
        <f>VLOOKUP($B440,#REF!,5,FALSE)</f>
        <v>#REF!</v>
      </c>
      <c r="D440" s="8" t="e">
        <f>VLOOKUP($B440,#REF!,6,FALSE)</f>
        <v>#REF!</v>
      </c>
      <c r="E440" s="9" t="e">
        <f>VLOOKUP($B440,#REF!,17,FALSE)</f>
        <v>#REF!</v>
      </c>
      <c r="F440" s="10" t="e">
        <f>VLOOKUP($B440,#REF!,7,FALSE)</f>
        <v>#REF!</v>
      </c>
      <c r="G440" s="10"/>
      <c r="H440" s="10"/>
      <c r="I440" s="11" t="e">
        <f>VLOOKUP($B440,#REF!,19,FALSE)</f>
        <v>#REF!</v>
      </c>
      <c r="J440" s="11" t="e">
        <f>VLOOKUP($B440,#REF!,6,FALSE)</f>
        <v>#REF!</v>
      </c>
      <c r="L440" s="3">
        <v>44653.506944443041</v>
      </c>
      <c r="M440" s="15"/>
    </row>
    <row r="441" spans="2:13">
      <c r="B441" s="7"/>
      <c r="C441" s="8" t="e">
        <f>VLOOKUP($B441,#REF!,5,FALSE)</f>
        <v>#REF!</v>
      </c>
      <c r="D441" s="8" t="e">
        <f>VLOOKUP($B441,#REF!,6,FALSE)</f>
        <v>#REF!</v>
      </c>
      <c r="E441" s="9" t="e">
        <f>VLOOKUP($B441,#REF!,17,FALSE)</f>
        <v>#REF!</v>
      </c>
      <c r="F441" s="10" t="e">
        <f>VLOOKUP($B441,#REF!,7,FALSE)</f>
        <v>#REF!</v>
      </c>
      <c r="G441" s="10"/>
      <c r="H441" s="10"/>
      <c r="I441" s="11" t="e">
        <f>VLOOKUP($B441,#REF!,19,FALSE)</f>
        <v>#REF!</v>
      </c>
      <c r="J441" s="11" t="e">
        <f>VLOOKUP($B441,#REF!,6,FALSE)</f>
        <v>#REF!</v>
      </c>
      <c r="L441" s="3">
        <v>44653.51041666526</v>
      </c>
      <c r="M441" s="15"/>
    </row>
    <row r="442" spans="2:13">
      <c r="B442" s="7"/>
      <c r="C442" s="8" t="e">
        <f>VLOOKUP($B442,#REF!,5,FALSE)</f>
        <v>#REF!</v>
      </c>
      <c r="D442" s="8" t="e">
        <f>VLOOKUP($B442,#REF!,6,FALSE)</f>
        <v>#REF!</v>
      </c>
      <c r="E442" s="9" t="e">
        <f>VLOOKUP($B442,#REF!,17,FALSE)</f>
        <v>#REF!</v>
      </c>
      <c r="F442" s="10" t="e">
        <f>VLOOKUP($B442,#REF!,7,FALSE)</f>
        <v>#REF!</v>
      </c>
      <c r="G442" s="10"/>
      <c r="H442" s="10"/>
      <c r="I442" s="11" t="e">
        <f>VLOOKUP($B442,#REF!,19,FALSE)</f>
        <v>#REF!</v>
      </c>
      <c r="J442" s="11" t="e">
        <f>VLOOKUP($B442,#REF!,6,FALSE)</f>
        <v>#REF!</v>
      </c>
      <c r="L442" s="3">
        <v>44653.513888887479</v>
      </c>
      <c r="M442" s="15"/>
    </row>
    <row r="443" spans="2:13">
      <c r="B443" s="7"/>
      <c r="C443" s="8" t="e">
        <f>VLOOKUP($B443,#REF!,5,FALSE)</f>
        <v>#REF!</v>
      </c>
      <c r="D443" s="8" t="e">
        <f>VLOOKUP($B443,#REF!,6,FALSE)</f>
        <v>#REF!</v>
      </c>
      <c r="E443" s="9" t="e">
        <f>VLOOKUP($B443,#REF!,17,FALSE)</f>
        <v>#REF!</v>
      </c>
      <c r="F443" s="10" t="e">
        <f>VLOOKUP($B443,#REF!,7,FALSE)</f>
        <v>#REF!</v>
      </c>
      <c r="G443" s="10"/>
      <c r="H443" s="10"/>
      <c r="I443" s="11" t="e">
        <f>VLOOKUP($B443,#REF!,19,FALSE)</f>
        <v>#REF!</v>
      </c>
      <c r="J443" s="11" t="e">
        <f>VLOOKUP($B443,#REF!,6,FALSE)</f>
        <v>#REF!</v>
      </c>
      <c r="L443" s="3">
        <v>44653.517361109698</v>
      </c>
      <c r="M443" s="15"/>
    </row>
    <row r="444" spans="2:13">
      <c r="B444" s="7"/>
      <c r="C444" s="8" t="e">
        <f>VLOOKUP($B444,#REF!,5,FALSE)</f>
        <v>#REF!</v>
      </c>
      <c r="D444" s="8" t="e">
        <f>VLOOKUP($B444,#REF!,6,FALSE)</f>
        <v>#REF!</v>
      </c>
      <c r="E444" s="9" t="e">
        <f>VLOOKUP($B444,#REF!,17,FALSE)</f>
        <v>#REF!</v>
      </c>
      <c r="F444" s="10" t="e">
        <f>VLOOKUP($B444,#REF!,7,FALSE)</f>
        <v>#REF!</v>
      </c>
      <c r="G444" s="10"/>
      <c r="H444" s="10"/>
      <c r="I444" s="11" t="e">
        <f>VLOOKUP($B444,#REF!,19,FALSE)</f>
        <v>#REF!</v>
      </c>
      <c r="J444" s="11" t="e">
        <f>VLOOKUP($B444,#REF!,6,FALSE)</f>
        <v>#REF!</v>
      </c>
      <c r="L444" s="3">
        <v>44653.520833331917</v>
      </c>
      <c r="M444" s="15"/>
    </row>
    <row r="445" spans="2:13">
      <c r="B445" s="7"/>
      <c r="C445" s="8" t="e">
        <f>VLOOKUP($B445,#REF!,5,FALSE)</f>
        <v>#REF!</v>
      </c>
      <c r="D445" s="8" t="e">
        <f>VLOOKUP($B445,#REF!,6,FALSE)</f>
        <v>#REF!</v>
      </c>
      <c r="E445" s="9" t="e">
        <f>VLOOKUP($B445,#REF!,17,FALSE)</f>
        <v>#REF!</v>
      </c>
      <c r="F445" s="10" t="e">
        <f>VLOOKUP($B445,#REF!,7,FALSE)</f>
        <v>#REF!</v>
      </c>
      <c r="G445" s="10"/>
      <c r="H445" s="10"/>
      <c r="I445" s="11" t="e">
        <f>VLOOKUP($B445,#REF!,19,FALSE)</f>
        <v>#REF!</v>
      </c>
      <c r="J445" s="11" t="e">
        <f>VLOOKUP($B445,#REF!,6,FALSE)</f>
        <v>#REF!</v>
      </c>
      <c r="L445" s="3">
        <v>44653.524305554136</v>
      </c>
      <c r="M445" s="15"/>
    </row>
    <row r="446" spans="2:13">
      <c r="B446" s="7"/>
      <c r="C446" s="8" t="e">
        <f>VLOOKUP($B446,#REF!,5,FALSE)</f>
        <v>#REF!</v>
      </c>
      <c r="D446" s="8" t="e">
        <f>VLOOKUP($B446,#REF!,6,FALSE)</f>
        <v>#REF!</v>
      </c>
      <c r="E446" s="9" t="e">
        <f>VLOOKUP($B446,#REF!,17,FALSE)</f>
        <v>#REF!</v>
      </c>
      <c r="F446" s="10" t="e">
        <f>VLOOKUP($B446,#REF!,7,FALSE)</f>
        <v>#REF!</v>
      </c>
      <c r="G446" s="10"/>
      <c r="H446" s="10"/>
      <c r="I446" s="11" t="e">
        <f>VLOOKUP($B446,#REF!,19,FALSE)</f>
        <v>#REF!</v>
      </c>
      <c r="J446" s="11" t="e">
        <f>VLOOKUP($B446,#REF!,6,FALSE)</f>
        <v>#REF!</v>
      </c>
      <c r="L446" s="3">
        <v>44653.527777776355</v>
      </c>
      <c r="M446" s="15"/>
    </row>
    <row r="447" spans="2:13">
      <c r="B447" s="7"/>
      <c r="C447" s="8" t="e">
        <f>VLOOKUP($B447,#REF!,5,FALSE)</f>
        <v>#REF!</v>
      </c>
      <c r="D447" s="8" t="e">
        <f>VLOOKUP($B447,#REF!,6,FALSE)</f>
        <v>#REF!</v>
      </c>
      <c r="E447" s="9" t="e">
        <f>VLOOKUP($B447,#REF!,17,FALSE)</f>
        <v>#REF!</v>
      </c>
      <c r="F447" s="10" t="e">
        <f>VLOOKUP($B447,#REF!,7,FALSE)</f>
        <v>#REF!</v>
      </c>
      <c r="G447" s="10"/>
      <c r="H447" s="10"/>
      <c r="I447" s="11" t="e">
        <f>VLOOKUP($B447,#REF!,19,FALSE)</f>
        <v>#REF!</v>
      </c>
      <c r="J447" s="11" t="e">
        <f>VLOOKUP($B447,#REF!,6,FALSE)</f>
        <v>#REF!</v>
      </c>
      <c r="L447" s="3">
        <v>44653.531249998574</v>
      </c>
      <c r="M447" s="15"/>
    </row>
    <row r="448" spans="2:13">
      <c r="B448" s="7"/>
      <c r="C448" s="8" t="e">
        <f>VLOOKUP($B448,#REF!,5,FALSE)</f>
        <v>#REF!</v>
      </c>
      <c r="D448" s="8" t="e">
        <f>VLOOKUP($B448,#REF!,6,FALSE)</f>
        <v>#REF!</v>
      </c>
      <c r="E448" s="9" t="e">
        <f>VLOOKUP($B448,#REF!,17,FALSE)</f>
        <v>#REF!</v>
      </c>
      <c r="F448" s="10" t="e">
        <f>VLOOKUP($B448,#REF!,7,FALSE)</f>
        <v>#REF!</v>
      </c>
      <c r="G448" s="10"/>
      <c r="H448" s="10"/>
      <c r="I448" s="11" t="e">
        <f>VLOOKUP($B448,#REF!,19,FALSE)</f>
        <v>#REF!</v>
      </c>
      <c r="J448" s="11" t="e">
        <f>VLOOKUP($B448,#REF!,6,FALSE)</f>
        <v>#REF!</v>
      </c>
      <c r="L448" s="3">
        <v>44653.534722220793</v>
      </c>
      <c r="M448" s="15"/>
    </row>
    <row r="449" spans="2:13">
      <c r="B449" s="7"/>
      <c r="C449" s="8" t="e">
        <f>VLOOKUP($B449,#REF!,5,FALSE)</f>
        <v>#REF!</v>
      </c>
      <c r="D449" s="8" t="e">
        <f>VLOOKUP($B449,#REF!,6,FALSE)</f>
        <v>#REF!</v>
      </c>
      <c r="E449" s="9" t="e">
        <f>VLOOKUP($B449,#REF!,17,FALSE)</f>
        <v>#REF!</v>
      </c>
      <c r="F449" s="10" t="e">
        <f>VLOOKUP($B449,#REF!,7,FALSE)</f>
        <v>#REF!</v>
      </c>
      <c r="G449" s="10"/>
      <c r="H449" s="10"/>
      <c r="I449" s="11" t="e">
        <f>VLOOKUP($B449,#REF!,19,FALSE)</f>
        <v>#REF!</v>
      </c>
      <c r="J449" s="11" t="e">
        <f>VLOOKUP($B449,#REF!,6,FALSE)</f>
        <v>#REF!</v>
      </c>
      <c r="L449" s="3">
        <v>44653.538194443012</v>
      </c>
      <c r="M449" s="15"/>
    </row>
    <row r="450" spans="2:13">
      <c r="B450" s="7"/>
      <c r="C450" s="8" t="e">
        <f>VLOOKUP($B450,#REF!,5,FALSE)</f>
        <v>#REF!</v>
      </c>
      <c r="D450" s="8" t="e">
        <f>VLOOKUP($B450,#REF!,6,FALSE)</f>
        <v>#REF!</v>
      </c>
      <c r="E450" s="9" t="e">
        <f>VLOOKUP($B450,#REF!,17,FALSE)</f>
        <v>#REF!</v>
      </c>
      <c r="F450" s="10" t="e">
        <f>VLOOKUP($B450,#REF!,7,FALSE)</f>
        <v>#REF!</v>
      </c>
      <c r="G450" s="10"/>
      <c r="H450" s="10"/>
      <c r="I450" s="11" t="e">
        <f>VLOOKUP($B450,#REF!,19,FALSE)</f>
        <v>#REF!</v>
      </c>
      <c r="J450" s="11" t="e">
        <f>VLOOKUP($B450,#REF!,6,FALSE)</f>
        <v>#REF!</v>
      </c>
      <c r="L450" s="3">
        <v>44653.541666665231</v>
      </c>
      <c r="M450" s="15"/>
    </row>
    <row r="451" spans="2:13">
      <c r="B451" s="7"/>
      <c r="C451" s="8" t="e">
        <f>VLOOKUP($B451,#REF!,5,FALSE)</f>
        <v>#REF!</v>
      </c>
      <c r="D451" s="8" t="e">
        <f>VLOOKUP($B451,#REF!,6,FALSE)</f>
        <v>#REF!</v>
      </c>
      <c r="E451" s="9" t="e">
        <f>VLOOKUP($B451,#REF!,17,FALSE)</f>
        <v>#REF!</v>
      </c>
      <c r="F451" s="10" t="e">
        <f>VLOOKUP($B451,#REF!,7,FALSE)</f>
        <v>#REF!</v>
      </c>
      <c r="G451" s="10"/>
      <c r="H451" s="10"/>
      <c r="I451" s="11" t="e">
        <f>VLOOKUP($B451,#REF!,19,FALSE)</f>
        <v>#REF!</v>
      </c>
      <c r="J451" s="11" t="e">
        <f>VLOOKUP($B451,#REF!,6,FALSE)</f>
        <v>#REF!</v>
      </c>
      <c r="L451" s="3">
        <v>44653.54513888745</v>
      </c>
      <c r="M451" s="15"/>
    </row>
    <row r="452" spans="2:13">
      <c r="B452" s="7"/>
      <c r="C452" s="8" t="e">
        <f>VLOOKUP($B452,#REF!,5,FALSE)</f>
        <v>#REF!</v>
      </c>
      <c r="D452" s="8" t="e">
        <f>VLOOKUP($B452,#REF!,6,FALSE)</f>
        <v>#REF!</v>
      </c>
      <c r="E452" s="9" t="e">
        <f>VLOOKUP($B452,#REF!,17,FALSE)</f>
        <v>#REF!</v>
      </c>
      <c r="F452" s="10" t="e">
        <f>VLOOKUP($B452,#REF!,7,FALSE)</f>
        <v>#REF!</v>
      </c>
      <c r="G452" s="10"/>
      <c r="H452" s="10"/>
      <c r="I452" s="11" t="e">
        <f>VLOOKUP($B452,#REF!,19,FALSE)</f>
        <v>#REF!</v>
      </c>
      <c r="J452" s="11" t="e">
        <f>VLOOKUP($B452,#REF!,6,FALSE)</f>
        <v>#REF!</v>
      </c>
      <c r="L452" s="3">
        <v>44653.548611109669</v>
      </c>
      <c r="M452" s="15"/>
    </row>
    <row r="453" spans="2:13">
      <c r="B453" s="7"/>
      <c r="C453" s="8" t="e">
        <f>VLOOKUP($B453,#REF!,5,FALSE)</f>
        <v>#REF!</v>
      </c>
      <c r="D453" s="8" t="e">
        <f>VLOOKUP($B453,#REF!,6,FALSE)</f>
        <v>#REF!</v>
      </c>
      <c r="E453" s="9" t="e">
        <f>VLOOKUP($B453,#REF!,17,FALSE)</f>
        <v>#REF!</v>
      </c>
      <c r="F453" s="10" t="e">
        <f>VLOOKUP($B453,#REF!,7,FALSE)</f>
        <v>#REF!</v>
      </c>
      <c r="G453" s="10"/>
      <c r="H453" s="10"/>
      <c r="I453" s="11" t="e">
        <f>VLOOKUP($B453,#REF!,19,FALSE)</f>
        <v>#REF!</v>
      </c>
      <c r="J453" s="11" t="e">
        <f>VLOOKUP($B453,#REF!,6,FALSE)</f>
        <v>#REF!</v>
      </c>
      <c r="L453" s="3">
        <v>44653.552083331888</v>
      </c>
      <c r="M453" s="15"/>
    </row>
    <row r="454" spans="2:13">
      <c r="B454" s="7"/>
      <c r="C454" s="8" t="e">
        <f>VLOOKUP($B454,#REF!,5,FALSE)</f>
        <v>#REF!</v>
      </c>
      <c r="D454" s="8" t="e">
        <f>VLOOKUP($B454,#REF!,6,FALSE)</f>
        <v>#REF!</v>
      </c>
      <c r="E454" s="9" t="e">
        <f>VLOOKUP($B454,#REF!,17,FALSE)</f>
        <v>#REF!</v>
      </c>
      <c r="F454" s="10" t="e">
        <f>VLOOKUP($B454,#REF!,7,FALSE)</f>
        <v>#REF!</v>
      </c>
      <c r="G454" s="10"/>
      <c r="H454" s="10"/>
      <c r="I454" s="11" t="e">
        <f>VLOOKUP($B454,#REF!,19,FALSE)</f>
        <v>#REF!</v>
      </c>
      <c r="J454" s="11" t="e">
        <f>VLOOKUP($B454,#REF!,6,FALSE)</f>
        <v>#REF!</v>
      </c>
      <c r="L454" s="3">
        <v>44653.555555554107</v>
      </c>
      <c r="M454" s="15"/>
    </row>
    <row r="455" spans="2:13">
      <c r="B455" s="7"/>
      <c r="C455" s="8" t="e">
        <f>VLOOKUP($B455,#REF!,5,FALSE)</f>
        <v>#REF!</v>
      </c>
      <c r="D455" s="8" t="e">
        <f>VLOOKUP($B455,#REF!,6,FALSE)</f>
        <v>#REF!</v>
      </c>
      <c r="E455" s="9" t="e">
        <f>VLOOKUP($B455,#REF!,17,FALSE)</f>
        <v>#REF!</v>
      </c>
      <c r="F455" s="10" t="e">
        <f>VLOOKUP($B455,#REF!,7,FALSE)</f>
        <v>#REF!</v>
      </c>
      <c r="G455" s="10"/>
      <c r="H455" s="10"/>
      <c r="I455" s="11" t="e">
        <f>VLOOKUP($B455,#REF!,19,FALSE)</f>
        <v>#REF!</v>
      </c>
      <c r="J455" s="11" t="e">
        <f>VLOOKUP($B455,#REF!,6,FALSE)</f>
        <v>#REF!</v>
      </c>
      <c r="L455" s="3">
        <v>44653.559027776326</v>
      </c>
      <c r="M455" s="15"/>
    </row>
    <row r="456" spans="2:13">
      <c r="B456" s="7"/>
      <c r="C456" s="8" t="e">
        <f>VLOOKUP($B456,#REF!,5,FALSE)</f>
        <v>#REF!</v>
      </c>
      <c r="D456" s="8" t="e">
        <f>VLOOKUP($B456,#REF!,6,FALSE)</f>
        <v>#REF!</v>
      </c>
      <c r="E456" s="9" t="e">
        <f>VLOOKUP($B456,#REF!,17,FALSE)</f>
        <v>#REF!</v>
      </c>
      <c r="F456" s="10" t="e">
        <f>VLOOKUP($B456,#REF!,7,FALSE)</f>
        <v>#REF!</v>
      </c>
      <c r="G456" s="10"/>
      <c r="H456" s="10"/>
      <c r="I456" s="11" t="e">
        <f>VLOOKUP($B456,#REF!,19,FALSE)</f>
        <v>#REF!</v>
      </c>
      <c r="J456" s="11" t="e">
        <f>VLOOKUP($B456,#REF!,6,FALSE)</f>
        <v>#REF!</v>
      </c>
      <c r="L456" s="3">
        <v>44653.562499998545</v>
      </c>
      <c r="M456" s="15"/>
    </row>
    <row r="457" spans="2:13">
      <c r="B457" s="7"/>
      <c r="C457" s="8" t="e">
        <f>VLOOKUP($B457,#REF!,5,FALSE)</f>
        <v>#REF!</v>
      </c>
      <c r="D457" s="8" t="e">
        <f>VLOOKUP($B457,#REF!,6,FALSE)</f>
        <v>#REF!</v>
      </c>
      <c r="E457" s="9" t="e">
        <f>VLOOKUP($B457,#REF!,17,FALSE)</f>
        <v>#REF!</v>
      </c>
      <c r="F457" s="10" t="e">
        <f>VLOOKUP($B457,#REF!,7,FALSE)</f>
        <v>#REF!</v>
      </c>
      <c r="G457" s="10"/>
      <c r="H457" s="10"/>
      <c r="I457" s="11" t="e">
        <f>VLOOKUP($B457,#REF!,19,FALSE)</f>
        <v>#REF!</v>
      </c>
      <c r="J457" s="11" t="e">
        <f>VLOOKUP($B457,#REF!,6,FALSE)</f>
        <v>#REF!</v>
      </c>
      <c r="L457" s="3">
        <v>44653.565972220764</v>
      </c>
      <c r="M457" s="15"/>
    </row>
    <row r="458" spans="2:13">
      <c r="B458" s="7"/>
      <c r="C458" s="8" t="e">
        <f>VLOOKUP($B458,#REF!,5,FALSE)</f>
        <v>#REF!</v>
      </c>
      <c r="D458" s="8" t="e">
        <f>VLOOKUP($B458,#REF!,6,FALSE)</f>
        <v>#REF!</v>
      </c>
      <c r="E458" s="9" t="e">
        <f>VLOOKUP($B458,#REF!,17,FALSE)</f>
        <v>#REF!</v>
      </c>
      <c r="F458" s="10" t="e">
        <f>VLOOKUP($B458,#REF!,7,FALSE)</f>
        <v>#REF!</v>
      </c>
      <c r="G458" s="10"/>
      <c r="H458" s="10"/>
      <c r="I458" s="11" t="e">
        <f>VLOOKUP($B458,#REF!,19,FALSE)</f>
        <v>#REF!</v>
      </c>
      <c r="J458" s="11" t="e">
        <f>VLOOKUP($B458,#REF!,6,FALSE)</f>
        <v>#REF!</v>
      </c>
      <c r="L458" s="3">
        <v>44653.569444442983</v>
      </c>
      <c r="M458" s="15"/>
    </row>
    <row r="459" spans="2:13">
      <c r="B459" s="7"/>
      <c r="C459" s="8" t="e">
        <f>VLOOKUP($B459,#REF!,5,FALSE)</f>
        <v>#REF!</v>
      </c>
      <c r="D459" s="8" t="e">
        <f>VLOOKUP($B459,#REF!,6,FALSE)</f>
        <v>#REF!</v>
      </c>
      <c r="E459" s="9" t="e">
        <f>VLOOKUP($B459,#REF!,17,FALSE)</f>
        <v>#REF!</v>
      </c>
      <c r="F459" s="10" t="e">
        <f>VLOOKUP($B459,#REF!,7,FALSE)</f>
        <v>#REF!</v>
      </c>
      <c r="G459" s="10"/>
      <c r="H459" s="10"/>
      <c r="I459" s="11" t="e">
        <f>VLOOKUP($B459,#REF!,19,FALSE)</f>
        <v>#REF!</v>
      </c>
      <c r="J459" s="11" t="e">
        <f>VLOOKUP($B459,#REF!,6,FALSE)</f>
        <v>#REF!</v>
      </c>
      <c r="L459" s="3">
        <v>44653.572916665202</v>
      </c>
      <c r="M459" s="15"/>
    </row>
    <row r="460" spans="2:13">
      <c r="B460" s="7"/>
      <c r="C460" s="8" t="e">
        <f>VLOOKUP($B460,#REF!,5,FALSE)</f>
        <v>#REF!</v>
      </c>
      <c r="D460" s="8" t="e">
        <f>VLOOKUP($B460,#REF!,6,FALSE)</f>
        <v>#REF!</v>
      </c>
      <c r="E460" s="9" t="e">
        <f>VLOOKUP($B460,#REF!,17,FALSE)</f>
        <v>#REF!</v>
      </c>
      <c r="F460" s="10" t="e">
        <f>VLOOKUP($B460,#REF!,7,FALSE)</f>
        <v>#REF!</v>
      </c>
      <c r="G460" s="10"/>
      <c r="H460" s="10"/>
      <c r="I460" s="11" t="e">
        <f>VLOOKUP($B460,#REF!,19,FALSE)</f>
        <v>#REF!</v>
      </c>
      <c r="J460" s="11" t="e">
        <f>VLOOKUP($B460,#REF!,6,FALSE)</f>
        <v>#REF!</v>
      </c>
      <c r="L460" s="3">
        <v>44653.576388887421</v>
      </c>
      <c r="M460" s="15"/>
    </row>
    <row r="461" spans="2:13">
      <c r="B461" s="7"/>
      <c r="C461" s="8" t="e">
        <f>VLOOKUP($B461,#REF!,5,FALSE)</f>
        <v>#REF!</v>
      </c>
      <c r="D461" s="8" t="e">
        <f>VLOOKUP($B461,#REF!,6,FALSE)</f>
        <v>#REF!</v>
      </c>
      <c r="E461" s="9" t="e">
        <f>VLOOKUP($B461,#REF!,17,FALSE)</f>
        <v>#REF!</v>
      </c>
      <c r="F461" s="10" t="e">
        <f>VLOOKUP($B461,#REF!,7,FALSE)</f>
        <v>#REF!</v>
      </c>
      <c r="G461" s="10"/>
      <c r="H461" s="10"/>
      <c r="I461" s="11" t="e">
        <f>VLOOKUP($B461,#REF!,19,FALSE)</f>
        <v>#REF!</v>
      </c>
      <c r="J461" s="11" t="e">
        <f>VLOOKUP($B461,#REF!,6,FALSE)</f>
        <v>#REF!</v>
      </c>
      <c r="L461" s="3">
        <v>44653.57986110964</v>
      </c>
      <c r="M461" s="15"/>
    </row>
    <row r="462" spans="2:13">
      <c r="B462" s="7"/>
      <c r="C462" s="8" t="e">
        <f>VLOOKUP($B462,#REF!,5,FALSE)</f>
        <v>#REF!</v>
      </c>
      <c r="D462" s="8" t="e">
        <f>VLOOKUP($B462,#REF!,6,FALSE)</f>
        <v>#REF!</v>
      </c>
      <c r="E462" s="9" t="e">
        <f>VLOOKUP($B462,#REF!,17,FALSE)</f>
        <v>#REF!</v>
      </c>
      <c r="F462" s="10" t="e">
        <f>VLOOKUP($B462,#REF!,7,FALSE)</f>
        <v>#REF!</v>
      </c>
      <c r="G462" s="10"/>
      <c r="H462" s="10"/>
      <c r="I462" s="11" t="e">
        <f>VLOOKUP($B462,#REF!,19,FALSE)</f>
        <v>#REF!</v>
      </c>
      <c r="J462" s="11" t="e">
        <f>VLOOKUP($B462,#REF!,6,FALSE)</f>
        <v>#REF!</v>
      </c>
      <c r="L462" s="3">
        <v>44653.583333331859</v>
      </c>
      <c r="M462" s="15"/>
    </row>
    <row r="463" spans="2:13">
      <c r="B463" s="7"/>
      <c r="C463" s="8" t="e">
        <f>VLOOKUP($B463,#REF!,5,FALSE)</f>
        <v>#REF!</v>
      </c>
      <c r="D463" s="8" t="e">
        <f>VLOOKUP($B463,#REF!,6,FALSE)</f>
        <v>#REF!</v>
      </c>
      <c r="E463" s="9" t="e">
        <f>VLOOKUP($B463,#REF!,17,FALSE)</f>
        <v>#REF!</v>
      </c>
      <c r="F463" s="10" t="e">
        <f>VLOOKUP($B463,#REF!,7,FALSE)</f>
        <v>#REF!</v>
      </c>
      <c r="G463" s="10"/>
      <c r="H463" s="10"/>
      <c r="I463" s="11" t="e">
        <f>VLOOKUP($B463,#REF!,19,FALSE)</f>
        <v>#REF!</v>
      </c>
      <c r="J463" s="11" t="e">
        <f>VLOOKUP($B463,#REF!,6,FALSE)</f>
        <v>#REF!</v>
      </c>
      <c r="L463" s="3">
        <v>44653.586805554078</v>
      </c>
      <c r="M463" s="15"/>
    </row>
    <row r="464" spans="2:13">
      <c r="B464" s="7"/>
      <c r="C464" s="8" t="e">
        <f>VLOOKUP($B464,#REF!,5,FALSE)</f>
        <v>#REF!</v>
      </c>
      <c r="D464" s="8" t="e">
        <f>VLOOKUP($B464,#REF!,6,FALSE)</f>
        <v>#REF!</v>
      </c>
      <c r="E464" s="9" t="e">
        <f>VLOOKUP($B464,#REF!,17,FALSE)</f>
        <v>#REF!</v>
      </c>
      <c r="F464" s="10" t="e">
        <f>VLOOKUP($B464,#REF!,7,FALSE)</f>
        <v>#REF!</v>
      </c>
      <c r="G464" s="10"/>
      <c r="H464" s="10"/>
      <c r="I464" s="11" t="e">
        <f>VLOOKUP($B464,#REF!,19,FALSE)</f>
        <v>#REF!</v>
      </c>
      <c r="J464" s="11" t="e">
        <f>VLOOKUP($B464,#REF!,6,FALSE)</f>
        <v>#REF!</v>
      </c>
      <c r="L464" s="3">
        <v>44653.590277776297</v>
      </c>
      <c r="M464" s="15"/>
    </row>
    <row r="465" spans="2:13">
      <c r="B465" s="7"/>
      <c r="C465" s="8" t="e">
        <f>VLOOKUP($B465,#REF!,5,FALSE)</f>
        <v>#REF!</v>
      </c>
      <c r="D465" s="8" t="e">
        <f>VLOOKUP($B465,#REF!,6,FALSE)</f>
        <v>#REF!</v>
      </c>
      <c r="E465" s="9" t="e">
        <f>VLOOKUP($B465,#REF!,17,FALSE)</f>
        <v>#REF!</v>
      </c>
      <c r="F465" s="10" t="e">
        <f>VLOOKUP($B465,#REF!,7,FALSE)</f>
        <v>#REF!</v>
      </c>
      <c r="G465" s="10"/>
      <c r="H465" s="10"/>
      <c r="I465" s="11" t="e">
        <f>VLOOKUP($B465,#REF!,19,FALSE)</f>
        <v>#REF!</v>
      </c>
      <c r="J465" s="11" t="e">
        <f>VLOOKUP($B465,#REF!,6,FALSE)</f>
        <v>#REF!</v>
      </c>
      <c r="L465" s="3">
        <v>44653.593749998516</v>
      </c>
      <c r="M465" s="15"/>
    </row>
    <row r="466" spans="2:13">
      <c r="B466" s="7"/>
      <c r="C466" s="8" t="e">
        <f>VLOOKUP($B466,#REF!,5,FALSE)</f>
        <v>#REF!</v>
      </c>
      <c r="D466" s="8" t="e">
        <f>VLOOKUP($B466,#REF!,6,FALSE)</f>
        <v>#REF!</v>
      </c>
      <c r="E466" s="9" t="e">
        <f>VLOOKUP($B466,#REF!,17,FALSE)</f>
        <v>#REF!</v>
      </c>
      <c r="F466" s="10" t="e">
        <f>VLOOKUP($B466,#REF!,7,FALSE)</f>
        <v>#REF!</v>
      </c>
      <c r="G466" s="10"/>
      <c r="H466" s="10"/>
      <c r="I466" s="11" t="e">
        <f>VLOOKUP($B466,#REF!,19,FALSE)</f>
        <v>#REF!</v>
      </c>
      <c r="J466" s="11" t="e">
        <f>VLOOKUP($B466,#REF!,6,FALSE)</f>
        <v>#REF!</v>
      </c>
      <c r="L466" s="3">
        <v>44653.597222220735</v>
      </c>
      <c r="M466" s="15"/>
    </row>
    <row r="467" spans="2:13">
      <c r="B467" s="7"/>
      <c r="C467" s="8" t="e">
        <f>VLOOKUP($B467,#REF!,5,FALSE)</f>
        <v>#REF!</v>
      </c>
      <c r="D467" s="8" t="e">
        <f>VLOOKUP($B467,#REF!,6,FALSE)</f>
        <v>#REF!</v>
      </c>
      <c r="E467" s="9" t="e">
        <f>VLOOKUP($B467,#REF!,17,FALSE)</f>
        <v>#REF!</v>
      </c>
      <c r="F467" s="10" t="e">
        <f>VLOOKUP($B467,#REF!,7,FALSE)</f>
        <v>#REF!</v>
      </c>
      <c r="G467" s="10"/>
      <c r="H467" s="10"/>
      <c r="I467" s="11" t="e">
        <f>VLOOKUP($B467,#REF!,19,FALSE)</f>
        <v>#REF!</v>
      </c>
      <c r="J467" s="11" t="e">
        <f>VLOOKUP($B467,#REF!,6,FALSE)</f>
        <v>#REF!</v>
      </c>
      <c r="L467" s="3">
        <v>44653.600694442954</v>
      </c>
      <c r="M467" s="15"/>
    </row>
    <row r="468" spans="2:13">
      <c r="B468" s="7"/>
      <c r="C468" s="8" t="e">
        <f>VLOOKUP($B468,#REF!,5,FALSE)</f>
        <v>#REF!</v>
      </c>
      <c r="D468" s="8" t="e">
        <f>VLOOKUP($B468,#REF!,6,FALSE)</f>
        <v>#REF!</v>
      </c>
      <c r="E468" s="9" t="e">
        <f>VLOOKUP($B468,#REF!,17,FALSE)</f>
        <v>#REF!</v>
      </c>
      <c r="F468" s="10" t="e">
        <f>VLOOKUP($B468,#REF!,7,FALSE)</f>
        <v>#REF!</v>
      </c>
      <c r="G468" s="10"/>
      <c r="H468" s="10"/>
      <c r="I468" s="11" t="e">
        <f>VLOOKUP($B468,#REF!,19,FALSE)</f>
        <v>#REF!</v>
      </c>
      <c r="J468" s="11" t="e">
        <f>VLOOKUP($B468,#REF!,6,FALSE)</f>
        <v>#REF!</v>
      </c>
      <c r="L468" s="3">
        <v>44653.604166665173</v>
      </c>
      <c r="M468" s="15"/>
    </row>
    <row r="469" spans="2:13">
      <c r="B469" s="7"/>
      <c r="C469" s="8" t="e">
        <f>VLOOKUP($B469,#REF!,5,FALSE)</f>
        <v>#REF!</v>
      </c>
      <c r="D469" s="8" t="e">
        <f>VLOOKUP($B469,#REF!,6,FALSE)</f>
        <v>#REF!</v>
      </c>
      <c r="E469" s="9" t="e">
        <f>VLOOKUP($B469,#REF!,17,FALSE)</f>
        <v>#REF!</v>
      </c>
      <c r="F469" s="10" t="e">
        <f>VLOOKUP($B469,#REF!,7,FALSE)</f>
        <v>#REF!</v>
      </c>
      <c r="G469" s="10"/>
      <c r="H469" s="10"/>
      <c r="I469" s="11" t="e">
        <f>VLOOKUP($B469,#REF!,19,FALSE)</f>
        <v>#REF!</v>
      </c>
      <c r="J469" s="11" t="e">
        <f>VLOOKUP($B469,#REF!,6,FALSE)</f>
        <v>#REF!</v>
      </c>
      <c r="L469" s="3">
        <v>44653.607638887392</v>
      </c>
      <c r="M469" s="15"/>
    </row>
    <row r="470" spans="2:13">
      <c r="B470" s="7"/>
      <c r="C470" s="8" t="e">
        <f>VLOOKUP($B470,#REF!,5,FALSE)</f>
        <v>#REF!</v>
      </c>
      <c r="D470" s="8" t="e">
        <f>VLOOKUP($B470,#REF!,6,FALSE)</f>
        <v>#REF!</v>
      </c>
      <c r="E470" s="9" t="e">
        <f>VLOOKUP($B470,#REF!,17,FALSE)</f>
        <v>#REF!</v>
      </c>
      <c r="F470" s="10" t="e">
        <f>VLOOKUP($B470,#REF!,7,FALSE)</f>
        <v>#REF!</v>
      </c>
      <c r="G470" s="10"/>
      <c r="H470" s="10"/>
      <c r="I470" s="11" t="e">
        <f>VLOOKUP($B470,#REF!,19,FALSE)</f>
        <v>#REF!</v>
      </c>
      <c r="J470" s="11" t="e">
        <f>VLOOKUP($B470,#REF!,6,FALSE)</f>
        <v>#REF!</v>
      </c>
      <c r="L470" s="3">
        <v>44653.611111109611</v>
      </c>
      <c r="M470" s="15"/>
    </row>
    <row r="471" spans="2:13">
      <c r="B471" s="7"/>
      <c r="C471" s="8" t="e">
        <f>VLOOKUP($B471,#REF!,5,FALSE)</f>
        <v>#REF!</v>
      </c>
      <c r="D471" s="8" t="e">
        <f>VLOOKUP($B471,#REF!,6,FALSE)</f>
        <v>#REF!</v>
      </c>
      <c r="E471" s="9" t="e">
        <f>VLOOKUP($B471,#REF!,17,FALSE)</f>
        <v>#REF!</v>
      </c>
      <c r="F471" s="10" t="e">
        <f>VLOOKUP($B471,#REF!,7,FALSE)</f>
        <v>#REF!</v>
      </c>
      <c r="G471" s="10"/>
      <c r="H471" s="10"/>
      <c r="I471" s="11" t="e">
        <f>VLOOKUP($B471,#REF!,19,FALSE)</f>
        <v>#REF!</v>
      </c>
      <c r="J471" s="11" t="e">
        <f>VLOOKUP($B471,#REF!,6,FALSE)</f>
        <v>#REF!</v>
      </c>
      <c r="L471" s="3">
        <v>44653.61458333183</v>
      </c>
      <c r="M471" s="15"/>
    </row>
    <row r="472" spans="2:13">
      <c r="B472" s="7"/>
      <c r="C472" s="8" t="e">
        <f>VLOOKUP($B472,#REF!,5,FALSE)</f>
        <v>#REF!</v>
      </c>
      <c r="D472" s="8" t="e">
        <f>VLOOKUP($B472,#REF!,6,FALSE)</f>
        <v>#REF!</v>
      </c>
      <c r="E472" s="9" t="e">
        <f>VLOOKUP($B472,#REF!,17,FALSE)</f>
        <v>#REF!</v>
      </c>
      <c r="F472" s="10" t="e">
        <f>VLOOKUP($B472,#REF!,7,FALSE)</f>
        <v>#REF!</v>
      </c>
      <c r="G472" s="10"/>
      <c r="H472" s="10"/>
      <c r="I472" s="11" t="e">
        <f>VLOOKUP($B472,#REF!,19,FALSE)</f>
        <v>#REF!</v>
      </c>
      <c r="J472" s="11" t="e">
        <f>VLOOKUP($B472,#REF!,6,FALSE)</f>
        <v>#REF!</v>
      </c>
      <c r="L472" s="3">
        <v>44653.618055554049</v>
      </c>
      <c r="M472" s="15"/>
    </row>
    <row r="473" spans="2:13">
      <c r="B473" s="7"/>
      <c r="C473" s="8" t="e">
        <f>VLOOKUP($B473,#REF!,5,FALSE)</f>
        <v>#REF!</v>
      </c>
      <c r="D473" s="8" t="e">
        <f>VLOOKUP($B473,#REF!,6,FALSE)</f>
        <v>#REF!</v>
      </c>
      <c r="E473" s="9" t="e">
        <f>VLOOKUP($B473,#REF!,17,FALSE)</f>
        <v>#REF!</v>
      </c>
      <c r="F473" s="10" t="e">
        <f>VLOOKUP($B473,#REF!,7,FALSE)</f>
        <v>#REF!</v>
      </c>
      <c r="G473" s="10"/>
      <c r="H473" s="10"/>
      <c r="I473" s="11" t="e">
        <f>VLOOKUP($B473,#REF!,19,FALSE)</f>
        <v>#REF!</v>
      </c>
      <c r="J473" s="11" t="e">
        <f>VLOOKUP($B473,#REF!,6,FALSE)</f>
        <v>#REF!</v>
      </c>
      <c r="L473" s="3">
        <v>44653.621527776268</v>
      </c>
      <c r="M473" s="15"/>
    </row>
    <row r="474" spans="2:13">
      <c r="B474" s="7"/>
      <c r="C474" s="8" t="e">
        <f>VLOOKUP($B474,#REF!,5,FALSE)</f>
        <v>#REF!</v>
      </c>
      <c r="D474" s="8" t="e">
        <f>VLOOKUP($B474,#REF!,6,FALSE)</f>
        <v>#REF!</v>
      </c>
      <c r="E474" s="9" t="e">
        <f>VLOOKUP($B474,#REF!,17,FALSE)</f>
        <v>#REF!</v>
      </c>
      <c r="F474" s="10" t="e">
        <f>VLOOKUP($B474,#REF!,7,FALSE)</f>
        <v>#REF!</v>
      </c>
      <c r="G474" s="10"/>
      <c r="H474" s="10"/>
      <c r="I474" s="11" t="e">
        <f>VLOOKUP($B474,#REF!,19,FALSE)</f>
        <v>#REF!</v>
      </c>
      <c r="J474" s="11" t="e">
        <f>VLOOKUP($B474,#REF!,6,FALSE)</f>
        <v>#REF!</v>
      </c>
      <c r="L474" s="3">
        <v>44653.624999998487</v>
      </c>
      <c r="M474" s="15"/>
    </row>
    <row r="475" spans="2:13">
      <c r="B475" s="7"/>
      <c r="C475" s="8" t="e">
        <f>VLOOKUP($B475,#REF!,5,FALSE)</f>
        <v>#REF!</v>
      </c>
      <c r="D475" s="8" t="e">
        <f>VLOOKUP($B475,#REF!,6,FALSE)</f>
        <v>#REF!</v>
      </c>
      <c r="E475" s="9" t="e">
        <f>VLOOKUP($B475,#REF!,17,FALSE)</f>
        <v>#REF!</v>
      </c>
      <c r="F475" s="10" t="e">
        <f>VLOOKUP($B475,#REF!,7,FALSE)</f>
        <v>#REF!</v>
      </c>
      <c r="G475" s="10"/>
      <c r="H475" s="10"/>
      <c r="I475" s="11" t="e">
        <f>VLOOKUP($B475,#REF!,19,FALSE)</f>
        <v>#REF!</v>
      </c>
      <c r="J475" s="11" t="e">
        <f>VLOOKUP($B475,#REF!,6,FALSE)</f>
        <v>#REF!</v>
      </c>
      <c r="L475" s="3">
        <v>44653.628472220706</v>
      </c>
      <c r="M475" s="15"/>
    </row>
    <row r="476" spans="2:13">
      <c r="B476" s="7"/>
      <c r="C476" s="8" t="e">
        <f>VLOOKUP($B476,#REF!,5,FALSE)</f>
        <v>#REF!</v>
      </c>
      <c r="D476" s="8" t="e">
        <f>VLOOKUP($B476,#REF!,6,FALSE)</f>
        <v>#REF!</v>
      </c>
      <c r="E476" s="9" t="e">
        <f>VLOOKUP($B476,#REF!,17,FALSE)</f>
        <v>#REF!</v>
      </c>
      <c r="F476" s="10" t="e">
        <f>VLOOKUP($B476,#REF!,7,FALSE)</f>
        <v>#REF!</v>
      </c>
      <c r="G476" s="10"/>
      <c r="H476" s="10"/>
      <c r="I476" s="11" t="e">
        <f>VLOOKUP($B476,#REF!,19,FALSE)</f>
        <v>#REF!</v>
      </c>
      <c r="J476" s="11" t="e">
        <f>VLOOKUP($B476,#REF!,6,FALSE)</f>
        <v>#REF!</v>
      </c>
      <c r="L476" s="3">
        <v>44653.631944442925</v>
      </c>
      <c r="M476" s="15"/>
    </row>
    <row r="477" spans="2:13">
      <c r="B477" s="7"/>
      <c r="C477" s="8" t="e">
        <f>VLOOKUP($B477,#REF!,5,FALSE)</f>
        <v>#REF!</v>
      </c>
      <c r="D477" s="8" t="e">
        <f>VLOOKUP($B477,#REF!,6,FALSE)</f>
        <v>#REF!</v>
      </c>
      <c r="E477" s="9" t="e">
        <f>VLOOKUP($B477,#REF!,17,FALSE)</f>
        <v>#REF!</v>
      </c>
      <c r="F477" s="10" t="e">
        <f>VLOOKUP($B477,#REF!,7,FALSE)</f>
        <v>#REF!</v>
      </c>
      <c r="G477" s="10"/>
      <c r="H477" s="10"/>
      <c r="I477" s="11" t="e">
        <f>VLOOKUP($B477,#REF!,19,FALSE)</f>
        <v>#REF!</v>
      </c>
      <c r="J477" s="11" t="e">
        <f>VLOOKUP($B477,#REF!,6,FALSE)</f>
        <v>#REF!</v>
      </c>
      <c r="L477" s="3">
        <v>44653.635416665144</v>
      </c>
      <c r="M477" s="15"/>
    </row>
    <row r="478" spans="2:13">
      <c r="B478" s="7"/>
      <c r="C478" s="8" t="e">
        <f>VLOOKUP($B478,#REF!,5,FALSE)</f>
        <v>#REF!</v>
      </c>
      <c r="D478" s="8" t="e">
        <f>VLOOKUP($B478,#REF!,6,FALSE)</f>
        <v>#REF!</v>
      </c>
      <c r="E478" s="9" t="e">
        <f>VLOOKUP($B478,#REF!,17,FALSE)</f>
        <v>#REF!</v>
      </c>
      <c r="F478" s="10" t="e">
        <f>VLOOKUP($B478,#REF!,7,FALSE)</f>
        <v>#REF!</v>
      </c>
      <c r="G478" s="10"/>
      <c r="H478" s="10"/>
      <c r="I478" s="11" t="e">
        <f>VLOOKUP($B478,#REF!,19,FALSE)</f>
        <v>#REF!</v>
      </c>
      <c r="J478" s="11" t="e">
        <f>VLOOKUP($B478,#REF!,6,FALSE)</f>
        <v>#REF!</v>
      </c>
      <c r="L478" s="3">
        <v>44653.638888887363</v>
      </c>
      <c r="M478" s="15"/>
    </row>
    <row r="479" spans="2:13">
      <c r="B479" s="7"/>
      <c r="C479" s="8" t="e">
        <f>VLOOKUP($B479,#REF!,5,FALSE)</f>
        <v>#REF!</v>
      </c>
      <c r="D479" s="8" t="e">
        <f>VLOOKUP($B479,#REF!,6,FALSE)</f>
        <v>#REF!</v>
      </c>
      <c r="E479" s="9" t="e">
        <f>VLOOKUP($B479,#REF!,17,FALSE)</f>
        <v>#REF!</v>
      </c>
      <c r="F479" s="10" t="e">
        <f>VLOOKUP($B479,#REF!,7,FALSE)</f>
        <v>#REF!</v>
      </c>
      <c r="G479" s="10"/>
      <c r="H479" s="10"/>
      <c r="I479" s="11" t="e">
        <f>VLOOKUP($B479,#REF!,19,FALSE)</f>
        <v>#REF!</v>
      </c>
      <c r="J479" s="11" t="e">
        <f>VLOOKUP($B479,#REF!,6,FALSE)</f>
        <v>#REF!</v>
      </c>
      <c r="L479" s="3">
        <v>44653.642361109582</v>
      </c>
      <c r="M479" s="15"/>
    </row>
    <row r="480" spans="2:13">
      <c r="B480" s="7"/>
      <c r="C480" s="8" t="e">
        <f>VLOOKUP($B480,#REF!,5,FALSE)</f>
        <v>#REF!</v>
      </c>
      <c r="D480" s="8" t="e">
        <f>VLOOKUP($B480,#REF!,6,FALSE)</f>
        <v>#REF!</v>
      </c>
      <c r="E480" s="9" t="e">
        <f>VLOOKUP($B480,#REF!,17,FALSE)</f>
        <v>#REF!</v>
      </c>
      <c r="F480" s="10" t="e">
        <f>VLOOKUP($B480,#REF!,7,FALSE)</f>
        <v>#REF!</v>
      </c>
      <c r="G480" s="10"/>
      <c r="H480" s="10"/>
      <c r="I480" s="11" t="e">
        <f>VLOOKUP($B480,#REF!,19,FALSE)</f>
        <v>#REF!</v>
      </c>
      <c r="J480" s="11" t="e">
        <f>VLOOKUP($B480,#REF!,6,FALSE)</f>
        <v>#REF!</v>
      </c>
      <c r="L480" s="3">
        <v>44653.645833331801</v>
      </c>
      <c r="M480" s="15"/>
    </row>
    <row r="481" spans="2:13">
      <c r="B481" s="7"/>
      <c r="C481" s="8" t="e">
        <f>VLOOKUP($B481,#REF!,5,FALSE)</f>
        <v>#REF!</v>
      </c>
      <c r="D481" s="8" t="e">
        <f>VLOOKUP($B481,#REF!,6,FALSE)</f>
        <v>#REF!</v>
      </c>
      <c r="E481" s="9" t="e">
        <f>VLOOKUP($B481,#REF!,17,FALSE)</f>
        <v>#REF!</v>
      </c>
      <c r="F481" s="10" t="e">
        <f>VLOOKUP($B481,#REF!,7,FALSE)</f>
        <v>#REF!</v>
      </c>
      <c r="G481" s="10"/>
      <c r="H481" s="10"/>
      <c r="I481" s="11" t="e">
        <f>VLOOKUP($B481,#REF!,19,FALSE)</f>
        <v>#REF!</v>
      </c>
      <c r="J481" s="11" t="e">
        <f>VLOOKUP($B481,#REF!,6,FALSE)</f>
        <v>#REF!</v>
      </c>
      <c r="L481" s="3">
        <v>44653.64930555402</v>
      </c>
      <c r="M481" s="15"/>
    </row>
    <row r="482" spans="2:13">
      <c r="B482" s="7"/>
      <c r="C482" s="8" t="e">
        <f>VLOOKUP($B482,#REF!,5,FALSE)</f>
        <v>#REF!</v>
      </c>
      <c r="D482" s="8" t="e">
        <f>VLOOKUP($B482,#REF!,6,FALSE)</f>
        <v>#REF!</v>
      </c>
      <c r="E482" s="9" t="e">
        <f>VLOOKUP($B482,#REF!,17,FALSE)</f>
        <v>#REF!</v>
      </c>
      <c r="F482" s="10" t="e">
        <f>VLOOKUP($B482,#REF!,7,FALSE)</f>
        <v>#REF!</v>
      </c>
      <c r="G482" s="10"/>
      <c r="H482" s="10"/>
      <c r="I482" s="11" t="e">
        <f>VLOOKUP($B482,#REF!,19,FALSE)</f>
        <v>#REF!</v>
      </c>
      <c r="J482" s="11" t="e">
        <f>VLOOKUP($B482,#REF!,6,FALSE)</f>
        <v>#REF!</v>
      </c>
      <c r="L482" s="3">
        <v>44653.652777776239</v>
      </c>
      <c r="M482" s="15"/>
    </row>
    <row r="483" spans="2:13">
      <c r="B483" s="7"/>
      <c r="C483" s="8" t="e">
        <f>VLOOKUP($B483,#REF!,5,FALSE)</f>
        <v>#REF!</v>
      </c>
      <c r="D483" s="8" t="e">
        <f>VLOOKUP($B483,#REF!,6,FALSE)</f>
        <v>#REF!</v>
      </c>
      <c r="E483" s="9" t="e">
        <f>VLOOKUP($B483,#REF!,17,FALSE)</f>
        <v>#REF!</v>
      </c>
      <c r="F483" s="10" t="e">
        <f>VLOOKUP($B483,#REF!,7,FALSE)</f>
        <v>#REF!</v>
      </c>
      <c r="G483" s="10"/>
      <c r="H483" s="10"/>
      <c r="I483" s="11" t="e">
        <f>VLOOKUP($B483,#REF!,19,FALSE)</f>
        <v>#REF!</v>
      </c>
      <c r="J483" s="11" t="e">
        <f>VLOOKUP($B483,#REF!,6,FALSE)</f>
        <v>#REF!</v>
      </c>
      <c r="L483" s="3">
        <v>44653.656249998457</v>
      </c>
      <c r="M483" s="15"/>
    </row>
    <row r="484" spans="2:13">
      <c r="B484" s="7"/>
      <c r="C484" s="8" t="e">
        <f>VLOOKUP($B484,#REF!,5,FALSE)</f>
        <v>#REF!</v>
      </c>
      <c r="D484" s="8" t="e">
        <f>VLOOKUP($B484,#REF!,6,FALSE)</f>
        <v>#REF!</v>
      </c>
      <c r="E484" s="9" t="e">
        <f>VLOOKUP($B484,#REF!,17,FALSE)</f>
        <v>#REF!</v>
      </c>
      <c r="F484" s="10" t="e">
        <f>VLOOKUP($B484,#REF!,7,FALSE)</f>
        <v>#REF!</v>
      </c>
      <c r="G484" s="10"/>
      <c r="H484" s="10"/>
      <c r="I484" s="11" t="e">
        <f>VLOOKUP($B484,#REF!,19,FALSE)</f>
        <v>#REF!</v>
      </c>
      <c r="J484" s="11" t="e">
        <f>VLOOKUP($B484,#REF!,6,FALSE)</f>
        <v>#REF!</v>
      </c>
      <c r="L484" s="3">
        <v>44653.659722220676</v>
      </c>
      <c r="M484" s="15"/>
    </row>
    <row r="485" spans="2:13">
      <c r="B485" s="7"/>
      <c r="C485" s="8" t="e">
        <f>VLOOKUP($B485,#REF!,5,FALSE)</f>
        <v>#REF!</v>
      </c>
      <c r="D485" s="8" t="e">
        <f>VLOOKUP($B485,#REF!,6,FALSE)</f>
        <v>#REF!</v>
      </c>
      <c r="E485" s="9" t="e">
        <f>VLOOKUP($B485,#REF!,17,FALSE)</f>
        <v>#REF!</v>
      </c>
      <c r="F485" s="10" t="e">
        <f>VLOOKUP($B485,#REF!,7,FALSE)</f>
        <v>#REF!</v>
      </c>
      <c r="G485" s="10"/>
      <c r="H485" s="10"/>
      <c r="I485" s="11" t="e">
        <f>VLOOKUP($B485,#REF!,19,FALSE)</f>
        <v>#REF!</v>
      </c>
      <c r="J485" s="11" t="e">
        <f>VLOOKUP($B485,#REF!,6,FALSE)</f>
        <v>#REF!</v>
      </c>
      <c r="L485" s="3">
        <v>44653.663194442895</v>
      </c>
      <c r="M485" s="15"/>
    </row>
    <row r="486" spans="2:13">
      <c r="B486" s="7"/>
      <c r="C486" s="8" t="e">
        <f>VLOOKUP($B486,#REF!,5,FALSE)</f>
        <v>#REF!</v>
      </c>
      <c r="D486" s="8" t="e">
        <f>VLOOKUP($B486,#REF!,6,FALSE)</f>
        <v>#REF!</v>
      </c>
      <c r="E486" s="9" t="e">
        <f>VLOOKUP($B486,#REF!,17,FALSE)</f>
        <v>#REF!</v>
      </c>
      <c r="F486" s="10" t="e">
        <f>VLOOKUP($B486,#REF!,7,FALSE)</f>
        <v>#REF!</v>
      </c>
      <c r="G486" s="10"/>
      <c r="H486" s="10"/>
      <c r="I486" s="11" t="e">
        <f>VLOOKUP($B486,#REF!,19,FALSE)</f>
        <v>#REF!</v>
      </c>
      <c r="J486" s="11" t="e">
        <f>VLOOKUP($B486,#REF!,6,FALSE)</f>
        <v>#REF!</v>
      </c>
      <c r="L486" s="3">
        <v>44653.666666665114</v>
      </c>
      <c r="M486" s="15"/>
    </row>
    <row r="487" spans="2:13">
      <c r="B487" s="7"/>
      <c r="C487" s="8" t="e">
        <f>VLOOKUP($B487,#REF!,5,FALSE)</f>
        <v>#REF!</v>
      </c>
      <c r="D487" s="8" t="e">
        <f>VLOOKUP($B487,#REF!,6,FALSE)</f>
        <v>#REF!</v>
      </c>
      <c r="E487" s="9" t="e">
        <f>VLOOKUP($B487,#REF!,17,FALSE)</f>
        <v>#REF!</v>
      </c>
      <c r="F487" s="10" t="e">
        <f>VLOOKUP($B487,#REF!,7,FALSE)</f>
        <v>#REF!</v>
      </c>
      <c r="G487" s="10"/>
      <c r="H487" s="10"/>
      <c r="I487" s="11" t="e">
        <f>VLOOKUP($B487,#REF!,19,FALSE)</f>
        <v>#REF!</v>
      </c>
      <c r="J487" s="11" t="e">
        <f>VLOOKUP($B487,#REF!,6,FALSE)</f>
        <v>#REF!</v>
      </c>
      <c r="L487" s="3">
        <v>44653.670138887333</v>
      </c>
      <c r="M487" s="15"/>
    </row>
    <row r="488" spans="2:13">
      <c r="B488" s="7"/>
      <c r="C488" s="8" t="e">
        <f>VLOOKUP($B488,#REF!,5,FALSE)</f>
        <v>#REF!</v>
      </c>
      <c r="D488" s="8" t="e">
        <f>VLOOKUP($B488,#REF!,6,FALSE)</f>
        <v>#REF!</v>
      </c>
      <c r="E488" s="9" t="e">
        <f>VLOOKUP($B488,#REF!,17,FALSE)</f>
        <v>#REF!</v>
      </c>
      <c r="F488" s="10" t="e">
        <f>VLOOKUP($B488,#REF!,7,FALSE)</f>
        <v>#REF!</v>
      </c>
      <c r="G488" s="10"/>
      <c r="H488" s="10"/>
      <c r="I488" s="11" t="e">
        <f>VLOOKUP($B488,#REF!,19,FALSE)</f>
        <v>#REF!</v>
      </c>
      <c r="J488" s="11" t="e">
        <f>VLOOKUP($B488,#REF!,6,FALSE)</f>
        <v>#REF!</v>
      </c>
      <c r="L488" s="3">
        <v>44653.673611109552</v>
      </c>
      <c r="M488" s="15"/>
    </row>
    <row r="489" spans="2:13">
      <c r="B489" s="7"/>
      <c r="C489" s="8" t="e">
        <f>VLOOKUP($B489,#REF!,5,FALSE)</f>
        <v>#REF!</v>
      </c>
      <c r="D489" s="8" t="e">
        <f>VLOOKUP($B489,#REF!,6,FALSE)</f>
        <v>#REF!</v>
      </c>
      <c r="E489" s="9" t="e">
        <f>VLOOKUP($B489,#REF!,17,FALSE)</f>
        <v>#REF!</v>
      </c>
      <c r="F489" s="10" t="e">
        <f>VLOOKUP($B489,#REF!,7,FALSE)</f>
        <v>#REF!</v>
      </c>
      <c r="G489" s="10"/>
      <c r="H489" s="10"/>
      <c r="I489" s="11" t="e">
        <f>VLOOKUP($B489,#REF!,19,FALSE)</f>
        <v>#REF!</v>
      </c>
      <c r="J489" s="11" t="e">
        <f>VLOOKUP($B489,#REF!,6,FALSE)</f>
        <v>#REF!</v>
      </c>
      <c r="L489" s="3">
        <v>44653.677083331771</v>
      </c>
      <c r="M489" s="15"/>
    </row>
    <row r="490" spans="2:13">
      <c r="B490" s="7"/>
      <c r="C490" s="8" t="e">
        <f>VLOOKUP($B490,#REF!,5,FALSE)</f>
        <v>#REF!</v>
      </c>
      <c r="D490" s="8" t="e">
        <f>VLOOKUP($B490,#REF!,6,FALSE)</f>
        <v>#REF!</v>
      </c>
      <c r="E490" s="9" t="e">
        <f>VLOOKUP($B490,#REF!,17,FALSE)</f>
        <v>#REF!</v>
      </c>
      <c r="F490" s="10" t="e">
        <f>VLOOKUP($B490,#REF!,7,FALSE)</f>
        <v>#REF!</v>
      </c>
      <c r="G490" s="10"/>
      <c r="H490" s="10"/>
      <c r="I490" s="11" t="e">
        <f>VLOOKUP($B490,#REF!,19,FALSE)</f>
        <v>#REF!</v>
      </c>
      <c r="J490" s="11" t="e">
        <f>VLOOKUP($B490,#REF!,6,FALSE)</f>
        <v>#REF!</v>
      </c>
      <c r="L490" s="3">
        <v>44653.68055555399</v>
      </c>
      <c r="M490" s="15"/>
    </row>
    <row r="491" spans="2:13">
      <c r="B491" s="7"/>
      <c r="C491" s="8" t="e">
        <f>VLOOKUP($B491,#REF!,5,FALSE)</f>
        <v>#REF!</v>
      </c>
      <c r="D491" s="8" t="e">
        <f>VLOOKUP($B491,#REF!,6,FALSE)</f>
        <v>#REF!</v>
      </c>
      <c r="E491" s="9" t="e">
        <f>VLOOKUP($B491,#REF!,17,FALSE)</f>
        <v>#REF!</v>
      </c>
      <c r="F491" s="10" t="e">
        <f>VLOOKUP($B491,#REF!,7,FALSE)</f>
        <v>#REF!</v>
      </c>
      <c r="G491" s="10"/>
      <c r="H491" s="10"/>
      <c r="I491" s="11" t="e">
        <f>VLOOKUP($B491,#REF!,19,FALSE)</f>
        <v>#REF!</v>
      </c>
      <c r="J491" s="11" t="e">
        <f>VLOOKUP($B491,#REF!,6,FALSE)</f>
        <v>#REF!</v>
      </c>
      <c r="L491" s="3">
        <v>44653.684027776209</v>
      </c>
      <c r="M491" s="15"/>
    </row>
    <row r="492" spans="2:13">
      <c r="B492" s="7"/>
      <c r="C492" s="8" t="e">
        <f>VLOOKUP($B492,#REF!,5,FALSE)</f>
        <v>#REF!</v>
      </c>
      <c r="D492" s="8" t="e">
        <f>VLOOKUP($B492,#REF!,6,FALSE)</f>
        <v>#REF!</v>
      </c>
      <c r="E492" s="9" t="e">
        <f>VLOOKUP($B492,#REF!,17,FALSE)</f>
        <v>#REF!</v>
      </c>
      <c r="F492" s="10" t="e">
        <f>VLOOKUP($B492,#REF!,7,FALSE)</f>
        <v>#REF!</v>
      </c>
      <c r="G492" s="10"/>
      <c r="H492" s="10"/>
      <c r="I492" s="11" t="e">
        <f>VLOOKUP($B492,#REF!,19,FALSE)</f>
        <v>#REF!</v>
      </c>
      <c r="J492" s="11" t="e">
        <f>VLOOKUP($B492,#REF!,6,FALSE)</f>
        <v>#REF!</v>
      </c>
      <c r="L492" s="3">
        <v>44653.687499998428</v>
      </c>
      <c r="M492" s="15"/>
    </row>
    <row r="493" spans="2:13">
      <c r="B493" s="7"/>
      <c r="C493" s="8" t="e">
        <f>VLOOKUP($B493,#REF!,5,FALSE)</f>
        <v>#REF!</v>
      </c>
      <c r="D493" s="8" t="e">
        <f>VLOOKUP($B493,#REF!,6,FALSE)</f>
        <v>#REF!</v>
      </c>
      <c r="E493" s="9" t="e">
        <f>VLOOKUP($B493,#REF!,17,FALSE)</f>
        <v>#REF!</v>
      </c>
      <c r="F493" s="10" t="e">
        <f>VLOOKUP($B493,#REF!,7,FALSE)</f>
        <v>#REF!</v>
      </c>
      <c r="G493" s="10"/>
      <c r="H493" s="10"/>
      <c r="I493" s="11" t="e">
        <f>VLOOKUP($B493,#REF!,19,FALSE)</f>
        <v>#REF!</v>
      </c>
      <c r="J493" s="11" t="e">
        <f>VLOOKUP($B493,#REF!,6,FALSE)</f>
        <v>#REF!</v>
      </c>
      <c r="L493" s="3">
        <v>44653.690972220647</v>
      </c>
      <c r="M493" s="15"/>
    </row>
    <row r="494" spans="2:13">
      <c r="B494" s="7"/>
      <c r="C494" s="8" t="e">
        <f>VLOOKUP($B494,#REF!,5,FALSE)</f>
        <v>#REF!</v>
      </c>
      <c r="D494" s="8" t="e">
        <f>VLOOKUP($B494,#REF!,6,FALSE)</f>
        <v>#REF!</v>
      </c>
      <c r="E494" s="9" t="e">
        <f>VLOOKUP($B494,#REF!,17,FALSE)</f>
        <v>#REF!</v>
      </c>
      <c r="F494" s="10" t="e">
        <f>VLOOKUP($B494,#REF!,7,FALSE)</f>
        <v>#REF!</v>
      </c>
      <c r="G494" s="10"/>
      <c r="H494" s="10"/>
      <c r="I494" s="11" t="e">
        <f>VLOOKUP($B494,#REF!,19,FALSE)</f>
        <v>#REF!</v>
      </c>
      <c r="J494" s="11" t="e">
        <f>VLOOKUP($B494,#REF!,6,FALSE)</f>
        <v>#REF!</v>
      </c>
      <c r="L494" s="3">
        <v>44653.694444442866</v>
      </c>
      <c r="M494" s="15"/>
    </row>
    <row r="495" spans="2:13">
      <c r="B495" s="7"/>
      <c r="C495" s="8" t="e">
        <f>VLOOKUP($B495,#REF!,5,FALSE)</f>
        <v>#REF!</v>
      </c>
      <c r="D495" s="8" t="e">
        <f>VLOOKUP($B495,#REF!,6,FALSE)</f>
        <v>#REF!</v>
      </c>
      <c r="E495" s="9" t="e">
        <f>VLOOKUP($B495,#REF!,17,FALSE)</f>
        <v>#REF!</v>
      </c>
      <c r="F495" s="10" t="e">
        <f>VLOOKUP($B495,#REF!,7,FALSE)</f>
        <v>#REF!</v>
      </c>
      <c r="G495" s="10"/>
      <c r="H495" s="10"/>
      <c r="I495" s="11" t="e">
        <f>VLOOKUP($B495,#REF!,19,FALSE)</f>
        <v>#REF!</v>
      </c>
      <c r="J495" s="11" t="e">
        <f>VLOOKUP($B495,#REF!,6,FALSE)</f>
        <v>#REF!</v>
      </c>
      <c r="L495" s="3">
        <v>44653.697916665085</v>
      </c>
      <c r="M495" s="15"/>
    </row>
    <row r="496" spans="2:13">
      <c r="B496" s="7"/>
      <c r="C496" s="8" t="e">
        <f>VLOOKUP($B496,#REF!,5,FALSE)</f>
        <v>#REF!</v>
      </c>
      <c r="D496" s="8" t="e">
        <f>VLOOKUP($B496,#REF!,6,FALSE)</f>
        <v>#REF!</v>
      </c>
      <c r="E496" s="9" t="e">
        <f>VLOOKUP($B496,#REF!,17,FALSE)</f>
        <v>#REF!</v>
      </c>
      <c r="F496" s="10" t="e">
        <f>VLOOKUP($B496,#REF!,7,FALSE)</f>
        <v>#REF!</v>
      </c>
      <c r="G496" s="10"/>
      <c r="H496" s="10"/>
      <c r="I496" s="11" t="e">
        <f>VLOOKUP($B496,#REF!,19,FALSE)</f>
        <v>#REF!</v>
      </c>
      <c r="J496" s="11" t="e">
        <f>VLOOKUP($B496,#REF!,6,FALSE)</f>
        <v>#REF!</v>
      </c>
      <c r="L496" s="3">
        <v>44653.701388887304</v>
      </c>
      <c r="M496" s="15"/>
    </row>
    <row r="497" spans="2:13">
      <c r="B497" s="7"/>
      <c r="C497" s="8" t="e">
        <f>VLOOKUP($B497,#REF!,5,FALSE)</f>
        <v>#REF!</v>
      </c>
      <c r="D497" s="8" t="e">
        <f>VLOOKUP($B497,#REF!,6,FALSE)</f>
        <v>#REF!</v>
      </c>
      <c r="E497" s="9" t="e">
        <f>VLOOKUP($B497,#REF!,17,FALSE)</f>
        <v>#REF!</v>
      </c>
      <c r="F497" s="10" t="e">
        <f>VLOOKUP($B497,#REF!,7,FALSE)</f>
        <v>#REF!</v>
      </c>
      <c r="G497" s="10"/>
      <c r="H497" s="10"/>
      <c r="I497" s="11" t="e">
        <f>VLOOKUP($B497,#REF!,19,FALSE)</f>
        <v>#REF!</v>
      </c>
      <c r="J497" s="11" t="e">
        <f>VLOOKUP($B497,#REF!,6,FALSE)</f>
        <v>#REF!</v>
      </c>
      <c r="L497" s="3">
        <v>44653.704861109523</v>
      </c>
      <c r="M497" s="15"/>
    </row>
    <row r="498" spans="2:13">
      <c r="B498" s="7"/>
      <c r="C498" s="8" t="e">
        <f>VLOOKUP($B498,#REF!,5,FALSE)</f>
        <v>#REF!</v>
      </c>
      <c r="D498" s="8" t="e">
        <f>VLOOKUP($B498,#REF!,6,FALSE)</f>
        <v>#REF!</v>
      </c>
      <c r="E498" s="9" t="e">
        <f>VLOOKUP($B498,#REF!,17,FALSE)</f>
        <v>#REF!</v>
      </c>
      <c r="F498" s="10" t="e">
        <f>VLOOKUP($B498,#REF!,7,FALSE)</f>
        <v>#REF!</v>
      </c>
      <c r="G498" s="10"/>
      <c r="H498" s="10"/>
      <c r="I498" s="11" t="e">
        <f>VLOOKUP($B498,#REF!,19,FALSE)</f>
        <v>#REF!</v>
      </c>
      <c r="J498" s="11" t="e">
        <f>VLOOKUP($B498,#REF!,6,FALSE)</f>
        <v>#REF!</v>
      </c>
      <c r="L498" s="3">
        <v>44653.708333331742</v>
      </c>
      <c r="M498" s="15"/>
    </row>
    <row r="499" spans="2:13">
      <c r="B499" s="7"/>
      <c r="C499" s="8" t="e">
        <f>VLOOKUP($B499,#REF!,5,FALSE)</f>
        <v>#REF!</v>
      </c>
      <c r="D499" s="8" t="e">
        <f>VLOOKUP($B499,#REF!,6,FALSE)</f>
        <v>#REF!</v>
      </c>
      <c r="E499" s="9" t="e">
        <f>VLOOKUP($B499,#REF!,17,FALSE)</f>
        <v>#REF!</v>
      </c>
      <c r="F499" s="10" t="e">
        <f>VLOOKUP($B499,#REF!,7,FALSE)</f>
        <v>#REF!</v>
      </c>
      <c r="G499" s="10"/>
      <c r="H499" s="10"/>
      <c r="I499" s="11" t="e">
        <f>VLOOKUP($B499,#REF!,19,FALSE)</f>
        <v>#REF!</v>
      </c>
      <c r="J499" s="11" t="e">
        <f>VLOOKUP($B499,#REF!,6,FALSE)</f>
        <v>#REF!</v>
      </c>
      <c r="L499" s="3">
        <v>44653.711805553961</v>
      </c>
      <c r="M499" s="15"/>
    </row>
    <row r="500" spans="2:13">
      <c r="B500" s="7"/>
      <c r="C500" s="8" t="e">
        <f>VLOOKUP($B500,#REF!,5,FALSE)</f>
        <v>#REF!</v>
      </c>
      <c r="D500" s="8" t="e">
        <f>VLOOKUP($B500,#REF!,6,FALSE)</f>
        <v>#REF!</v>
      </c>
      <c r="E500" s="9" t="e">
        <f>VLOOKUP($B500,#REF!,17,FALSE)</f>
        <v>#REF!</v>
      </c>
      <c r="F500" s="10" t="e">
        <f>VLOOKUP($B500,#REF!,7,FALSE)</f>
        <v>#REF!</v>
      </c>
      <c r="G500" s="10"/>
      <c r="H500" s="10"/>
      <c r="I500" s="11" t="e">
        <f>VLOOKUP($B500,#REF!,19,FALSE)</f>
        <v>#REF!</v>
      </c>
      <c r="J500" s="11" t="e">
        <f>VLOOKUP($B500,#REF!,6,FALSE)</f>
        <v>#REF!</v>
      </c>
      <c r="L500" s="3">
        <v>44653.71527777618</v>
      </c>
      <c r="M500" s="15"/>
    </row>
    <row r="501" spans="2:13">
      <c r="B501" s="7"/>
      <c r="C501" s="8" t="e">
        <f>VLOOKUP($B501,#REF!,5,FALSE)</f>
        <v>#REF!</v>
      </c>
      <c r="D501" s="8" t="e">
        <f>VLOOKUP($B501,#REF!,6,FALSE)</f>
        <v>#REF!</v>
      </c>
      <c r="E501" s="9" t="e">
        <f>VLOOKUP($B501,#REF!,17,FALSE)</f>
        <v>#REF!</v>
      </c>
      <c r="F501" s="10" t="e">
        <f>VLOOKUP($B501,#REF!,7,FALSE)</f>
        <v>#REF!</v>
      </c>
      <c r="G501" s="10"/>
      <c r="H501" s="10"/>
      <c r="I501" s="11" t="e">
        <f>VLOOKUP($B501,#REF!,19,FALSE)</f>
        <v>#REF!</v>
      </c>
      <c r="J501" s="11" t="e">
        <f>VLOOKUP($B501,#REF!,6,FALSE)</f>
        <v>#REF!</v>
      </c>
      <c r="L501" s="3">
        <v>44653.718749998399</v>
      </c>
      <c r="M501" s="15"/>
    </row>
    <row r="502" spans="2:13">
      <c r="B502" s="7"/>
      <c r="C502" s="8" t="e">
        <f>VLOOKUP($B502,#REF!,5,FALSE)</f>
        <v>#REF!</v>
      </c>
      <c r="D502" s="8" t="e">
        <f>VLOOKUP($B502,#REF!,6,FALSE)</f>
        <v>#REF!</v>
      </c>
      <c r="E502" s="9" t="e">
        <f>VLOOKUP($B502,#REF!,17,FALSE)</f>
        <v>#REF!</v>
      </c>
      <c r="F502" s="10" t="e">
        <f>VLOOKUP($B502,#REF!,7,FALSE)</f>
        <v>#REF!</v>
      </c>
      <c r="G502" s="10"/>
      <c r="H502" s="10"/>
      <c r="I502" s="11" t="e">
        <f>VLOOKUP($B502,#REF!,19,FALSE)</f>
        <v>#REF!</v>
      </c>
      <c r="J502" s="11" t="e">
        <f>VLOOKUP($B502,#REF!,6,FALSE)</f>
        <v>#REF!</v>
      </c>
      <c r="L502" s="3">
        <v>44653.722222220618</v>
      </c>
      <c r="M502" s="15"/>
    </row>
    <row r="503" spans="2:13">
      <c r="B503" s="7"/>
      <c r="C503" s="8" t="e">
        <f>VLOOKUP($B503,#REF!,5,FALSE)</f>
        <v>#REF!</v>
      </c>
      <c r="D503" s="8" t="e">
        <f>VLOOKUP($B503,#REF!,6,FALSE)</f>
        <v>#REF!</v>
      </c>
      <c r="E503" s="9" t="e">
        <f>VLOOKUP($B503,#REF!,17,FALSE)</f>
        <v>#REF!</v>
      </c>
      <c r="F503" s="10" t="e">
        <f>VLOOKUP($B503,#REF!,7,FALSE)</f>
        <v>#REF!</v>
      </c>
      <c r="G503" s="10"/>
      <c r="H503" s="10"/>
      <c r="I503" s="11" t="e">
        <f>VLOOKUP($B503,#REF!,19,FALSE)</f>
        <v>#REF!</v>
      </c>
      <c r="J503" s="11" t="e">
        <f>VLOOKUP($B503,#REF!,6,FALSE)</f>
        <v>#REF!</v>
      </c>
      <c r="L503" s="3">
        <v>44653.725694442837</v>
      </c>
      <c r="M503" s="15"/>
    </row>
    <row r="504" spans="2:13">
      <c r="B504" s="7"/>
      <c r="C504" s="8" t="e">
        <f>VLOOKUP($B504,#REF!,5,FALSE)</f>
        <v>#REF!</v>
      </c>
      <c r="D504" s="8" t="e">
        <f>VLOOKUP($B504,#REF!,6,FALSE)</f>
        <v>#REF!</v>
      </c>
      <c r="E504" s="9" t="e">
        <f>VLOOKUP($B504,#REF!,17,FALSE)</f>
        <v>#REF!</v>
      </c>
      <c r="F504" s="10" t="e">
        <f>VLOOKUP($B504,#REF!,7,FALSE)</f>
        <v>#REF!</v>
      </c>
      <c r="G504" s="10"/>
      <c r="H504" s="10"/>
      <c r="I504" s="11" t="e">
        <f>VLOOKUP($B504,#REF!,19,FALSE)</f>
        <v>#REF!</v>
      </c>
      <c r="J504" s="11" t="e">
        <f>VLOOKUP($B504,#REF!,6,FALSE)</f>
        <v>#REF!</v>
      </c>
      <c r="L504" s="3">
        <v>44653.729166665056</v>
      </c>
      <c r="M504" s="15"/>
    </row>
    <row r="505" spans="2:13">
      <c r="B505" s="7"/>
      <c r="C505" s="8" t="e">
        <f>VLOOKUP($B505,#REF!,5,FALSE)</f>
        <v>#REF!</v>
      </c>
      <c r="D505" s="8" t="e">
        <f>VLOOKUP($B505,#REF!,6,FALSE)</f>
        <v>#REF!</v>
      </c>
      <c r="E505" s="9" t="e">
        <f>VLOOKUP($B505,#REF!,17,FALSE)</f>
        <v>#REF!</v>
      </c>
      <c r="F505" s="10" t="e">
        <f>VLOOKUP($B505,#REF!,7,FALSE)</f>
        <v>#REF!</v>
      </c>
      <c r="G505" s="10"/>
      <c r="H505" s="10"/>
      <c r="I505" s="11" t="e">
        <f>VLOOKUP($B505,#REF!,19,FALSE)</f>
        <v>#REF!</v>
      </c>
      <c r="J505" s="11" t="e">
        <f>VLOOKUP($B505,#REF!,6,FALSE)</f>
        <v>#REF!</v>
      </c>
      <c r="L505" s="3">
        <v>44653.732638887275</v>
      </c>
      <c r="M505" s="15"/>
    </row>
    <row r="506" spans="2:13">
      <c r="B506" s="7"/>
      <c r="C506" s="8" t="e">
        <f>VLOOKUP($B506,#REF!,5,FALSE)</f>
        <v>#REF!</v>
      </c>
      <c r="D506" s="8" t="e">
        <f>VLOOKUP($B506,#REF!,6,FALSE)</f>
        <v>#REF!</v>
      </c>
      <c r="E506" s="9" t="e">
        <f>VLOOKUP($B506,#REF!,17,FALSE)</f>
        <v>#REF!</v>
      </c>
      <c r="F506" s="10" t="e">
        <f>VLOOKUP($B506,#REF!,7,FALSE)</f>
        <v>#REF!</v>
      </c>
      <c r="G506" s="10"/>
      <c r="H506" s="10"/>
      <c r="I506" s="11" t="e">
        <f>VLOOKUP($B506,#REF!,19,FALSE)</f>
        <v>#REF!</v>
      </c>
      <c r="J506" s="11" t="e">
        <f>VLOOKUP($B506,#REF!,6,FALSE)</f>
        <v>#REF!</v>
      </c>
      <c r="L506" s="3">
        <v>44653.736111109494</v>
      </c>
      <c r="M506" s="15"/>
    </row>
    <row r="507" spans="2:13">
      <c r="B507" s="7"/>
      <c r="C507" s="8" t="e">
        <f>VLOOKUP($B507,#REF!,5,FALSE)</f>
        <v>#REF!</v>
      </c>
      <c r="D507" s="8" t="e">
        <f>VLOOKUP($B507,#REF!,6,FALSE)</f>
        <v>#REF!</v>
      </c>
      <c r="E507" s="9" t="e">
        <f>VLOOKUP($B507,#REF!,17,FALSE)</f>
        <v>#REF!</v>
      </c>
      <c r="F507" s="10" t="e">
        <f>VLOOKUP($B507,#REF!,7,FALSE)</f>
        <v>#REF!</v>
      </c>
      <c r="G507" s="10"/>
      <c r="H507" s="10"/>
      <c r="I507" s="11" t="e">
        <f>VLOOKUP($B507,#REF!,19,FALSE)</f>
        <v>#REF!</v>
      </c>
      <c r="J507" s="11" t="e">
        <f>VLOOKUP($B507,#REF!,6,FALSE)</f>
        <v>#REF!</v>
      </c>
      <c r="L507" s="3">
        <v>44653.739583331713</v>
      </c>
      <c r="M507" s="15"/>
    </row>
    <row r="508" spans="2:13">
      <c r="B508" s="7"/>
      <c r="C508" s="8" t="e">
        <f>VLOOKUP($B508,#REF!,5,FALSE)</f>
        <v>#REF!</v>
      </c>
      <c r="D508" s="8" t="e">
        <f>VLOOKUP($B508,#REF!,6,FALSE)</f>
        <v>#REF!</v>
      </c>
      <c r="E508" s="9" t="e">
        <f>VLOOKUP($B508,#REF!,17,FALSE)</f>
        <v>#REF!</v>
      </c>
      <c r="F508" s="10" t="e">
        <f>VLOOKUP($B508,#REF!,7,FALSE)</f>
        <v>#REF!</v>
      </c>
      <c r="G508" s="10"/>
      <c r="H508" s="10"/>
      <c r="I508" s="11" t="e">
        <f>VLOOKUP($B508,#REF!,19,FALSE)</f>
        <v>#REF!</v>
      </c>
      <c r="J508" s="11" t="e">
        <f>VLOOKUP($B508,#REF!,6,FALSE)</f>
        <v>#REF!</v>
      </c>
      <c r="L508" s="3">
        <v>44653.743055553932</v>
      </c>
      <c r="M508" s="15"/>
    </row>
    <row r="509" spans="2:13">
      <c r="B509" s="7"/>
      <c r="C509" s="8" t="e">
        <f>VLOOKUP($B509,#REF!,5,FALSE)</f>
        <v>#REF!</v>
      </c>
      <c r="D509" s="8" t="e">
        <f>VLOOKUP($B509,#REF!,6,FALSE)</f>
        <v>#REF!</v>
      </c>
      <c r="E509" s="9" t="e">
        <f>VLOOKUP($B509,#REF!,17,FALSE)</f>
        <v>#REF!</v>
      </c>
      <c r="F509" s="10" t="e">
        <f>VLOOKUP($B509,#REF!,7,FALSE)</f>
        <v>#REF!</v>
      </c>
      <c r="G509" s="10"/>
      <c r="H509" s="10"/>
      <c r="I509" s="11" t="e">
        <f>VLOOKUP($B509,#REF!,19,FALSE)</f>
        <v>#REF!</v>
      </c>
      <c r="J509" s="11" t="e">
        <f>VLOOKUP($B509,#REF!,6,FALSE)</f>
        <v>#REF!</v>
      </c>
      <c r="L509" s="3">
        <v>44653.746527776151</v>
      </c>
      <c r="M509" s="15"/>
    </row>
    <row r="510" spans="2:13">
      <c r="B510" s="7"/>
      <c r="C510" s="8" t="e">
        <f>VLOOKUP($B510,#REF!,5,FALSE)</f>
        <v>#REF!</v>
      </c>
      <c r="D510" s="8" t="e">
        <f>VLOOKUP($B510,#REF!,6,FALSE)</f>
        <v>#REF!</v>
      </c>
      <c r="E510" s="9" t="e">
        <f>VLOOKUP($B510,#REF!,17,FALSE)</f>
        <v>#REF!</v>
      </c>
      <c r="F510" s="10" t="e">
        <f>VLOOKUP($B510,#REF!,7,FALSE)</f>
        <v>#REF!</v>
      </c>
      <c r="G510" s="10"/>
      <c r="H510" s="10"/>
      <c r="I510" s="11" t="e">
        <f>VLOOKUP($B510,#REF!,19,FALSE)</f>
        <v>#REF!</v>
      </c>
      <c r="J510" s="11" t="e">
        <f>VLOOKUP($B510,#REF!,6,FALSE)</f>
        <v>#REF!</v>
      </c>
      <c r="L510" s="3">
        <v>44653.74999999837</v>
      </c>
      <c r="M510" s="15"/>
    </row>
    <row r="511" spans="2:13">
      <c r="B511" s="7"/>
      <c r="C511" s="8" t="e">
        <f>VLOOKUP($B511,#REF!,5,FALSE)</f>
        <v>#REF!</v>
      </c>
      <c r="D511" s="8" t="e">
        <f>VLOOKUP($B511,#REF!,6,FALSE)</f>
        <v>#REF!</v>
      </c>
      <c r="E511" s="9" t="e">
        <f>VLOOKUP($B511,#REF!,17,FALSE)</f>
        <v>#REF!</v>
      </c>
      <c r="F511" s="10" t="e">
        <f>VLOOKUP($B511,#REF!,7,FALSE)</f>
        <v>#REF!</v>
      </c>
      <c r="G511" s="10"/>
      <c r="H511" s="10"/>
      <c r="I511" s="11" t="e">
        <f>VLOOKUP($B511,#REF!,19,FALSE)</f>
        <v>#REF!</v>
      </c>
      <c r="J511" s="11" t="e">
        <f>VLOOKUP($B511,#REF!,6,FALSE)</f>
        <v>#REF!</v>
      </c>
      <c r="L511" s="3">
        <v>44653.753472220589</v>
      </c>
      <c r="M511" s="15"/>
    </row>
    <row r="512" spans="2:13">
      <c r="B512" s="7"/>
      <c r="C512" s="8" t="e">
        <f>VLOOKUP($B512,#REF!,5,FALSE)</f>
        <v>#REF!</v>
      </c>
      <c r="D512" s="8" t="e">
        <f>VLOOKUP($B512,#REF!,6,FALSE)</f>
        <v>#REF!</v>
      </c>
      <c r="E512" s="9" t="e">
        <f>VLOOKUP($B512,#REF!,17,FALSE)</f>
        <v>#REF!</v>
      </c>
      <c r="F512" s="10" t="e">
        <f>VLOOKUP($B512,#REF!,7,FALSE)</f>
        <v>#REF!</v>
      </c>
      <c r="G512" s="10"/>
      <c r="H512" s="10"/>
      <c r="I512" s="11" t="e">
        <f>VLOOKUP($B512,#REF!,19,FALSE)</f>
        <v>#REF!</v>
      </c>
      <c r="J512" s="11" t="e">
        <f>VLOOKUP($B512,#REF!,6,FALSE)</f>
        <v>#REF!</v>
      </c>
      <c r="L512" s="3">
        <v>44653.756944442808</v>
      </c>
      <c r="M512" s="15"/>
    </row>
    <row r="513" spans="2:13">
      <c r="B513" s="7"/>
      <c r="C513" s="8" t="e">
        <f>VLOOKUP($B513,#REF!,5,FALSE)</f>
        <v>#REF!</v>
      </c>
      <c r="D513" s="8" t="e">
        <f>VLOOKUP($B513,#REF!,6,FALSE)</f>
        <v>#REF!</v>
      </c>
      <c r="E513" s="9" t="e">
        <f>VLOOKUP($B513,#REF!,17,FALSE)</f>
        <v>#REF!</v>
      </c>
      <c r="F513" s="10" t="e">
        <f>VLOOKUP($B513,#REF!,7,FALSE)</f>
        <v>#REF!</v>
      </c>
      <c r="G513" s="10"/>
      <c r="H513" s="10"/>
      <c r="I513" s="11" t="e">
        <f>VLOOKUP($B513,#REF!,19,FALSE)</f>
        <v>#REF!</v>
      </c>
      <c r="J513" s="11" t="e">
        <f>VLOOKUP($B513,#REF!,6,FALSE)</f>
        <v>#REF!</v>
      </c>
      <c r="L513" s="3">
        <v>44653.760416665027</v>
      </c>
      <c r="M513" s="15"/>
    </row>
    <row r="514" spans="2:13">
      <c r="B514" s="7"/>
      <c r="C514" s="8" t="e">
        <f>VLOOKUP($B514,#REF!,5,FALSE)</f>
        <v>#REF!</v>
      </c>
      <c r="D514" s="8" t="e">
        <f>VLOOKUP($B514,#REF!,6,FALSE)</f>
        <v>#REF!</v>
      </c>
      <c r="E514" s="9" t="e">
        <f>VLOOKUP($B514,#REF!,17,FALSE)</f>
        <v>#REF!</v>
      </c>
      <c r="F514" s="10" t="e">
        <f>VLOOKUP($B514,#REF!,7,FALSE)</f>
        <v>#REF!</v>
      </c>
      <c r="G514" s="10"/>
      <c r="H514" s="10"/>
      <c r="I514" s="11" t="e">
        <f>VLOOKUP($B514,#REF!,19,FALSE)</f>
        <v>#REF!</v>
      </c>
      <c r="J514" s="11" t="e">
        <f>VLOOKUP($B514,#REF!,6,FALSE)</f>
        <v>#REF!</v>
      </c>
      <c r="L514" s="3">
        <v>44653.763888887246</v>
      </c>
      <c r="M514" s="15"/>
    </row>
    <row r="515" spans="2:13">
      <c r="B515" s="7"/>
      <c r="C515" s="8" t="e">
        <f>VLOOKUP($B515,#REF!,5,FALSE)</f>
        <v>#REF!</v>
      </c>
      <c r="D515" s="8" t="e">
        <f>VLOOKUP($B515,#REF!,6,FALSE)</f>
        <v>#REF!</v>
      </c>
      <c r="E515" s="9" t="e">
        <f>VLOOKUP($B515,#REF!,17,FALSE)</f>
        <v>#REF!</v>
      </c>
      <c r="F515" s="10" t="e">
        <f>VLOOKUP($B515,#REF!,7,FALSE)</f>
        <v>#REF!</v>
      </c>
      <c r="G515" s="10"/>
      <c r="H515" s="10"/>
      <c r="I515" s="11" t="e">
        <f>VLOOKUP($B515,#REF!,19,FALSE)</f>
        <v>#REF!</v>
      </c>
      <c r="J515" s="11" t="e">
        <f>VLOOKUP($B515,#REF!,6,FALSE)</f>
        <v>#REF!</v>
      </c>
      <c r="L515" s="3">
        <v>44653.767361109465</v>
      </c>
      <c r="M515" s="15"/>
    </row>
    <row r="516" spans="2:13">
      <c r="B516" s="7"/>
      <c r="C516" s="8" t="e">
        <f>VLOOKUP($B516,#REF!,5,FALSE)</f>
        <v>#REF!</v>
      </c>
      <c r="D516" s="8" t="e">
        <f>VLOOKUP($B516,#REF!,6,FALSE)</f>
        <v>#REF!</v>
      </c>
      <c r="E516" s="9" t="e">
        <f>VLOOKUP($B516,#REF!,17,FALSE)</f>
        <v>#REF!</v>
      </c>
      <c r="F516" s="10" t="e">
        <f>VLOOKUP($B516,#REF!,7,FALSE)</f>
        <v>#REF!</v>
      </c>
      <c r="G516" s="10"/>
      <c r="H516" s="10"/>
      <c r="I516" s="11" t="e">
        <f>VLOOKUP($B516,#REF!,19,FALSE)</f>
        <v>#REF!</v>
      </c>
      <c r="J516" s="11" t="e">
        <f>VLOOKUP($B516,#REF!,6,FALSE)</f>
        <v>#REF!</v>
      </c>
      <c r="L516" s="3">
        <v>44653.770833331684</v>
      </c>
      <c r="M516" s="15"/>
    </row>
    <row r="517" spans="2:13">
      <c r="B517" s="7"/>
      <c r="C517" s="8" t="e">
        <f>VLOOKUP($B517,#REF!,5,FALSE)</f>
        <v>#REF!</v>
      </c>
      <c r="D517" s="8" t="e">
        <f>VLOOKUP($B517,#REF!,6,FALSE)</f>
        <v>#REF!</v>
      </c>
      <c r="E517" s="9" t="e">
        <f>VLOOKUP($B517,#REF!,17,FALSE)</f>
        <v>#REF!</v>
      </c>
      <c r="F517" s="10" t="e">
        <f>VLOOKUP($B517,#REF!,7,FALSE)</f>
        <v>#REF!</v>
      </c>
      <c r="G517" s="10"/>
      <c r="H517" s="10"/>
      <c r="I517" s="11" t="e">
        <f>VLOOKUP($B517,#REF!,19,FALSE)</f>
        <v>#REF!</v>
      </c>
      <c r="J517" s="11" t="e">
        <f>VLOOKUP($B517,#REF!,6,FALSE)</f>
        <v>#REF!</v>
      </c>
      <c r="L517" s="3">
        <v>44653.774305553903</v>
      </c>
      <c r="M517" s="15"/>
    </row>
    <row r="518" spans="2:13">
      <c r="B518" s="7"/>
      <c r="C518" s="8" t="e">
        <f>VLOOKUP($B518,#REF!,5,FALSE)</f>
        <v>#REF!</v>
      </c>
      <c r="D518" s="8" t="e">
        <f>VLOOKUP($B518,#REF!,6,FALSE)</f>
        <v>#REF!</v>
      </c>
      <c r="E518" s="9" t="e">
        <f>VLOOKUP($B518,#REF!,17,FALSE)</f>
        <v>#REF!</v>
      </c>
      <c r="F518" s="10" t="e">
        <f>VLOOKUP($B518,#REF!,7,FALSE)</f>
        <v>#REF!</v>
      </c>
      <c r="G518" s="10"/>
      <c r="H518" s="10"/>
      <c r="I518" s="11" t="e">
        <f>VLOOKUP($B518,#REF!,19,FALSE)</f>
        <v>#REF!</v>
      </c>
      <c r="J518" s="11" t="e">
        <f>VLOOKUP($B518,#REF!,6,FALSE)</f>
        <v>#REF!</v>
      </c>
      <c r="L518" s="3">
        <v>44653.777777776122</v>
      </c>
      <c r="M518" s="15"/>
    </row>
    <row r="519" spans="2:13">
      <c r="B519" s="7"/>
      <c r="C519" s="8" t="e">
        <f>VLOOKUP($B519,#REF!,5,FALSE)</f>
        <v>#REF!</v>
      </c>
      <c r="D519" s="8" t="e">
        <f>VLOOKUP($B519,#REF!,6,FALSE)</f>
        <v>#REF!</v>
      </c>
      <c r="E519" s="9" t="e">
        <f>VLOOKUP($B519,#REF!,17,FALSE)</f>
        <v>#REF!</v>
      </c>
      <c r="F519" s="10" t="e">
        <f>VLOOKUP($B519,#REF!,7,FALSE)</f>
        <v>#REF!</v>
      </c>
      <c r="G519" s="10"/>
      <c r="H519" s="10"/>
      <c r="I519" s="11" t="e">
        <f>VLOOKUP($B519,#REF!,19,FALSE)</f>
        <v>#REF!</v>
      </c>
      <c r="J519" s="11" t="e">
        <f>VLOOKUP($B519,#REF!,6,FALSE)</f>
        <v>#REF!</v>
      </c>
      <c r="L519" s="3">
        <v>44653.781249998341</v>
      </c>
      <c r="M519" s="15"/>
    </row>
    <row r="520" spans="2:13">
      <c r="B520" s="7"/>
      <c r="C520" s="8" t="e">
        <f>VLOOKUP($B520,#REF!,5,FALSE)</f>
        <v>#REF!</v>
      </c>
      <c r="D520" s="8" t="e">
        <f>VLOOKUP($B520,#REF!,6,FALSE)</f>
        <v>#REF!</v>
      </c>
      <c r="E520" s="9" t="e">
        <f>VLOOKUP($B520,#REF!,17,FALSE)</f>
        <v>#REF!</v>
      </c>
      <c r="F520" s="10" t="e">
        <f>VLOOKUP($B520,#REF!,7,FALSE)</f>
        <v>#REF!</v>
      </c>
      <c r="G520" s="10"/>
      <c r="H520" s="10"/>
      <c r="I520" s="11" t="e">
        <f>VLOOKUP($B520,#REF!,19,FALSE)</f>
        <v>#REF!</v>
      </c>
      <c r="J520" s="11" t="e">
        <f>VLOOKUP($B520,#REF!,6,FALSE)</f>
        <v>#REF!</v>
      </c>
      <c r="L520" s="3">
        <v>44653.78472222056</v>
      </c>
      <c r="M520" s="15"/>
    </row>
    <row r="521" spans="2:13">
      <c r="B521" s="7"/>
      <c r="C521" s="8" t="e">
        <f>VLOOKUP($B521,#REF!,5,FALSE)</f>
        <v>#REF!</v>
      </c>
      <c r="D521" s="8" t="e">
        <f>VLOOKUP($B521,#REF!,6,FALSE)</f>
        <v>#REF!</v>
      </c>
      <c r="E521" s="9" t="e">
        <f>VLOOKUP($B521,#REF!,17,FALSE)</f>
        <v>#REF!</v>
      </c>
      <c r="F521" s="10" t="e">
        <f>VLOOKUP($B521,#REF!,7,FALSE)</f>
        <v>#REF!</v>
      </c>
      <c r="G521" s="10"/>
      <c r="H521" s="10"/>
      <c r="I521" s="11" t="e">
        <f>VLOOKUP($B521,#REF!,19,FALSE)</f>
        <v>#REF!</v>
      </c>
      <c r="J521" s="11" t="e">
        <f>VLOOKUP($B521,#REF!,6,FALSE)</f>
        <v>#REF!</v>
      </c>
      <c r="L521" s="3">
        <v>44653.788194442779</v>
      </c>
      <c r="M521" s="15"/>
    </row>
    <row r="522" spans="2:13">
      <c r="B522" s="7"/>
      <c r="C522" s="8" t="e">
        <f>VLOOKUP($B522,#REF!,5,FALSE)</f>
        <v>#REF!</v>
      </c>
      <c r="D522" s="8" t="e">
        <f>VLOOKUP($B522,#REF!,6,FALSE)</f>
        <v>#REF!</v>
      </c>
      <c r="E522" s="9" t="e">
        <f>VLOOKUP($B522,#REF!,17,FALSE)</f>
        <v>#REF!</v>
      </c>
      <c r="F522" s="10" t="e">
        <f>VLOOKUP($B522,#REF!,7,FALSE)</f>
        <v>#REF!</v>
      </c>
      <c r="G522" s="10"/>
      <c r="H522" s="10"/>
      <c r="I522" s="11" t="e">
        <f>VLOOKUP($B522,#REF!,19,FALSE)</f>
        <v>#REF!</v>
      </c>
      <c r="J522" s="11" t="e">
        <f>VLOOKUP($B522,#REF!,6,FALSE)</f>
        <v>#REF!</v>
      </c>
      <c r="L522" s="3">
        <v>44653.791666664998</v>
      </c>
      <c r="M522" s="15"/>
    </row>
    <row r="523" spans="2:13">
      <c r="B523" s="7"/>
      <c r="C523" s="8" t="e">
        <f>VLOOKUP($B523,#REF!,5,FALSE)</f>
        <v>#REF!</v>
      </c>
      <c r="D523" s="8" t="e">
        <f>VLOOKUP($B523,#REF!,6,FALSE)</f>
        <v>#REF!</v>
      </c>
      <c r="E523" s="9" t="e">
        <f>VLOOKUP($B523,#REF!,17,FALSE)</f>
        <v>#REF!</v>
      </c>
      <c r="F523" s="10" t="e">
        <f>VLOOKUP($B523,#REF!,7,FALSE)</f>
        <v>#REF!</v>
      </c>
      <c r="G523" s="10"/>
      <c r="H523" s="10"/>
      <c r="I523" s="11" t="e">
        <f>VLOOKUP($B523,#REF!,19,FALSE)</f>
        <v>#REF!</v>
      </c>
      <c r="J523" s="11" t="e">
        <f>VLOOKUP($B523,#REF!,6,FALSE)</f>
        <v>#REF!</v>
      </c>
      <c r="L523" s="3">
        <v>44653.795138887217</v>
      </c>
      <c r="M523" s="15"/>
    </row>
    <row r="524" spans="2:13">
      <c r="B524" s="7"/>
      <c r="C524" s="8" t="e">
        <f>VLOOKUP($B524,#REF!,5,FALSE)</f>
        <v>#REF!</v>
      </c>
      <c r="D524" s="8" t="e">
        <f>VLOOKUP($B524,#REF!,6,FALSE)</f>
        <v>#REF!</v>
      </c>
      <c r="E524" s="9" t="e">
        <f>VLOOKUP($B524,#REF!,17,FALSE)</f>
        <v>#REF!</v>
      </c>
      <c r="F524" s="10" t="e">
        <f>VLOOKUP($B524,#REF!,7,FALSE)</f>
        <v>#REF!</v>
      </c>
      <c r="G524" s="10"/>
      <c r="H524" s="10"/>
      <c r="I524" s="11" t="e">
        <f>VLOOKUP($B524,#REF!,19,FALSE)</f>
        <v>#REF!</v>
      </c>
      <c r="J524" s="11" t="e">
        <f>VLOOKUP($B524,#REF!,6,FALSE)</f>
        <v>#REF!</v>
      </c>
      <c r="L524" s="3">
        <v>44653.798611109436</v>
      </c>
      <c r="M524" s="15"/>
    </row>
    <row r="525" spans="2:13">
      <c r="B525" s="7"/>
      <c r="C525" s="8" t="e">
        <f>VLOOKUP($B525,#REF!,5,FALSE)</f>
        <v>#REF!</v>
      </c>
      <c r="D525" s="8" t="e">
        <f>VLOOKUP($B525,#REF!,6,FALSE)</f>
        <v>#REF!</v>
      </c>
      <c r="E525" s="9" t="e">
        <f>VLOOKUP($B525,#REF!,17,FALSE)</f>
        <v>#REF!</v>
      </c>
      <c r="F525" s="10" t="e">
        <f>VLOOKUP($B525,#REF!,7,FALSE)</f>
        <v>#REF!</v>
      </c>
      <c r="G525" s="10"/>
      <c r="H525" s="10"/>
      <c r="I525" s="11" t="e">
        <f>VLOOKUP($B525,#REF!,19,FALSE)</f>
        <v>#REF!</v>
      </c>
      <c r="J525" s="11" t="e">
        <f>VLOOKUP($B525,#REF!,6,FALSE)</f>
        <v>#REF!</v>
      </c>
      <c r="L525" s="3">
        <v>44653.802083331655</v>
      </c>
      <c r="M525" s="15"/>
    </row>
    <row r="526" spans="2:13">
      <c r="B526" s="7"/>
      <c r="C526" s="8" t="e">
        <f>VLOOKUP($B526,#REF!,5,FALSE)</f>
        <v>#REF!</v>
      </c>
      <c r="D526" s="8" t="e">
        <f>VLOOKUP($B526,#REF!,6,FALSE)</f>
        <v>#REF!</v>
      </c>
      <c r="E526" s="9" t="e">
        <f>VLOOKUP($B526,#REF!,17,FALSE)</f>
        <v>#REF!</v>
      </c>
      <c r="F526" s="10" t="e">
        <f>VLOOKUP($B526,#REF!,7,FALSE)</f>
        <v>#REF!</v>
      </c>
      <c r="G526" s="10"/>
      <c r="H526" s="10"/>
      <c r="I526" s="11" t="e">
        <f>VLOOKUP($B526,#REF!,19,FALSE)</f>
        <v>#REF!</v>
      </c>
      <c r="J526" s="11" t="e">
        <f>VLOOKUP($B526,#REF!,6,FALSE)</f>
        <v>#REF!</v>
      </c>
      <c r="L526" s="3">
        <v>44653.805555553874</v>
      </c>
      <c r="M526" s="15"/>
    </row>
    <row r="527" spans="2:13">
      <c r="B527" s="7"/>
      <c r="C527" s="8" t="e">
        <f>VLOOKUP($B527,#REF!,5,FALSE)</f>
        <v>#REF!</v>
      </c>
      <c r="D527" s="8" t="e">
        <f>VLOOKUP($B527,#REF!,6,FALSE)</f>
        <v>#REF!</v>
      </c>
      <c r="E527" s="9" t="e">
        <f>VLOOKUP($B527,#REF!,17,FALSE)</f>
        <v>#REF!</v>
      </c>
      <c r="F527" s="10" t="e">
        <f>VLOOKUP($B527,#REF!,7,FALSE)</f>
        <v>#REF!</v>
      </c>
      <c r="G527" s="10"/>
      <c r="H527" s="10"/>
      <c r="I527" s="11" t="e">
        <f>VLOOKUP($B527,#REF!,19,FALSE)</f>
        <v>#REF!</v>
      </c>
      <c r="J527" s="11" t="e">
        <f>VLOOKUP($B527,#REF!,6,FALSE)</f>
        <v>#REF!</v>
      </c>
      <c r="L527" s="3">
        <v>44653.809027776093</v>
      </c>
      <c r="M527" s="15"/>
    </row>
    <row r="528" spans="2:13">
      <c r="B528" s="7"/>
      <c r="C528" s="8" t="e">
        <f>VLOOKUP($B528,#REF!,5,FALSE)</f>
        <v>#REF!</v>
      </c>
      <c r="D528" s="8" t="e">
        <f>VLOOKUP($B528,#REF!,6,FALSE)</f>
        <v>#REF!</v>
      </c>
      <c r="E528" s="9" t="e">
        <f>VLOOKUP($B528,#REF!,17,FALSE)</f>
        <v>#REF!</v>
      </c>
      <c r="F528" s="10" t="e">
        <f>VLOOKUP($B528,#REF!,7,FALSE)</f>
        <v>#REF!</v>
      </c>
      <c r="G528" s="10"/>
      <c r="H528" s="10"/>
      <c r="I528" s="11" t="e">
        <f>VLOOKUP($B528,#REF!,19,FALSE)</f>
        <v>#REF!</v>
      </c>
      <c r="J528" s="11" t="e">
        <f>VLOOKUP($B528,#REF!,6,FALSE)</f>
        <v>#REF!</v>
      </c>
      <c r="L528" s="3">
        <v>44653.812499998312</v>
      </c>
      <c r="M528" s="15"/>
    </row>
    <row r="529" spans="2:13">
      <c r="B529" s="7"/>
      <c r="C529" s="8" t="e">
        <f>VLOOKUP($B529,#REF!,5,FALSE)</f>
        <v>#REF!</v>
      </c>
      <c r="D529" s="8" t="e">
        <f>VLOOKUP($B529,#REF!,6,FALSE)</f>
        <v>#REF!</v>
      </c>
      <c r="E529" s="9" t="e">
        <f>VLOOKUP($B529,#REF!,17,FALSE)</f>
        <v>#REF!</v>
      </c>
      <c r="F529" s="10" t="e">
        <f>VLOOKUP($B529,#REF!,7,FALSE)</f>
        <v>#REF!</v>
      </c>
      <c r="G529" s="10"/>
      <c r="H529" s="10"/>
      <c r="I529" s="11" t="e">
        <f>VLOOKUP($B529,#REF!,19,FALSE)</f>
        <v>#REF!</v>
      </c>
      <c r="J529" s="11" t="e">
        <f>VLOOKUP($B529,#REF!,6,FALSE)</f>
        <v>#REF!</v>
      </c>
      <c r="L529" s="3">
        <v>44653.815972220531</v>
      </c>
      <c r="M529" s="15"/>
    </row>
    <row r="530" spans="2:13">
      <c r="B530" s="7"/>
      <c r="C530" s="8" t="e">
        <f>VLOOKUP($B530,#REF!,5,FALSE)</f>
        <v>#REF!</v>
      </c>
      <c r="D530" s="8" t="e">
        <f>VLOOKUP($B530,#REF!,6,FALSE)</f>
        <v>#REF!</v>
      </c>
      <c r="E530" s="9" t="e">
        <f>VLOOKUP($B530,#REF!,17,FALSE)</f>
        <v>#REF!</v>
      </c>
      <c r="F530" s="10" t="e">
        <f>VLOOKUP($B530,#REF!,7,FALSE)</f>
        <v>#REF!</v>
      </c>
      <c r="G530" s="10"/>
      <c r="H530" s="10"/>
      <c r="I530" s="11" t="e">
        <f>VLOOKUP($B530,#REF!,19,FALSE)</f>
        <v>#REF!</v>
      </c>
      <c r="J530" s="11" t="e">
        <f>VLOOKUP($B530,#REF!,6,FALSE)</f>
        <v>#REF!</v>
      </c>
      <c r="L530" s="3">
        <v>44653.81944444275</v>
      </c>
      <c r="M530" s="15"/>
    </row>
    <row r="531" spans="2:13">
      <c r="B531" s="7"/>
      <c r="C531" s="8" t="e">
        <f>VLOOKUP($B531,#REF!,5,FALSE)</f>
        <v>#REF!</v>
      </c>
      <c r="D531" s="8" t="e">
        <f>VLOOKUP($B531,#REF!,6,FALSE)</f>
        <v>#REF!</v>
      </c>
      <c r="E531" s="9" t="e">
        <f>VLOOKUP($B531,#REF!,17,FALSE)</f>
        <v>#REF!</v>
      </c>
      <c r="F531" s="10" t="e">
        <f>VLOOKUP($B531,#REF!,7,FALSE)</f>
        <v>#REF!</v>
      </c>
      <c r="G531" s="10"/>
      <c r="H531" s="10"/>
      <c r="I531" s="11" t="e">
        <f>VLOOKUP($B531,#REF!,19,FALSE)</f>
        <v>#REF!</v>
      </c>
      <c r="J531" s="11" t="e">
        <f>VLOOKUP($B531,#REF!,6,FALSE)</f>
        <v>#REF!</v>
      </c>
      <c r="L531" s="3">
        <v>44653.822916664969</v>
      </c>
      <c r="M531" s="15"/>
    </row>
    <row r="532" spans="2:13">
      <c r="B532" s="7"/>
      <c r="C532" s="8" t="e">
        <f>VLOOKUP($B532,#REF!,5,FALSE)</f>
        <v>#REF!</v>
      </c>
      <c r="D532" s="8" t="e">
        <f>VLOOKUP($B532,#REF!,6,FALSE)</f>
        <v>#REF!</v>
      </c>
      <c r="E532" s="9" t="e">
        <f>VLOOKUP($B532,#REF!,17,FALSE)</f>
        <v>#REF!</v>
      </c>
      <c r="F532" s="10" t="e">
        <f>VLOOKUP($B532,#REF!,7,FALSE)</f>
        <v>#REF!</v>
      </c>
      <c r="G532" s="10"/>
      <c r="H532" s="10"/>
      <c r="I532" s="11" t="e">
        <f>VLOOKUP($B532,#REF!,19,FALSE)</f>
        <v>#REF!</v>
      </c>
      <c r="J532" s="11" t="e">
        <f>VLOOKUP($B532,#REF!,6,FALSE)</f>
        <v>#REF!</v>
      </c>
      <c r="L532" s="3">
        <v>44653.826388887188</v>
      </c>
      <c r="M532" s="15"/>
    </row>
    <row r="533" spans="2:13">
      <c r="B533" s="7"/>
      <c r="C533" s="8" t="e">
        <f>VLOOKUP($B533,#REF!,5,FALSE)</f>
        <v>#REF!</v>
      </c>
      <c r="D533" s="8" t="e">
        <f>VLOOKUP($B533,#REF!,6,FALSE)</f>
        <v>#REF!</v>
      </c>
      <c r="E533" s="9" t="e">
        <f>VLOOKUP($B533,#REF!,17,FALSE)</f>
        <v>#REF!</v>
      </c>
      <c r="F533" s="10" t="e">
        <f>VLOOKUP($B533,#REF!,7,FALSE)</f>
        <v>#REF!</v>
      </c>
      <c r="G533" s="10"/>
      <c r="H533" s="10"/>
      <c r="I533" s="11" t="e">
        <f>VLOOKUP($B533,#REF!,19,FALSE)</f>
        <v>#REF!</v>
      </c>
      <c r="J533" s="11" t="e">
        <f>VLOOKUP($B533,#REF!,6,FALSE)</f>
        <v>#REF!</v>
      </c>
      <c r="L533" s="3">
        <v>44653.829861109407</v>
      </c>
      <c r="M533" s="15"/>
    </row>
    <row r="534" spans="2:13">
      <c r="B534" s="7"/>
      <c r="C534" s="8" t="e">
        <f>VLOOKUP($B534,#REF!,5,FALSE)</f>
        <v>#REF!</v>
      </c>
      <c r="D534" s="8" t="e">
        <f>VLOOKUP($B534,#REF!,6,FALSE)</f>
        <v>#REF!</v>
      </c>
      <c r="E534" s="9" t="e">
        <f>VLOOKUP($B534,#REF!,17,FALSE)</f>
        <v>#REF!</v>
      </c>
      <c r="F534" s="10" t="e">
        <f>VLOOKUP($B534,#REF!,7,FALSE)</f>
        <v>#REF!</v>
      </c>
      <c r="G534" s="10"/>
      <c r="H534" s="10"/>
      <c r="I534" s="11" t="e">
        <f>VLOOKUP($B534,#REF!,19,FALSE)</f>
        <v>#REF!</v>
      </c>
      <c r="J534" s="11" t="e">
        <f>VLOOKUP($B534,#REF!,6,FALSE)</f>
        <v>#REF!</v>
      </c>
      <c r="L534" s="3">
        <v>44653.833333331626</v>
      </c>
      <c r="M534" s="15"/>
    </row>
    <row r="535" spans="2:13">
      <c r="B535" s="7"/>
      <c r="C535" s="8" t="e">
        <f>VLOOKUP($B535,#REF!,5,FALSE)</f>
        <v>#REF!</v>
      </c>
      <c r="D535" s="8" t="e">
        <f>VLOOKUP($B535,#REF!,6,FALSE)</f>
        <v>#REF!</v>
      </c>
      <c r="E535" s="9" t="e">
        <f>VLOOKUP($B535,#REF!,17,FALSE)</f>
        <v>#REF!</v>
      </c>
      <c r="F535" s="10" t="e">
        <f>VLOOKUP($B535,#REF!,7,FALSE)</f>
        <v>#REF!</v>
      </c>
      <c r="G535" s="10"/>
      <c r="H535" s="10"/>
      <c r="I535" s="11" t="e">
        <f>VLOOKUP($B535,#REF!,19,FALSE)</f>
        <v>#REF!</v>
      </c>
      <c r="J535" s="11" t="e">
        <f>VLOOKUP($B535,#REF!,6,FALSE)</f>
        <v>#REF!</v>
      </c>
      <c r="L535" s="3">
        <v>44653.836805553845</v>
      </c>
      <c r="M535" s="15"/>
    </row>
    <row r="536" spans="2:13">
      <c r="B536" s="7"/>
      <c r="C536" s="8" t="e">
        <f>VLOOKUP($B536,#REF!,5,FALSE)</f>
        <v>#REF!</v>
      </c>
      <c r="D536" s="8" t="e">
        <f>VLOOKUP($B536,#REF!,6,FALSE)</f>
        <v>#REF!</v>
      </c>
      <c r="E536" s="9" t="e">
        <f>VLOOKUP($B536,#REF!,17,FALSE)</f>
        <v>#REF!</v>
      </c>
      <c r="F536" s="10" t="e">
        <f>VLOOKUP($B536,#REF!,7,FALSE)</f>
        <v>#REF!</v>
      </c>
      <c r="G536" s="10"/>
      <c r="H536" s="10"/>
      <c r="I536" s="11" t="e">
        <f>VLOOKUP($B536,#REF!,19,FALSE)</f>
        <v>#REF!</v>
      </c>
      <c r="J536" s="11" t="e">
        <f>VLOOKUP($B536,#REF!,6,FALSE)</f>
        <v>#REF!</v>
      </c>
      <c r="L536" s="3">
        <v>44653.840277776064</v>
      </c>
      <c r="M536" s="15"/>
    </row>
    <row r="537" spans="2:13">
      <c r="B537" s="7"/>
      <c r="C537" s="8" t="e">
        <f>VLOOKUP($B537,#REF!,5,FALSE)</f>
        <v>#REF!</v>
      </c>
      <c r="D537" s="8" t="e">
        <f>VLOOKUP($B537,#REF!,6,FALSE)</f>
        <v>#REF!</v>
      </c>
      <c r="E537" s="9" t="e">
        <f>VLOOKUP($B537,#REF!,17,FALSE)</f>
        <v>#REF!</v>
      </c>
      <c r="F537" s="10" t="e">
        <f>VLOOKUP($B537,#REF!,7,FALSE)</f>
        <v>#REF!</v>
      </c>
      <c r="G537" s="10"/>
      <c r="H537" s="10"/>
      <c r="I537" s="11" t="e">
        <f>VLOOKUP($B537,#REF!,19,FALSE)</f>
        <v>#REF!</v>
      </c>
      <c r="J537" s="11" t="e">
        <f>VLOOKUP($B537,#REF!,6,FALSE)</f>
        <v>#REF!</v>
      </c>
      <c r="L537" s="3">
        <v>44653.843749998283</v>
      </c>
      <c r="M537" s="15"/>
    </row>
    <row r="538" spans="2:13">
      <c r="B538" s="7"/>
      <c r="C538" s="8" t="e">
        <f>VLOOKUP($B538,#REF!,5,FALSE)</f>
        <v>#REF!</v>
      </c>
      <c r="D538" s="8" t="e">
        <f>VLOOKUP($B538,#REF!,6,FALSE)</f>
        <v>#REF!</v>
      </c>
      <c r="E538" s="9" t="e">
        <f>VLOOKUP($B538,#REF!,17,FALSE)</f>
        <v>#REF!</v>
      </c>
      <c r="F538" s="10" t="e">
        <f>VLOOKUP($B538,#REF!,7,FALSE)</f>
        <v>#REF!</v>
      </c>
      <c r="G538" s="10"/>
      <c r="H538" s="10"/>
      <c r="I538" s="11" t="e">
        <f>VLOOKUP($B538,#REF!,19,FALSE)</f>
        <v>#REF!</v>
      </c>
      <c r="J538" s="11" t="e">
        <f>VLOOKUP($B538,#REF!,6,FALSE)</f>
        <v>#REF!</v>
      </c>
      <c r="L538" s="3">
        <v>44653.847222220502</v>
      </c>
      <c r="M538" s="15"/>
    </row>
    <row r="539" spans="2:13">
      <c r="B539" s="7"/>
      <c r="C539" s="8" t="e">
        <f>VLOOKUP($B539,#REF!,5,FALSE)</f>
        <v>#REF!</v>
      </c>
      <c r="D539" s="8" t="e">
        <f>VLOOKUP($B539,#REF!,6,FALSE)</f>
        <v>#REF!</v>
      </c>
      <c r="E539" s="9" t="e">
        <f>VLOOKUP($B539,#REF!,17,FALSE)</f>
        <v>#REF!</v>
      </c>
      <c r="F539" s="10" t="e">
        <f>VLOOKUP($B539,#REF!,7,FALSE)</f>
        <v>#REF!</v>
      </c>
      <c r="G539" s="10"/>
      <c r="H539" s="10"/>
      <c r="I539" s="11" t="e">
        <f>VLOOKUP($B539,#REF!,19,FALSE)</f>
        <v>#REF!</v>
      </c>
      <c r="J539" s="11" t="e">
        <f>VLOOKUP($B539,#REF!,6,FALSE)</f>
        <v>#REF!</v>
      </c>
      <c r="L539" s="3">
        <v>44653.850694442721</v>
      </c>
      <c r="M539" s="15"/>
    </row>
    <row r="540" spans="2:13">
      <c r="B540" s="7"/>
      <c r="C540" s="8" t="e">
        <f>VLOOKUP($B540,#REF!,5,FALSE)</f>
        <v>#REF!</v>
      </c>
      <c r="D540" s="8" t="e">
        <f>VLOOKUP($B540,#REF!,6,FALSE)</f>
        <v>#REF!</v>
      </c>
      <c r="E540" s="9" t="e">
        <f>VLOOKUP($B540,#REF!,17,FALSE)</f>
        <v>#REF!</v>
      </c>
      <c r="F540" s="10" t="e">
        <f>VLOOKUP($B540,#REF!,7,FALSE)</f>
        <v>#REF!</v>
      </c>
      <c r="G540" s="10"/>
      <c r="H540" s="10"/>
      <c r="I540" s="11" t="e">
        <f>VLOOKUP($B540,#REF!,19,FALSE)</f>
        <v>#REF!</v>
      </c>
      <c r="J540" s="11" t="e">
        <f>VLOOKUP($B540,#REF!,6,FALSE)</f>
        <v>#REF!</v>
      </c>
      <c r="L540" s="3">
        <v>44653.85416666494</v>
      </c>
      <c r="M540" s="15"/>
    </row>
    <row r="541" spans="2:13">
      <c r="B541" s="7"/>
      <c r="C541" s="8" t="e">
        <f>VLOOKUP($B541,#REF!,5,FALSE)</f>
        <v>#REF!</v>
      </c>
      <c r="D541" s="8" t="e">
        <f>VLOOKUP($B541,#REF!,6,FALSE)</f>
        <v>#REF!</v>
      </c>
      <c r="E541" s="9" t="e">
        <f>VLOOKUP($B541,#REF!,17,FALSE)</f>
        <v>#REF!</v>
      </c>
      <c r="F541" s="10" t="e">
        <f>VLOOKUP($B541,#REF!,7,FALSE)</f>
        <v>#REF!</v>
      </c>
      <c r="G541" s="10"/>
      <c r="H541" s="10"/>
      <c r="I541" s="11" t="e">
        <f>VLOOKUP($B541,#REF!,19,FALSE)</f>
        <v>#REF!</v>
      </c>
      <c r="J541" s="11" t="e">
        <f>VLOOKUP($B541,#REF!,6,FALSE)</f>
        <v>#REF!</v>
      </c>
      <c r="L541" s="3">
        <v>44653.857638887159</v>
      </c>
      <c r="M541" s="15"/>
    </row>
    <row r="542" spans="2:13">
      <c r="B542" s="7"/>
      <c r="C542" s="8" t="e">
        <f>VLOOKUP($B542,#REF!,5,FALSE)</f>
        <v>#REF!</v>
      </c>
      <c r="D542" s="8" t="e">
        <f>VLOOKUP($B542,#REF!,6,FALSE)</f>
        <v>#REF!</v>
      </c>
      <c r="E542" s="9" t="e">
        <f>VLOOKUP($B542,#REF!,17,FALSE)</f>
        <v>#REF!</v>
      </c>
      <c r="F542" s="10" t="e">
        <f>VLOOKUP($B542,#REF!,7,FALSE)</f>
        <v>#REF!</v>
      </c>
      <c r="G542" s="10"/>
      <c r="H542" s="10"/>
      <c r="I542" s="11" t="e">
        <f>VLOOKUP($B542,#REF!,19,FALSE)</f>
        <v>#REF!</v>
      </c>
      <c r="J542" s="11" t="e">
        <f>VLOOKUP($B542,#REF!,6,FALSE)</f>
        <v>#REF!</v>
      </c>
      <c r="L542" s="3">
        <v>44653.861111109378</v>
      </c>
      <c r="M542" s="15"/>
    </row>
    <row r="543" spans="2:13">
      <c r="B543" s="7"/>
      <c r="C543" s="8" t="e">
        <f>VLOOKUP($B543,#REF!,5,FALSE)</f>
        <v>#REF!</v>
      </c>
      <c r="D543" s="8" t="e">
        <f>VLOOKUP($B543,#REF!,6,FALSE)</f>
        <v>#REF!</v>
      </c>
      <c r="E543" s="9" t="e">
        <f>VLOOKUP($B543,#REF!,17,FALSE)</f>
        <v>#REF!</v>
      </c>
      <c r="F543" s="10" t="e">
        <f>VLOOKUP($B543,#REF!,7,FALSE)</f>
        <v>#REF!</v>
      </c>
      <c r="G543" s="10"/>
      <c r="H543" s="10"/>
      <c r="I543" s="11" t="e">
        <f>VLOOKUP($B543,#REF!,19,FALSE)</f>
        <v>#REF!</v>
      </c>
      <c r="J543" s="11" t="e">
        <f>VLOOKUP($B543,#REF!,6,FALSE)</f>
        <v>#REF!</v>
      </c>
      <c r="L543" s="3">
        <v>44653.864583331597</v>
      </c>
      <c r="M543" s="15"/>
    </row>
    <row r="544" spans="2:13">
      <c r="B544" s="7"/>
      <c r="C544" s="8" t="e">
        <f>VLOOKUP($B544,#REF!,5,FALSE)</f>
        <v>#REF!</v>
      </c>
      <c r="D544" s="8" t="e">
        <f>VLOOKUP($B544,#REF!,6,FALSE)</f>
        <v>#REF!</v>
      </c>
      <c r="E544" s="9" t="e">
        <f>VLOOKUP($B544,#REF!,17,FALSE)</f>
        <v>#REF!</v>
      </c>
      <c r="F544" s="10" t="e">
        <f>VLOOKUP($B544,#REF!,7,FALSE)</f>
        <v>#REF!</v>
      </c>
      <c r="G544" s="10"/>
      <c r="H544" s="10"/>
      <c r="I544" s="11" t="e">
        <f>VLOOKUP($B544,#REF!,19,FALSE)</f>
        <v>#REF!</v>
      </c>
      <c r="J544" s="11" t="e">
        <f>VLOOKUP($B544,#REF!,6,FALSE)</f>
        <v>#REF!</v>
      </c>
      <c r="L544" s="3">
        <v>44653.868055553816</v>
      </c>
      <c r="M544" s="15"/>
    </row>
    <row r="545" spans="2:13">
      <c r="B545" s="7"/>
      <c r="C545" s="8" t="e">
        <f>VLOOKUP($B545,#REF!,5,FALSE)</f>
        <v>#REF!</v>
      </c>
      <c r="D545" s="8" t="e">
        <f>VLOOKUP($B545,#REF!,6,FALSE)</f>
        <v>#REF!</v>
      </c>
      <c r="E545" s="9" t="e">
        <f>VLOOKUP($B545,#REF!,17,FALSE)</f>
        <v>#REF!</v>
      </c>
      <c r="F545" s="10" t="e">
        <f>VLOOKUP($B545,#REF!,7,FALSE)</f>
        <v>#REF!</v>
      </c>
      <c r="G545" s="10"/>
      <c r="H545" s="10"/>
      <c r="I545" s="11" t="e">
        <f>VLOOKUP($B545,#REF!,19,FALSE)</f>
        <v>#REF!</v>
      </c>
      <c r="J545" s="11" t="e">
        <f>VLOOKUP($B545,#REF!,6,FALSE)</f>
        <v>#REF!</v>
      </c>
      <c r="L545" s="3">
        <v>44653.871527776035</v>
      </c>
      <c r="M545" s="15"/>
    </row>
    <row r="546" spans="2:13">
      <c r="B546" s="7"/>
      <c r="C546" s="8" t="e">
        <f>VLOOKUP($B546,#REF!,5,FALSE)</f>
        <v>#REF!</v>
      </c>
      <c r="D546" s="8" t="e">
        <f>VLOOKUP($B546,#REF!,6,FALSE)</f>
        <v>#REF!</v>
      </c>
      <c r="E546" s="9" t="e">
        <f>VLOOKUP($B546,#REF!,17,FALSE)</f>
        <v>#REF!</v>
      </c>
      <c r="F546" s="10" t="e">
        <f>VLOOKUP($B546,#REF!,7,FALSE)</f>
        <v>#REF!</v>
      </c>
      <c r="G546" s="10"/>
      <c r="H546" s="10"/>
      <c r="I546" s="11" t="e">
        <f>VLOOKUP($B546,#REF!,19,FALSE)</f>
        <v>#REF!</v>
      </c>
      <c r="J546" s="11" t="e">
        <f>VLOOKUP($B546,#REF!,6,FALSE)</f>
        <v>#REF!</v>
      </c>
      <c r="L546" s="3">
        <v>44653.874999998254</v>
      </c>
      <c r="M546" s="15"/>
    </row>
    <row r="547" spans="2:13">
      <c r="B547" s="7"/>
      <c r="C547" s="8" t="e">
        <f>VLOOKUP($B547,#REF!,5,FALSE)</f>
        <v>#REF!</v>
      </c>
      <c r="D547" s="8" t="e">
        <f>VLOOKUP($B547,#REF!,6,FALSE)</f>
        <v>#REF!</v>
      </c>
      <c r="E547" s="9" t="e">
        <f>VLOOKUP($B547,#REF!,17,FALSE)</f>
        <v>#REF!</v>
      </c>
      <c r="F547" s="10" t="e">
        <f>VLOOKUP($B547,#REF!,7,FALSE)</f>
        <v>#REF!</v>
      </c>
      <c r="G547" s="10"/>
      <c r="H547" s="10"/>
      <c r="I547" s="11" t="e">
        <f>VLOOKUP($B547,#REF!,19,FALSE)</f>
        <v>#REF!</v>
      </c>
      <c r="J547" s="11" t="e">
        <f>VLOOKUP($B547,#REF!,6,FALSE)</f>
        <v>#REF!</v>
      </c>
      <c r="L547" s="3">
        <v>44653.878472220473</v>
      </c>
      <c r="M547" s="15"/>
    </row>
    <row r="548" spans="2:13">
      <c r="B548" s="7"/>
      <c r="C548" s="8" t="e">
        <f>VLOOKUP($B548,#REF!,5,FALSE)</f>
        <v>#REF!</v>
      </c>
      <c r="D548" s="8" t="e">
        <f>VLOOKUP($B548,#REF!,6,FALSE)</f>
        <v>#REF!</v>
      </c>
      <c r="E548" s="9" t="e">
        <f>VLOOKUP($B548,#REF!,17,FALSE)</f>
        <v>#REF!</v>
      </c>
      <c r="F548" s="10" t="e">
        <f>VLOOKUP($B548,#REF!,7,FALSE)</f>
        <v>#REF!</v>
      </c>
      <c r="G548" s="10"/>
      <c r="H548" s="10"/>
      <c r="I548" s="11" t="e">
        <f>VLOOKUP($B548,#REF!,19,FALSE)</f>
        <v>#REF!</v>
      </c>
      <c r="J548" s="11" t="e">
        <f>VLOOKUP($B548,#REF!,6,FALSE)</f>
        <v>#REF!</v>
      </c>
      <c r="L548" s="3">
        <v>44653.881944442692</v>
      </c>
      <c r="M548" s="15"/>
    </row>
    <row r="549" spans="2:13">
      <c r="B549" s="7"/>
      <c r="C549" s="8" t="e">
        <f>VLOOKUP($B549,#REF!,5,FALSE)</f>
        <v>#REF!</v>
      </c>
      <c r="D549" s="8" t="e">
        <f>VLOOKUP($B549,#REF!,6,FALSE)</f>
        <v>#REF!</v>
      </c>
      <c r="E549" s="9" t="e">
        <f>VLOOKUP($B549,#REF!,17,FALSE)</f>
        <v>#REF!</v>
      </c>
      <c r="F549" s="10" t="e">
        <f>VLOOKUP($B549,#REF!,7,FALSE)</f>
        <v>#REF!</v>
      </c>
      <c r="G549" s="10"/>
      <c r="H549" s="10"/>
      <c r="I549" s="11" t="e">
        <f>VLOOKUP($B549,#REF!,19,FALSE)</f>
        <v>#REF!</v>
      </c>
      <c r="J549" s="11" t="e">
        <f>VLOOKUP($B549,#REF!,6,FALSE)</f>
        <v>#REF!</v>
      </c>
      <c r="L549" s="3">
        <v>44653.885416664911</v>
      </c>
      <c r="M549" s="15"/>
    </row>
    <row r="550" spans="2:13">
      <c r="B550" s="7"/>
      <c r="C550" s="8" t="e">
        <f>VLOOKUP($B550,#REF!,5,FALSE)</f>
        <v>#REF!</v>
      </c>
      <c r="D550" s="8" t="e">
        <f>VLOOKUP($B550,#REF!,6,FALSE)</f>
        <v>#REF!</v>
      </c>
      <c r="E550" s="9" t="e">
        <f>VLOOKUP($B550,#REF!,17,FALSE)</f>
        <v>#REF!</v>
      </c>
      <c r="F550" s="10" t="e">
        <f>VLOOKUP($B550,#REF!,7,FALSE)</f>
        <v>#REF!</v>
      </c>
      <c r="G550" s="10"/>
      <c r="H550" s="10"/>
      <c r="I550" s="11" t="e">
        <f>VLOOKUP($B550,#REF!,19,FALSE)</f>
        <v>#REF!</v>
      </c>
      <c r="J550" s="11" t="e">
        <f>VLOOKUP($B550,#REF!,6,FALSE)</f>
        <v>#REF!</v>
      </c>
      <c r="L550" s="3">
        <v>44653.88888888713</v>
      </c>
      <c r="M550" s="15"/>
    </row>
    <row r="551" spans="2:13">
      <c r="B551" s="7"/>
      <c r="C551" s="8" t="e">
        <f>VLOOKUP($B551,#REF!,5,FALSE)</f>
        <v>#REF!</v>
      </c>
      <c r="D551" s="8" t="e">
        <f>VLOOKUP($B551,#REF!,6,FALSE)</f>
        <v>#REF!</v>
      </c>
      <c r="E551" s="9" t="e">
        <f>VLOOKUP($B551,#REF!,17,FALSE)</f>
        <v>#REF!</v>
      </c>
      <c r="F551" s="10" t="e">
        <f>VLOOKUP($B551,#REF!,7,FALSE)</f>
        <v>#REF!</v>
      </c>
      <c r="G551" s="10"/>
      <c r="H551" s="10"/>
      <c r="I551" s="11" t="e">
        <f>VLOOKUP($B551,#REF!,19,FALSE)</f>
        <v>#REF!</v>
      </c>
      <c r="J551" s="11" t="e">
        <f>VLOOKUP($B551,#REF!,6,FALSE)</f>
        <v>#REF!</v>
      </c>
      <c r="L551" s="3">
        <v>44653.892361109349</v>
      </c>
      <c r="M551" s="15"/>
    </row>
    <row r="552" spans="2:13">
      <c r="B552" s="7"/>
      <c r="C552" s="8" t="e">
        <f>VLOOKUP($B552,#REF!,5,FALSE)</f>
        <v>#REF!</v>
      </c>
      <c r="D552" s="8" t="e">
        <f>VLOOKUP($B552,#REF!,6,FALSE)</f>
        <v>#REF!</v>
      </c>
      <c r="E552" s="9" t="e">
        <f>VLOOKUP($B552,#REF!,17,FALSE)</f>
        <v>#REF!</v>
      </c>
      <c r="F552" s="10" t="e">
        <f>VLOOKUP($B552,#REF!,7,FALSE)</f>
        <v>#REF!</v>
      </c>
      <c r="G552" s="10"/>
      <c r="H552" s="10"/>
      <c r="I552" s="11" t="e">
        <f>VLOOKUP($B552,#REF!,19,FALSE)</f>
        <v>#REF!</v>
      </c>
      <c r="J552" s="11" t="e">
        <f>VLOOKUP($B552,#REF!,6,FALSE)</f>
        <v>#REF!</v>
      </c>
      <c r="L552" s="3">
        <v>44653.895833331568</v>
      </c>
      <c r="M552" s="15"/>
    </row>
    <row r="553" spans="2:13">
      <c r="B553" s="7"/>
      <c r="C553" s="8" t="e">
        <f>VLOOKUP($B553,#REF!,5,FALSE)</f>
        <v>#REF!</v>
      </c>
      <c r="D553" s="8" t="e">
        <f>VLOOKUP($B553,#REF!,6,FALSE)</f>
        <v>#REF!</v>
      </c>
      <c r="E553" s="9" t="e">
        <f>VLOOKUP($B553,#REF!,17,FALSE)</f>
        <v>#REF!</v>
      </c>
      <c r="F553" s="10" t="e">
        <f>VLOOKUP($B553,#REF!,7,FALSE)</f>
        <v>#REF!</v>
      </c>
      <c r="G553" s="10"/>
      <c r="H553" s="10"/>
      <c r="I553" s="11" t="e">
        <f>VLOOKUP($B553,#REF!,19,FALSE)</f>
        <v>#REF!</v>
      </c>
      <c r="J553" s="11" t="e">
        <f>VLOOKUP($B553,#REF!,6,FALSE)</f>
        <v>#REF!</v>
      </c>
      <c r="L553" s="3">
        <v>44653.899305553787</v>
      </c>
      <c r="M553" s="15"/>
    </row>
    <row r="554" spans="2:13">
      <c r="B554" s="7"/>
      <c r="C554" s="8" t="e">
        <f>VLOOKUP($B554,#REF!,5,FALSE)</f>
        <v>#REF!</v>
      </c>
      <c r="D554" s="8" t="e">
        <f>VLOOKUP($B554,#REF!,6,FALSE)</f>
        <v>#REF!</v>
      </c>
      <c r="E554" s="9" t="e">
        <f>VLOOKUP($B554,#REF!,17,FALSE)</f>
        <v>#REF!</v>
      </c>
      <c r="F554" s="10" t="e">
        <f>VLOOKUP($B554,#REF!,7,FALSE)</f>
        <v>#REF!</v>
      </c>
      <c r="G554" s="10"/>
      <c r="H554" s="10"/>
      <c r="I554" s="11" t="e">
        <f>VLOOKUP($B554,#REF!,19,FALSE)</f>
        <v>#REF!</v>
      </c>
      <c r="J554" s="11" t="e">
        <f>VLOOKUP($B554,#REF!,6,FALSE)</f>
        <v>#REF!</v>
      </c>
      <c r="L554" s="3">
        <v>44653.902777776006</v>
      </c>
      <c r="M554" s="15"/>
    </row>
    <row r="555" spans="2:13">
      <c r="B555" s="7"/>
      <c r="C555" s="8" t="e">
        <f>VLOOKUP($B555,#REF!,5,FALSE)</f>
        <v>#REF!</v>
      </c>
      <c r="D555" s="8" t="e">
        <f>VLOOKUP($B555,#REF!,6,FALSE)</f>
        <v>#REF!</v>
      </c>
      <c r="E555" s="9" t="e">
        <f>VLOOKUP($B555,#REF!,17,FALSE)</f>
        <v>#REF!</v>
      </c>
      <c r="F555" s="10" t="e">
        <f>VLOOKUP($B555,#REF!,7,FALSE)</f>
        <v>#REF!</v>
      </c>
      <c r="G555" s="10"/>
      <c r="H555" s="10"/>
      <c r="I555" s="11" t="e">
        <f>VLOOKUP($B555,#REF!,19,FALSE)</f>
        <v>#REF!</v>
      </c>
      <c r="J555" s="11" t="e">
        <f>VLOOKUP($B555,#REF!,6,FALSE)</f>
        <v>#REF!</v>
      </c>
      <c r="L555" s="3">
        <v>44653.906249998225</v>
      </c>
      <c r="M555" s="15"/>
    </row>
    <row r="556" spans="2:13">
      <c r="B556" s="7"/>
      <c r="C556" s="8" t="e">
        <f>VLOOKUP($B556,#REF!,5,FALSE)</f>
        <v>#REF!</v>
      </c>
      <c r="D556" s="8" t="e">
        <f>VLOOKUP($B556,#REF!,6,FALSE)</f>
        <v>#REF!</v>
      </c>
      <c r="E556" s="9" t="e">
        <f>VLOOKUP($B556,#REF!,17,FALSE)</f>
        <v>#REF!</v>
      </c>
      <c r="F556" s="10" t="e">
        <f>VLOOKUP($B556,#REF!,7,FALSE)</f>
        <v>#REF!</v>
      </c>
      <c r="G556" s="10"/>
      <c r="H556" s="10"/>
      <c r="I556" s="11" t="e">
        <f>VLOOKUP($B556,#REF!,19,FALSE)</f>
        <v>#REF!</v>
      </c>
      <c r="J556" s="11" t="e">
        <f>VLOOKUP($B556,#REF!,6,FALSE)</f>
        <v>#REF!</v>
      </c>
      <c r="L556" s="3">
        <v>44653.909722220444</v>
      </c>
      <c r="M556" s="15"/>
    </row>
    <row r="557" spans="2:13">
      <c r="B557" s="7"/>
      <c r="C557" s="8" t="e">
        <f>VLOOKUP($B557,#REF!,5,FALSE)</f>
        <v>#REF!</v>
      </c>
      <c r="D557" s="8" t="e">
        <f>VLOOKUP($B557,#REF!,6,FALSE)</f>
        <v>#REF!</v>
      </c>
      <c r="E557" s="9" t="e">
        <f>VLOOKUP($B557,#REF!,17,FALSE)</f>
        <v>#REF!</v>
      </c>
      <c r="F557" s="10" t="e">
        <f>VLOOKUP($B557,#REF!,7,FALSE)</f>
        <v>#REF!</v>
      </c>
      <c r="G557" s="10"/>
      <c r="H557" s="10"/>
      <c r="I557" s="11" t="e">
        <f>VLOOKUP($B557,#REF!,19,FALSE)</f>
        <v>#REF!</v>
      </c>
      <c r="J557" s="11" t="e">
        <f>VLOOKUP($B557,#REF!,6,FALSE)</f>
        <v>#REF!</v>
      </c>
      <c r="L557" s="3">
        <v>44653.913194442663</v>
      </c>
      <c r="M557" s="15"/>
    </row>
    <row r="558" spans="2:13">
      <c r="B558" s="7"/>
      <c r="C558" s="8" t="e">
        <f>VLOOKUP($B558,#REF!,5,FALSE)</f>
        <v>#REF!</v>
      </c>
      <c r="D558" s="8" t="e">
        <f>VLOOKUP($B558,#REF!,6,FALSE)</f>
        <v>#REF!</v>
      </c>
      <c r="E558" s="9" t="e">
        <f>VLOOKUP($B558,#REF!,17,FALSE)</f>
        <v>#REF!</v>
      </c>
      <c r="F558" s="10" t="e">
        <f>VLOOKUP($B558,#REF!,7,FALSE)</f>
        <v>#REF!</v>
      </c>
      <c r="G558" s="10"/>
      <c r="H558" s="10"/>
      <c r="I558" s="11" t="e">
        <f>VLOOKUP($B558,#REF!,19,FALSE)</f>
        <v>#REF!</v>
      </c>
      <c r="J558" s="11" t="e">
        <f>VLOOKUP($B558,#REF!,6,FALSE)</f>
        <v>#REF!</v>
      </c>
      <c r="L558" s="3">
        <v>44653.916666664882</v>
      </c>
      <c r="M558" s="15"/>
    </row>
    <row r="559" spans="2:13">
      <c r="B559" s="7"/>
      <c r="C559" s="8" t="e">
        <f>VLOOKUP($B559,#REF!,5,FALSE)</f>
        <v>#REF!</v>
      </c>
      <c r="D559" s="8" t="e">
        <f>VLOOKUP($B559,#REF!,6,FALSE)</f>
        <v>#REF!</v>
      </c>
      <c r="E559" s="9" t="e">
        <f>VLOOKUP($B559,#REF!,17,FALSE)</f>
        <v>#REF!</v>
      </c>
      <c r="F559" s="10" t="e">
        <f>VLOOKUP($B559,#REF!,7,FALSE)</f>
        <v>#REF!</v>
      </c>
      <c r="G559" s="10"/>
      <c r="H559" s="10"/>
      <c r="I559" s="11" t="e">
        <f>VLOOKUP($B559,#REF!,19,FALSE)</f>
        <v>#REF!</v>
      </c>
      <c r="J559" s="11" t="e">
        <f>VLOOKUP($B559,#REF!,6,FALSE)</f>
        <v>#REF!</v>
      </c>
      <c r="L559" s="3">
        <v>44653.920138887101</v>
      </c>
      <c r="M559" s="15"/>
    </row>
    <row r="560" spans="2:13">
      <c r="B560" s="7"/>
      <c r="C560" s="8" t="e">
        <f>VLOOKUP($B560,#REF!,5,FALSE)</f>
        <v>#REF!</v>
      </c>
      <c r="D560" s="8" t="e">
        <f>VLOOKUP($B560,#REF!,6,FALSE)</f>
        <v>#REF!</v>
      </c>
      <c r="E560" s="9" t="e">
        <f>VLOOKUP($B560,#REF!,17,FALSE)</f>
        <v>#REF!</v>
      </c>
      <c r="F560" s="10" t="e">
        <f>VLOOKUP($B560,#REF!,7,FALSE)</f>
        <v>#REF!</v>
      </c>
      <c r="G560" s="10"/>
      <c r="H560" s="10"/>
      <c r="I560" s="11" t="e">
        <f>VLOOKUP($B560,#REF!,19,FALSE)</f>
        <v>#REF!</v>
      </c>
      <c r="J560" s="11" t="e">
        <f>VLOOKUP($B560,#REF!,6,FALSE)</f>
        <v>#REF!</v>
      </c>
      <c r="L560" s="3">
        <v>44653.92361110932</v>
      </c>
      <c r="M560" s="15"/>
    </row>
    <row r="561" spans="2:13">
      <c r="B561" s="7"/>
      <c r="C561" s="8" t="e">
        <f>VLOOKUP($B561,#REF!,5,FALSE)</f>
        <v>#REF!</v>
      </c>
      <c r="D561" s="8" t="e">
        <f>VLOOKUP($B561,#REF!,6,FALSE)</f>
        <v>#REF!</v>
      </c>
      <c r="E561" s="9" t="e">
        <f>VLOOKUP($B561,#REF!,17,FALSE)</f>
        <v>#REF!</v>
      </c>
      <c r="F561" s="10" t="e">
        <f>VLOOKUP($B561,#REF!,7,FALSE)</f>
        <v>#REF!</v>
      </c>
      <c r="G561" s="10"/>
      <c r="H561" s="10"/>
      <c r="I561" s="11" t="e">
        <f>VLOOKUP($B561,#REF!,19,FALSE)</f>
        <v>#REF!</v>
      </c>
      <c r="J561" s="11" t="e">
        <f>VLOOKUP($B561,#REF!,6,FALSE)</f>
        <v>#REF!</v>
      </c>
      <c r="L561" s="3">
        <v>44653.927083331539</v>
      </c>
      <c r="M561" s="15"/>
    </row>
    <row r="562" spans="2:13">
      <c r="B562" s="7"/>
      <c r="C562" s="8" t="e">
        <f>VLOOKUP($B562,#REF!,5,FALSE)</f>
        <v>#REF!</v>
      </c>
      <c r="D562" s="8" t="e">
        <f>VLOOKUP($B562,#REF!,6,FALSE)</f>
        <v>#REF!</v>
      </c>
      <c r="E562" s="9" t="e">
        <f>VLOOKUP($B562,#REF!,17,FALSE)</f>
        <v>#REF!</v>
      </c>
      <c r="F562" s="10" t="e">
        <f>VLOOKUP($B562,#REF!,7,FALSE)</f>
        <v>#REF!</v>
      </c>
      <c r="G562" s="10"/>
      <c r="H562" s="10"/>
      <c r="I562" s="11" t="e">
        <f>VLOOKUP($B562,#REF!,19,FALSE)</f>
        <v>#REF!</v>
      </c>
      <c r="J562" s="11" t="e">
        <f>VLOOKUP($B562,#REF!,6,FALSE)</f>
        <v>#REF!</v>
      </c>
      <c r="L562" s="3">
        <v>44653.930555553758</v>
      </c>
      <c r="M562" s="15"/>
    </row>
    <row r="563" spans="2:13">
      <c r="B563" s="7"/>
      <c r="C563" s="8" t="e">
        <f>VLOOKUP($B563,#REF!,5,FALSE)</f>
        <v>#REF!</v>
      </c>
      <c r="D563" s="8" t="e">
        <f>VLOOKUP($B563,#REF!,6,FALSE)</f>
        <v>#REF!</v>
      </c>
      <c r="E563" s="9" t="e">
        <f>VLOOKUP($B563,#REF!,17,FALSE)</f>
        <v>#REF!</v>
      </c>
      <c r="F563" s="10" t="e">
        <f>VLOOKUP($B563,#REF!,7,FALSE)</f>
        <v>#REF!</v>
      </c>
      <c r="G563" s="10"/>
      <c r="H563" s="10"/>
      <c r="I563" s="11" t="e">
        <f>VLOOKUP($B563,#REF!,19,FALSE)</f>
        <v>#REF!</v>
      </c>
      <c r="J563" s="11" t="e">
        <f>VLOOKUP($B563,#REF!,6,FALSE)</f>
        <v>#REF!</v>
      </c>
      <c r="L563" s="3">
        <v>44653.934027775977</v>
      </c>
      <c r="M563" s="15"/>
    </row>
    <row r="564" spans="2:13">
      <c r="B564" s="7"/>
      <c r="C564" s="8" t="e">
        <f>VLOOKUP($B564,#REF!,5,FALSE)</f>
        <v>#REF!</v>
      </c>
      <c r="D564" s="8" t="e">
        <f>VLOOKUP($B564,#REF!,6,FALSE)</f>
        <v>#REF!</v>
      </c>
      <c r="E564" s="9" t="e">
        <f>VLOOKUP($B564,#REF!,17,FALSE)</f>
        <v>#REF!</v>
      </c>
      <c r="F564" s="10" t="e">
        <f>VLOOKUP($B564,#REF!,7,FALSE)</f>
        <v>#REF!</v>
      </c>
      <c r="G564" s="10"/>
      <c r="H564" s="10"/>
      <c r="I564" s="11" t="e">
        <f>VLOOKUP($B564,#REF!,19,FALSE)</f>
        <v>#REF!</v>
      </c>
      <c r="J564" s="11" t="e">
        <f>VLOOKUP($B564,#REF!,6,FALSE)</f>
        <v>#REF!</v>
      </c>
      <c r="L564" s="3">
        <v>44653.937499998196</v>
      </c>
      <c r="M564" s="15"/>
    </row>
    <row r="565" spans="2:13">
      <c r="B565" s="7"/>
      <c r="C565" s="8" t="e">
        <f>VLOOKUP($B565,#REF!,5,FALSE)</f>
        <v>#REF!</v>
      </c>
      <c r="D565" s="8" t="e">
        <f>VLOOKUP($B565,#REF!,6,FALSE)</f>
        <v>#REF!</v>
      </c>
      <c r="E565" s="9" t="e">
        <f>VLOOKUP($B565,#REF!,17,FALSE)</f>
        <v>#REF!</v>
      </c>
      <c r="F565" s="10" t="e">
        <f>VLOOKUP($B565,#REF!,7,FALSE)</f>
        <v>#REF!</v>
      </c>
      <c r="G565" s="10"/>
      <c r="H565" s="10"/>
      <c r="I565" s="11" t="e">
        <f>VLOOKUP($B565,#REF!,19,FALSE)</f>
        <v>#REF!</v>
      </c>
      <c r="J565" s="11" t="e">
        <f>VLOOKUP($B565,#REF!,6,FALSE)</f>
        <v>#REF!</v>
      </c>
      <c r="L565" s="3">
        <v>44653.940972220415</v>
      </c>
      <c r="M565" s="15"/>
    </row>
    <row r="566" spans="2:13">
      <c r="B566" s="7"/>
      <c r="C566" s="8" t="e">
        <f>VLOOKUP($B566,#REF!,5,FALSE)</f>
        <v>#REF!</v>
      </c>
      <c r="D566" s="8" t="e">
        <f>VLOOKUP($B566,#REF!,6,FALSE)</f>
        <v>#REF!</v>
      </c>
      <c r="E566" s="9" t="e">
        <f>VLOOKUP($B566,#REF!,17,FALSE)</f>
        <v>#REF!</v>
      </c>
      <c r="F566" s="10" t="e">
        <f>VLOOKUP($B566,#REF!,7,FALSE)</f>
        <v>#REF!</v>
      </c>
      <c r="G566" s="10"/>
      <c r="H566" s="10"/>
      <c r="I566" s="11" t="e">
        <f>VLOOKUP($B566,#REF!,19,FALSE)</f>
        <v>#REF!</v>
      </c>
      <c r="J566" s="11" t="e">
        <f>VLOOKUP($B566,#REF!,6,FALSE)</f>
        <v>#REF!</v>
      </c>
      <c r="L566" s="3">
        <v>44653.944444442634</v>
      </c>
      <c r="M566" s="15"/>
    </row>
    <row r="567" spans="2:13">
      <c r="B567" s="7"/>
      <c r="C567" s="8" t="e">
        <f>VLOOKUP($B567,#REF!,5,FALSE)</f>
        <v>#REF!</v>
      </c>
      <c r="D567" s="8" t="e">
        <f>VLOOKUP($B567,#REF!,6,FALSE)</f>
        <v>#REF!</v>
      </c>
      <c r="E567" s="9" t="e">
        <f>VLOOKUP($B567,#REF!,17,FALSE)</f>
        <v>#REF!</v>
      </c>
      <c r="F567" s="10" t="e">
        <f>VLOOKUP($B567,#REF!,7,FALSE)</f>
        <v>#REF!</v>
      </c>
      <c r="G567" s="10"/>
      <c r="H567" s="10"/>
      <c r="I567" s="11" t="e">
        <f>VLOOKUP($B567,#REF!,19,FALSE)</f>
        <v>#REF!</v>
      </c>
      <c r="J567" s="11" t="e">
        <f>VLOOKUP($B567,#REF!,6,FALSE)</f>
        <v>#REF!</v>
      </c>
      <c r="L567" s="3">
        <v>44653.947916664853</v>
      </c>
      <c r="M567" s="15"/>
    </row>
    <row r="568" spans="2:13">
      <c r="B568" s="7"/>
      <c r="C568" s="8" t="e">
        <f>VLOOKUP($B568,#REF!,5,FALSE)</f>
        <v>#REF!</v>
      </c>
      <c r="D568" s="8" t="e">
        <f>VLOOKUP($B568,#REF!,6,FALSE)</f>
        <v>#REF!</v>
      </c>
      <c r="E568" s="9" t="e">
        <f>VLOOKUP($B568,#REF!,17,FALSE)</f>
        <v>#REF!</v>
      </c>
      <c r="F568" s="10" t="e">
        <f>VLOOKUP($B568,#REF!,7,FALSE)</f>
        <v>#REF!</v>
      </c>
      <c r="G568" s="10"/>
      <c r="H568" s="10"/>
      <c r="I568" s="11" t="e">
        <f>VLOOKUP($B568,#REF!,19,FALSE)</f>
        <v>#REF!</v>
      </c>
      <c r="J568" s="11" t="e">
        <f>VLOOKUP($B568,#REF!,6,FALSE)</f>
        <v>#REF!</v>
      </c>
      <c r="L568" s="3">
        <v>44653.951388887072</v>
      </c>
      <c r="M568" s="15"/>
    </row>
    <row r="569" spans="2:13">
      <c r="B569" s="7"/>
      <c r="C569" s="8" t="e">
        <f>VLOOKUP($B569,#REF!,5,FALSE)</f>
        <v>#REF!</v>
      </c>
      <c r="D569" s="8" t="e">
        <f>VLOOKUP($B569,#REF!,6,FALSE)</f>
        <v>#REF!</v>
      </c>
      <c r="E569" s="9" t="e">
        <f>VLOOKUP($B569,#REF!,17,FALSE)</f>
        <v>#REF!</v>
      </c>
      <c r="F569" s="10" t="e">
        <f>VLOOKUP($B569,#REF!,7,FALSE)</f>
        <v>#REF!</v>
      </c>
      <c r="G569" s="10"/>
      <c r="H569" s="10"/>
      <c r="I569" s="11" t="e">
        <f>VLOOKUP($B569,#REF!,19,FALSE)</f>
        <v>#REF!</v>
      </c>
      <c r="J569" s="11" t="e">
        <f>VLOOKUP($B569,#REF!,6,FALSE)</f>
        <v>#REF!</v>
      </c>
      <c r="L569" s="3">
        <v>44653.954861109291</v>
      </c>
      <c r="M569" s="15"/>
    </row>
    <row r="570" spans="2:13">
      <c r="B570" s="7"/>
      <c r="C570" s="8" t="e">
        <f>VLOOKUP($B570,#REF!,5,FALSE)</f>
        <v>#REF!</v>
      </c>
      <c r="D570" s="8" t="e">
        <f>VLOOKUP($B570,#REF!,6,FALSE)</f>
        <v>#REF!</v>
      </c>
      <c r="E570" s="9" t="e">
        <f>VLOOKUP($B570,#REF!,17,FALSE)</f>
        <v>#REF!</v>
      </c>
      <c r="F570" s="10" t="e">
        <f>VLOOKUP($B570,#REF!,7,FALSE)</f>
        <v>#REF!</v>
      </c>
      <c r="G570" s="10"/>
      <c r="H570" s="10"/>
      <c r="I570" s="11" t="e">
        <f>VLOOKUP($B570,#REF!,19,FALSE)</f>
        <v>#REF!</v>
      </c>
      <c r="J570" s="11" t="e">
        <f>VLOOKUP($B570,#REF!,6,FALSE)</f>
        <v>#REF!</v>
      </c>
      <c r="L570" s="3">
        <v>44653.958333331509</v>
      </c>
      <c r="M570" s="15"/>
    </row>
    <row r="571" spans="2:13">
      <c r="B571" s="7"/>
      <c r="C571" s="8" t="e">
        <f>VLOOKUP($B571,#REF!,5,FALSE)</f>
        <v>#REF!</v>
      </c>
      <c r="D571" s="8" t="e">
        <f>VLOOKUP($B571,#REF!,6,FALSE)</f>
        <v>#REF!</v>
      </c>
      <c r="E571" s="9" t="e">
        <f>VLOOKUP($B571,#REF!,17,FALSE)</f>
        <v>#REF!</v>
      </c>
      <c r="F571" s="10" t="e">
        <f>VLOOKUP($B571,#REF!,7,FALSE)</f>
        <v>#REF!</v>
      </c>
      <c r="G571" s="10"/>
      <c r="H571" s="10"/>
      <c r="I571" s="11" t="e">
        <f>VLOOKUP($B571,#REF!,19,FALSE)</f>
        <v>#REF!</v>
      </c>
      <c r="J571" s="11" t="e">
        <f>VLOOKUP($B571,#REF!,6,FALSE)</f>
        <v>#REF!</v>
      </c>
      <c r="L571" s="3">
        <v>44653.961805553728</v>
      </c>
      <c r="M571" s="15"/>
    </row>
    <row r="572" spans="2:13">
      <c r="B572" s="7"/>
      <c r="C572" s="8" t="e">
        <f>VLOOKUP($B572,#REF!,5,FALSE)</f>
        <v>#REF!</v>
      </c>
      <c r="D572" s="8" t="e">
        <f>VLOOKUP($B572,#REF!,6,FALSE)</f>
        <v>#REF!</v>
      </c>
      <c r="E572" s="9" t="e">
        <f>VLOOKUP($B572,#REF!,17,FALSE)</f>
        <v>#REF!</v>
      </c>
      <c r="F572" s="10" t="e">
        <f>VLOOKUP($B572,#REF!,7,FALSE)</f>
        <v>#REF!</v>
      </c>
      <c r="G572" s="10"/>
      <c r="H572" s="10"/>
      <c r="I572" s="11" t="e">
        <f>VLOOKUP($B572,#REF!,19,FALSE)</f>
        <v>#REF!</v>
      </c>
      <c r="J572" s="11" t="e">
        <f>VLOOKUP($B572,#REF!,6,FALSE)</f>
        <v>#REF!</v>
      </c>
      <c r="L572" s="3">
        <v>44653.965277775947</v>
      </c>
      <c r="M572" s="15"/>
    </row>
    <row r="573" spans="2:13">
      <c r="B573" s="7"/>
      <c r="C573" s="8" t="e">
        <f>VLOOKUP($B573,#REF!,5,FALSE)</f>
        <v>#REF!</v>
      </c>
      <c r="D573" s="8" t="e">
        <f>VLOOKUP($B573,#REF!,6,FALSE)</f>
        <v>#REF!</v>
      </c>
      <c r="E573" s="9" t="e">
        <f>VLOOKUP($B573,#REF!,17,FALSE)</f>
        <v>#REF!</v>
      </c>
      <c r="F573" s="10" t="e">
        <f>VLOOKUP($B573,#REF!,7,FALSE)</f>
        <v>#REF!</v>
      </c>
      <c r="G573" s="10"/>
      <c r="H573" s="10"/>
      <c r="I573" s="11" t="e">
        <f>VLOOKUP($B573,#REF!,19,FALSE)</f>
        <v>#REF!</v>
      </c>
      <c r="J573" s="11" t="e">
        <f>VLOOKUP($B573,#REF!,6,FALSE)</f>
        <v>#REF!</v>
      </c>
      <c r="L573" s="3">
        <v>44653.968749998166</v>
      </c>
      <c r="M573" s="15"/>
    </row>
    <row r="574" spans="2:13">
      <c r="B574" s="7"/>
      <c r="C574" s="8" t="e">
        <f>VLOOKUP($B574,#REF!,5,FALSE)</f>
        <v>#REF!</v>
      </c>
      <c r="D574" s="8" t="e">
        <f>VLOOKUP($B574,#REF!,6,FALSE)</f>
        <v>#REF!</v>
      </c>
      <c r="E574" s="9" t="e">
        <f>VLOOKUP($B574,#REF!,17,FALSE)</f>
        <v>#REF!</v>
      </c>
      <c r="F574" s="10" t="e">
        <f>VLOOKUP($B574,#REF!,7,FALSE)</f>
        <v>#REF!</v>
      </c>
      <c r="G574" s="10"/>
      <c r="H574" s="10"/>
      <c r="I574" s="11" t="e">
        <f>VLOOKUP($B574,#REF!,19,FALSE)</f>
        <v>#REF!</v>
      </c>
      <c r="J574" s="11" t="e">
        <f>VLOOKUP($B574,#REF!,6,FALSE)</f>
        <v>#REF!</v>
      </c>
      <c r="L574" s="3">
        <v>44653.972222220385</v>
      </c>
      <c r="M574" s="15"/>
    </row>
    <row r="575" spans="2:13">
      <c r="B575" s="7"/>
      <c r="C575" s="8" t="e">
        <f>VLOOKUP($B575,#REF!,5,FALSE)</f>
        <v>#REF!</v>
      </c>
      <c r="D575" s="8" t="e">
        <f>VLOOKUP($B575,#REF!,6,FALSE)</f>
        <v>#REF!</v>
      </c>
      <c r="E575" s="9" t="e">
        <f>VLOOKUP($B575,#REF!,17,FALSE)</f>
        <v>#REF!</v>
      </c>
      <c r="F575" s="10" t="e">
        <f>VLOOKUP($B575,#REF!,7,FALSE)</f>
        <v>#REF!</v>
      </c>
      <c r="G575" s="10"/>
      <c r="H575" s="10"/>
      <c r="I575" s="11" t="e">
        <f>VLOOKUP($B575,#REF!,19,FALSE)</f>
        <v>#REF!</v>
      </c>
      <c r="J575" s="11" t="e">
        <f>VLOOKUP($B575,#REF!,6,FALSE)</f>
        <v>#REF!</v>
      </c>
      <c r="L575" s="3">
        <v>44653.975694442604</v>
      </c>
      <c r="M575" s="15"/>
    </row>
    <row r="576" spans="2:13">
      <c r="B576" s="7"/>
      <c r="C576" s="8" t="e">
        <f>VLOOKUP($B576,#REF!,5,FALSE)</f>
        <v>#REF!</v>
      </c>
      <c r="D576" s="8" t="e">
        <f>VLOOKUP($B576,#REF!,6,FALSE)</f>
        <v>#REF!</v>
      </c>
      <c r="E576" s="9" t="e">
        <f>VLOOKUP($B576,#REF!,17,FALSE)</f>
        <v>#REF!</v>
      </c>
      <c r="F576" s="10" t="e">
        <f>VLOOKUP($B576,#REF!,7,FALSE)</f>
        <v>#REF!</v>
      </c>
      <c r="G576" s="10"/>
      <c r="H576" s="10"/>
      <c r="I576" s="11" t="e">
        <f>VLOOKUP($B576,#REF!,19,FALSE)</f>
        <v>#REF!</v>
      </c>
      <c r="J576" s="11" t="e">
        <f>VLOOKUP($B576,#REF!,6,FALSE)</f>
        <v>#REF!</v>
      </c>
      <c r="L576" s="3">
        <v>44653.979166664823</v>
      </c>
      <c r="M576" s="15"/>
    </row>
    <row r="577" spans="2:13">
      <c r="B577" s="7"/>
      <c r="C577" s="8" t="e">
        <f>VLOOKUP($B577,#REF!,5,FALSE)</f>
        <v>#REF!</v>
      </c>
      <c r="D577" s="8" t="e">
        <f>VLOOKUP($B577,#REF!,6,FALSE)</f>
        <v>#REF!</v>
      </c>
      <c r="E577" s="9" t="e">
        <f>VLOOKUP($B577,#REF!,17,FALSE)</f>
        <v>#REF!</v>
      </c>
      <c r="F577" s="10" t="e">
        <f>VLOOKUP($B577,#REF!,7,FALSE)</f>
        <v>#REF!</v>
      </c>
      <c r="G577" s="10"/>
      <c r="H577" s="10"/>
      <c r="I577" s="11" t="e">
        <f>VLOOKUP($B577,#REF!,19,FALSE)</f>
        <v>#REF!</v>
      </c>
      <c r="J577" s="11" t="e">
        <f>VLOOKUP($B577,#REF!,6,FALSE)</f>
        <v>#REF!</v>
      </c>
      <c r="L577" s="3">
        <v>44653.982638887042</v>
      </c>
      <c r="M577" s="15"/>
    </row>
    <row r="578" spans="2:13">
      <c r="B578" s="7"/>
      <c r="C578" s="8" t="e">
        <f>VLOOKUP($B578,#REF!,5,FALSE)</f>
        <v>#REF!</v>
      </c>
      <c r="D578" s="8" t="e">
        <f>VLOOKUP($B578,#REF!,6,FALSE)</f>
        <v>#REF!</v>
      </c>
      <c r="E578" s="9" t="e">
        <f>VLOOKUP($B578,#REF!,17,FALSE)</f>
        <v>#REF!</v>
      </c>
      <c r="F578" s="10" t="e">
        <f>VLOOKUP($B578,#REF!,7,FALSE)</f>
        <v>#REF!</v>
      </c>
      <c r="G578" s="10"/>
      <c r="H578" s="10"/>
      <c r="I578" s="11" t="e">
        <f>VLOOKUP($B578,#REF!,19,FALSE)</f>
        <v>#REF!</v>
      </c>
      <c r="J578" s="11" t="e">
        <f>VLOOKUP($B578,#REF!,6,FALSE)</f>
        <v>#REF!</v>
      </c>
      <c r="L578" s="3">
        <v>44653.986111109261</v>
      </c>
      <c r="M578" s="15"/>
    </row>
    <row r="579" spans="2:13">
      <c r="B579" s="7"/>
      <c r="C579" s="8" t="e">
        <f>VLOOKUP($B579,#REF!,5,FALSE)</f>
        <v>#REF!</v>
      </c>
      <c r="D579" s="8" t="e">
        <f>VLOOKUP($B579,#REF!,6,FALSE)</f>
        <v>#REF!</v>
      </c>
      <c r="E579" s="9" t="e">
        <f>VLOOKUP($B579,#REF!,17,FALSE)</f>
        <v>#REF!</v>
      </c>
      <c r="F579" s="10" t="e">
        <f>VLOOKUP($B579,#REF!,7,FALSE)</f>
        <v>#REF!</v>
      </c>
      <c r="G579" s="10"/>
      <c r="H579" s="10"/>
      <c r="I579" s="11" t="e">
        <f>VLOOKUP($B579,#REF!,19,FALSE)</f>
        <v>#REF!</v>
      </c>
      <c r="J579" s="11" t="e">
        <f>VLOOKUP($B579,#REF!,6,FALSE)</f>
        <v>#REF!</v>
      </c>
      <c r="L579" s="3">
        <v>44653.98958333148</v>
      </c>
      <c r="M579" s="15"/>
    </row>
    <row r="580" spans="2:13">
      <c r="B580" s="7"/>
      <c r="C580" s="8" t="e">
        <f>VLOOKUP($B580,#REF!,5,FALSE)</f>
        <v>#REF!</v>
      </c>
      <c r="D580" s="8" t="e">
        <f>VLOOKUP($B580,#REF!,6,FALSE)</f>
        <v>#REF!</v>
      </c>
      <c r="E580" s="9" t="e">
        <f>VLOOKUP($B580,#REF!,17,FALSE)</f>
        <v>#REF!</v>
      </c>
      <c r="F580" s="10" t="e">
        <f>VLOOKUP($B580,#REF!,7,FALSE)</f>
        <v>#REF!</v>
      </c>
      <c r="G580" s="10"/>
      <c r="H580" s="10"/>
      <c r="I580" s="11" t="e">
        <f>VLOOKUP($B580,#REF!,19,FALSE)</f>
        <v>#REF!</v>
      </c>
      <c r="J580" s="11" t="e">
        <f>VLOOKUP($B580,#REF!,6,FALSE)</f>
        <v>#REF!</v>
      </c>
      <c r="L580" s="3">
        <v>44653.993055553699</v>
      </c>
      <c r="M580" s="15"/>
    </row>
    <row r="581" spans="2:13">
      <c r="B581" s="7"/>
      <c r="C581" s="8" t="e">
        <f>VLOOKUP($B581,#REF!,5,FALSE)</f>
        <v>#REF!</v>
      </c>
      <c r="D581" s="8" t="e">
        <f>VLOOKUP($B581,#REF!,6,FALSE)</f>
        <v>#REF!</v>
      </c>
      <c r="E581" s="9" t="e">
        <f>VLOOKUP($B581,#REF!,17,FALSE)</f>
        <v>#REF!</v>
      </c>
      <c r="F581" s="10" t="e">
        <f>VLOOKUP($B581,#REF!,7,FALSE)</f>
        <v>#REF!</v>
      </c>
      <c r="G581" s="10"/>
      <c r="H581" s="10"/>
      <c r="I581" s="11" t="e">
        <f>VLOOKUP($B581,#REF!,19,FALSE)</f>
        <v>#REF!</v>
      </c>
      <c r="J581" s="11" t="e">
        <f>VLOOKUP($B581,#REF!,6,FALSE)</f>
        <v>#REF!</v>
      </c>
      <c r="L581" s="3">
        <v>44653.996527775918</v>
      </c>
      <c r="M581" s="15"/>
    </row>
    <row r="582" spans="2:13">
      <c r="B582" s="7"/>
      <c r="C582" s="8" t="e">
        <f>VLOOKUP($B582,#REF!,5,FALSE)</f>
        <v>#REF!</v>
      </c>
      <c r="D582" s="8" t="e">
        <f>VLOOKUP($B582,#REF!,6,FALSE)</f>
        <v>#REF!</v>
      </c>
      <c r="E582" s="9" t="e">
        <f>VLOOKUP($B582,#REF!,17,FALSE)</f>
        <v>#REF!</v>
      </c>
      <c r="F582" s="10" t="e">
        <f>VLOOKUP($B582,#REF!,7,FALSE)</f>
        <v>#REF!</v>
      </c>
      <c r="G582" s="10"/>
      <c r="H582" s="10"/>
      <c r="I582" s="11" t="e">
        <f>VLOOKUP($B582,#REF!,19,FALSE)</f>
        <v>#REF!</v>
      </c>
      <c r="J582" s="11" t="e">
        <f>VLOOKUP($B582,#REF!,6,FALSE)</f>
        <v>#REF!</v>
      </c>
      <c r="L582" s="3">
        <v>44653.999999998137</v>
      </c>
      <c r="M582" s="15"/>
    </row>
    <row r="583" spans="2:13">
      <c r="B583" s="7"/>
      <c r="C583" s="8" t="e">
        <f>VLOOKUP($B583,#REF!,5,FALSE)</f>
        <v>#REF!</v>
      </c>
      <c r="D583" s="8" t="e">
        <f>VLOOKUP($B583,#REF!,6,FALSE)</f>
        <v>#REF!</v>
      </c>
      <c r="E583" s="9" t="e">
        <f>VLOOKUP($B583,#REF!,17,FALSE)</f>
        <v>#REF!</v>
      </c>
      <c r="F583" s="10" t="e">
        <f>VLOOKUP($B583,#REF!,7,FALSE)</f>
        <v>#REF!</v>
      </c>
      <c r="G583" s="10"/>
      <c r="H583" s="10"/>
      <c r="I583" s="11" t="e">
        <f>VLOOKUP($B583,#REF!,19,FALSE)</f>
        <v>#REF!</v>
      </c>
      <c r="J583" s="11" t="e">
        <f>VLOOKUP($B583,#REF!,6,FALSE)</f>
        <v>#REF!</v>
      </c>
      <c r="L583" s="3">
        <v>44654.003472220356</v>
      </c>
      <c r="M583" s="15"/>
    </row>
    <row r="584" spans="2:13">
      <c r="B584" s="7"/>
      <c r="C584" s="8" t="e">
        <f>VLOOKUP($B584,#REF!,5,FALSE)</f>
        <v>#REF!</v>
      </c>
      <c r="D584" s="8" t="e">
        <f>VLOOKUP($B584,#REF!,6,FALSE)</f>
        <v>#REF!</v>
      </c>
      <c r="E584" s="9" t="e">
        <f>VLOOKUP($B584,#REF!,17,FALSE)</f>
        <v>#REF!</v>
      </c>
      <c r="F584" s="10" t="e">
        <f>VLOOKUP($B584,#REF!,7,FALSE)</f>
        <v>#REF!</v>
      </c>
      <c r="G584" s="10"/>
      <c r="H584" s="10"/>
      <c r="I584" s="11" t="e">
        <f>VLOOKUP($B584,#REF!,19,FALSE)</f>
        <v>#REF!</v>
      </c>
      <c r="J584" s="11" t="e">
        <f>VLOOKUP($B584,#REF!,6,FALSE)</f>
        <v>#REF!</v>
      </c>
      <c r="L584" s="3">
        <v>44654.006944442575</v>
      </c>
      <c r="M584" s="15"/>
    </row>
    <row r="585" spans="2:13">
      <c r="B585" s="7"/>
      <c r="C585" s="8" t="e">
        <f>VLOOKUP($B585,#REF!,5,FALSE)</f>
        <v>#REF!</v>
      </c>
      <c r="D585" s="8" t="e">
        <f>VLOOKUP($B585,#REF!,6,FALSE)</f>
        <v>#REF!</v>
      </c>
      <c r="E585" s="9" t="e">
        <f>VLOOKUP($B585,#REF!,17,FALSE)</f>
        <v>#REF!</v>
      </c>
      <c r="F585" s="10" t="e">
        <f>VLOOKUP($B585,#REF!,7,FALSE)</f>
        <v>#REF!</v>
      </c>
      <c r="G585" s="10"/>
      <c r="H585" s="10"/>
      <c r="I585" s="11" t="e">
        <f>VLOOKUP($B585,#REF!,19,FALSE)</f>
        <v>#REF!</v>
      </c>
      <c r="J585" s="11" t="e">
        <f>VLOOKUP($B585,#REF!,6,FALSE)</f>
        <v>#REF!</v>
      </c>
      <c r="L585" s="3">
        <v>44654.010416664794</v>
      </c>
      <c r="M585" s="15"/>
    </row>
    <row r="586" spans="2:13">
      <c r="B586" s="7"/>
      <c r="C586" s="8" t="e">
        <f>VLOOKUP($B586,#REF!,5,FALSE)</f>
        <v>#REF!</v>
      </c>
      <c r="D586" s="8" t="e">
        <f>VLOOKUP($B586,#REF!,6,FALSE)</f>
        <v>#REF!</v>
      </c>
      <c r="E586" s="9" t="e">
        <f>VLOOKUP($B586,#REF!,17,FALSE)</f>
        <v>#REF!</v>
      </c>
      <c r="F586" s="10" t="e">
        <f>VLOOKUP($B586,#REF!,7,FALSE)</f>
        <v>#REF!</v>
      </c>
      <c r="G586" s="10"/>
      <c r="H586" s="10"/>
      <c r="I586" s="11" t="e">
        <f>VLOOKUP($B586,#REF!,19,FALSE)</f>
        <v>#REF!</v>
      </c>
      <c r="J586" s="11" t="e">
        <f>VLOOKUP($B586,#REF!,6,FALSE)</f>
        <v>#REF!</v>
      </c>
      <c r="L586" s="3">
        <v>44654.013888887013</v>
      </c>
      <c r="M586" s="15"/>
    </row>
    <row r="587" spans="2:13">
      <c r="B587" s="7"/>
      <c r="C587" s="8" t="e">
        <f>VLOOKUP($B587,#REF!,5,FALSE)</f>
        <v>#REF!</v>
      </c>
      <c r="D587" s="8" t="e">
        <f>VLOOKUP($B587,#REF!,6,FALSE)</f>
        <v>#REF!</v>
      </c>
      <c r="E587" s="9" t="e">
        <f>VLOOKUP($B587,#REF!,17,FALSE)</f>
        <v>#REF!</v>
      </c>
      <c r="F587" s="10" t="e">
        <f>VLOOKUP($B587,#REF!,7,FALSE)</f>
        <v>#REF!</v>
      </c>
      <c r="G587" s="10"/>
      <c r="H587" s="10"/>
      <c r="I587" s="11" t="e">
        <f>VLOOKUP($B587,#REF!,19,FALSE)</f>
        <v>#REF!</v>
      </c>
      <c r="J587" s="11" t="e">
        <f>VLOOKUP($B587,#REF!,6,FALSE)</f>
        <v>#REF!</v>
      </c>
      <c r="L587" s="3">
        <v>44654.017361109232</v>
      </c>
      <c r="M587" s="15"/>
    </row>
    <row r="588" spans="2:13">
      <c r="B588" s="7"/>
      <c r="C588" s="8" t="e">
        <f>VLOOKUP($B588,#REF!,5,FALSE)</f>
        <v>#REF!</v>
      </c>
      <c r="D588" s="8" t="e">
        <f>VLOOKUP($B588,#REF!,6,FALSE)</f>
        <v>#REF!</v>
      </c>
      <c r="E588" s="9" t="e">
        <f>VLOOKUP($B588,#REF!,17,FALSE)</f>
        <v>#REF!</v>
      </c>
      <c r="F588" s="10" t="e">
        <f>VLOOKUP($B588,#REF!,7,FALSE)</f>
        <v>#REF!</v>
      </c>
      <c r="G588" s="10"/>
      <c r="H588" s="10"/>
      <c r="I588" s="11" t="e">
        <f>VLOOKUP($B588,#REF!,19,FALSE)</f>
        <v>#REF!</v>
      </c>
      <c r="J588" s="11" t="e">
        <f>VLOOKUP($B588,#REF!,6,FALSE)</f>
        <v>#REF!</v>
      </c>
      <c r="L588" s="3">
        <v>44654.020833331451</v>
      </c>
      <c r="M588" s="15"/>
    </row>
    <row r="589" spans="2:13">
      <c r="B589" s="7"/>
      <c r="C589" s="8" t="e">
        <f>VLOOKUP($B589,#REF!,5,FALSE)</f>
        <v>#REF!</v>
      </c>
      <c r="D589" s="8" t="e">
        <f>VLOOKUP($B589,#REF!,6,FALSE)</f>
        <v>#REF!</v>
      </c>
      <c r="E589" s="9" t="e">
        <f>VLOOKUP($B589,#REF!,17,FALSE)</f>
        <v>#REF!</v>
      </c>
      <c r="F589" s="10" t="e">
        <f>VLOOKUP($B589,#REF!,7,FALSE)</f>
        <v>#REF!</v>
      </c>
      <c r="G589" s="10"/>
      <c r="H589" s="10"/>
      <c r="I589" s="11" t="e">
        <f>VLOOKUP($B589,#REF!,19,FALSE)</f>
        <v>#REF!</v>
      </c>
      <c r="J589" s="11" t="e">
        <f>VLOOKUP($B589,#REF!,6,FALSE)</f>
        <v>#REF!</v>
      </c>
      <c r="L589" s="3">
        <v>44654.02430555367</v>
      </c>
      <c r="M589" s="15"/>
    </row>
    <row r="590" spans="2:13">
      <c r="B590" s="7"/>
      <c r="C590" s="8" t="e">
        <f>VLOOKUP($B590,#REF!,5,FALSE)</f>
        <v>#REF!</v>
      </c>
      <c r="D590" s="8" t="e">
        <f>VLOOKUP($B590,#REF!,6,FALSE)</f>
        <v>#REF!</v>
      </c>
      <c r="E590" s="9" t="e">
        <f>VLOOKUP($B590,#REF!,17,FALSE)</f>
        <v>#REF!</v>
      </c>
      <c r="F590" s="10" t="e">
        <f>VLOOKUP($B590,#REF!,7,FALSE)</f>
        <v>#REF!</v>
      </c>
      <c r="G590" s="10"/>
      <c r="H590" s="10"/>
      <c r="I590" s="11" t="e">
        <f>VLOOKUP($B590,#REF!,19,FALSE)</f>
        <v>#REF!</v>
      </c>
      <c r="J590" s="11" t="e">
        <f>VLOOKUP($B590,#REF!,6,FALSE)</f>
        <v>#REF!</v>
      </c>
      <c r="L590" s="3">
        <v>44654.027777775889</v>
      </c>
      <c r="M590" s="15"/>
    </row>
    <row r="591" spans="2:13">
      <c r="B591" s="7"/>
      <c r="C591" s="8" t="e">
        <f>VLOOKUP($B591,#REF!,5,FALSE)</f>
        <v>#REF!</v>
      </c>
      <c r="D591" s="8" t="e">
        <f>VLOOKUP($B591,#REF!,6,FALSE)</f>
        <v>#REF!</v>
      </c>
      <c r="E591" s="9" t="e">
        <f>VLOOKUP($B591,#REF!,17,FALSE)</f>
        <v>#REF!</v>
      </c>
      <c r="F591" s="10" t="e">
        <f>VLOOKUP($B591,#REF!,7,FALSE)</f>
        <v>#REF!</v>
      </c>
      <c r="G591" s="10"/>
      <c r="H591" s="10"/>
      <c r="I591" s="11" t="e">
        <f>VLOOKUP($B591,#REF!,19,FALSE)</f>
        <v>#REF!</v>
      </c>
      <c r="J591" s="11" t="e">
        <f>VLOOKUP($B591,#REF!,6,FALSE)</f>
        <v>#REF!</v>
      </c>
      <c r="L591" s="3">
        <v>44654.031249998108</v>
      </c>
      <c r="M591" s="15"/>
    </row>
    <row r="592" spans="2:13">
      <c r="B592" s="7"/>
      <c r="C592" s="8" t="e">
        <f>VLOOKUP($B592,#REF!,5,FALSE)</f>
        <v>#REF!</v>
      </c>
      <c r="D592" s="8" t="e">
        <f>VLOOKUP($B592,#REF!,6,FALSE)</f>
        <v>#REF!</v>
      </c>
      <c r="E592" s="9" t="e">
        <f>VLOOKUP($B592,#REF!,17,FALSE)</f>
        <v>#REF!</v>
      </c>
      <c r="F592" s="10" t="e">
        <f>VLOOKUP($B592,#REF!,7,FALSE)</f>
        <v>#REF!</v>
      </c>
      <c r="G592" s="10"/>
      <c r="H592" s="10"/>
      <c r="I592" s="11" t="e">
        <f>VLOOKUP($B592,#REF!,19,FALSE)</f>
        <v>#REF!</v>
      </c>
      <c r="J592" s="11" t="e">
        <f>VLOOKUP($B592,#REF!,6,FALSE)</f>
        <v>#REF!</v>
      </c>
      <c r="L592" s="3">
        <v>44654.034722220327</v>
      </c>
      <c r="M592" s="15"/>
    </row>
    <row r="593" spans="2:13">
      <c r="B593" s="7"/>
      <c r="C593" s="8" t="e">
        <f>VLOOKUP($B593,#REF!,5,FALSE)</f>
        <v>#REF!</v>
      </c>
      <c r="D593" s="8" t="e">
        <f>VLOOKUP($B593,#REF!,6,FALSE)</f>
        <v>#REF!</v>
      </c>
      <c r="E593" s="9" t="e">
        <f>VLOOKUP($B593,#REF!,17,FALSE)</f>
        <v>#REF!</v>
      </c>
      <c r="F593" s="10" t="e">
        <f>VLOOKUP($B593,#REF!,7,FALSE)</f>
        <v>#REF!</v>
      </c>
      <c r="G593" s="10"/>
      <c r="H593" s="10"/>
      <c r="I593" s="11" t="e">
        <f>VLOOKUP($B593,#REF!,19,FALSE)</f>
        <v>#REF!</v>
      </c>
      <c r="J593" s="11" t="e">
        <f>VLOOKUP($B593,#REF!,6,FALSE)</f>
        <v>#REF!</v>
      </c>
      <c r="L593" s="3">
        <v>44654.038194442546</v>
      </c>
      <c r="M593" s="15"/>
    </row>
    <row r="594" spans="2:13">
      <c r="B594" s="7"/>
      <c r="C594" s="8" t="e">
        <f>VLOOKUP($B594,#REF!,5,FALSE)</f>
        <v>#REF!</v>
      </c>
      <c r="D594" s="8" t="e">
        <f>VLOOKUP($B594,#REF!,6,FALSE)</f>
        <v>#REF!</v>
      </c>
      <c r="E594" s="9" t="e">
        <f>VLOOKUP($B594,#REF!,17,FALSE)</f>
        <v>#REF!</v>
      </c>
      <c r="F594" s="10" t="e">
        <f>VLOOKUP($B594,#REF!,7,FALSE)</f>
        <v>#REF!</v>
      </c>
      <c r="G594" s="10"/>
      <c r="H594" s="10"/>
      <c r="I594" s="11" t="e">
        <f>VLOOKUP($B594,#REF!,19,FALSE)</f>
        <v>#REF!</v>
      </c>
      <c r="J594" s="11" t="e">
        <f>VLOOKUP($B594,#REF!,6,FALSE)</f>
        <v>#REF!</v>
      </c>
      <c r="L594" s="3">
        <v>44654.041666664765</v>
      </c>
      <c r="M594" s="15"/>
    </row>
    <row r="595" spans="2:13">
      <c r="B595" s="7"/>
      <c r="C595" s="8" t="e">
        <f>VLOOKUP($B595,#REF!,5,FALSE)</f>
        <v>#REF!</v>
      </c>
      <c r="D595" s="8" t="e">
        <f>VLOOKUP($B595,#REF!,6,FALSE)</f>
        <v>#REF!</v>
      </c>
      <c r="E595" s="9" t="e">
        <f>VLOOKUP($B595,#REF!,17,FALSE)</f>
        <v>#REF!</v>
      </c>
      <c r="F595" s="10" t="e">
        <f>VLOOKUP($B595,#REF!,7,FALSE)</f>
        <v>#REF!</v>
      </c>
      <c r="G595" s="10"/>
      <c r="H595" s="10"/>
      <c r="I595" s="11" t="e">
        <f>VLOOKUP($B595,#REF!,19,FALSE)</f>
        <v>#REF!</v>
      </c>
      <c r="J595" s="11" t="e">
        <f>VLOOKUP($B595,#REF!,6,FALSE)</f>
        <v>#REF!</v>
      </c>
      <c r="L595" s="3">
        <v>44654.045138886984</v>
      </c>
      <c r="M595" s="15"/>
    </row>
    <row r="596" spans="2:13">
      <c r="B596" s="7"/>
      <c r="C596" s="8" t="e">
        <f>VLOOKUP($B596,#REF!,5,FALSE)</f>
        <v>#REF!</v>
      </c>
      <c r="D596" s="8" t="e">
        <f>VLOOKUP($B596,#REF!,6,FALSE)</f>
        <v>#REF!</v>
      </c>
      <c r="E596" s="9" t="e">
        <f>VLOOKUP($B596,#REF!,17,FALSE)</f>
        <v>#REF!</v>
      </c>
      <c r="F596" s="10" t="e">
        <f>VLOOKUP($B596,#REF!,7,FALSE)</f>
        <v>#REF!</v>
      </c>
      <c r="G596" s="10"/>
      <c r="H596" s="10"/>
      <c r="I596" s="11" t="e">
        <f>VLOOKUP($B596,#REF!,19,FALSE)</f>
        <v>#REF!</v>
      </c>
      <c r="J596" s="11" t="e">
        <f>VLOOKUP($B596,#REF!,6,FALSE)</f>
        <v>#REF!</v>
      </c>
      <c r="L596" s="3">
        <v>44654.048611109203</v>
      </c>
      <c r="M596" s="15"/>
    </row>
    <row r="597" spans="2:13">
      <c r="B597" s="7"/>
      <c r="C597" s="8" t="e">
        <f>VLOOKUP($B597,#REF!,5,FALSE)</f>
        <v>#REF!</v>
      </c>
      <c r="D597" s="8" t="e">
        <f>VLOOKUP($B597,#REF!,6,FALSE)</f>
        <v>#REF!</v>
      </c>
      <c r="E597" s="9" t="e">
        <f>VLOOKUP($B597,#REF!,17,FALSE)</f>
        <v>#REF!</v>
      </c>
      <c r="F597" s="10" t="e">
        <f>VLOOKUP($B597,#REF!,7,FALSE)</f>
        <v>#REF!</v>
      </c>
      <c r="G597" s="10"/>
      <c r="H597" s="10"/>
      <c r="I597" s="11" t="e">
        <f>VLOOKUP($B597,#REF!,19,FALSE)</f>
        <v>#REF!</v>
      </c>
      <c r="J597" s="11" t="e">
        <f>VLOOKUP($B597,#REF!,6,FALSE)</f>
        <v>#REF!</v>
      </c>
      <c r="L597" s="3">
        <v>44654.052083331422</v>
      </c>
      <c r="M597" s="15"/>
    </row>
    <row r="598" spans="2:13">
      <c r="B598" s="7"/>
      <c r="C598" s="8" t="e">
        <f>VLOOKUP($B598,#REF!,5,FALSE)</f>
        <v>#REF!</v>
      </c>
      <c r="D598" s="8" t="e">
        <f>VLOOKUP($B598,#REF!,6,FALSE)</f>
        <v>#REF!</v>
      </c>
      <c r="E598" s="9" t="e">
        <f>VLOOKUP($B598,#REF!,17,FALSE)</f>
        <v>#REF!</v>
      </c>
      <c r="F598" s="10" t="e">
        <f>VLOOKUP($B598,#REF!,7,FALSE)</f>
        <v>#REF!</v>
      </c>
      <c r="G598" s="10"/>
      <c r="H598" s="10"/>
      <c r="I598" s="11" t="e">
        <f>VLOOKUP($B598,#REF!,19,FALSE)</f>
        <v>#REF!</v>
      </c>
      <c r="J598" s="11" t="e">
        <f>VLOOKUP($B598,#REF!,6,FALSE)</f>
        <v>#REF!</v>
      </c>
      <c r="L598" s="3">
        <v>44654.055555553641</v>
      </c>
      <c r="M598" s="15"/>
    </row>
    <row r="599" spans="2:13">
      <c r="B599" s="7"/>
      <c r="C599" s="8" t="e">
        <f>VLOOKUP($B599,#REF!,5,FALSE)</f>
        <v>#REF!</v>
      </c>
      <c r="D599" s="8" t="e">
        <f>VLOOKUP($B599,#REF!,6,FALSE)</f>
        <v>#REF!</v>
      </c>
      <c r="E599" s="9" t="e">
        <f>VLOOKUP($B599,#REF!,17,FALSE)</f>
        <v>#REF!</v>
      </c>
      <c r="F599" s="10" t="e">
        <f>VLOOKUP($B599,#REF!,7,FALSE)</f>
        <v>#REF!</v>
      </c>
      <c r="G599" s="10"/>
      <c r="H599" s="10"/>
      <c r="I599" s="11" t="e">
        <f>VLOOKUP($B599,#REF!,19,FALSE)</f>
        <v>#REF!</v>
      </c>
      <c r="J599" s="11" t="e">
        <f>VLOOKUP($B599,#REF!,6,FALSE)</f>
        <v>#REF!</v>
      </c>
      <c r="L599" s="3">
        <v>44654.05902777586</v>
      </c>
      <c r="M599" s="15"/>
    </row>
    <row r="600" spans="2:13">
      <c r="B600" s="7"/>
      <c r="C600" s="8" t="e">
        <f>VLOOKUP($B600,#REF!,5,FALSE)</f>
        <v>#REF!</v>
      </c>
      <c r="D600" s="8" t="e">
        <f>VLOOKUP($B600,#REF!,6,FALSE)</f>
        <v>#REF!</v>
      </c>
      <c r="E600" s="9" t="e">
        <f>VLOOKUP($B600,#REF!,17,FALSE)</f>
        <v>#REF!</v>
      </c>
      <c r="F600" s="10" t="e">
        <f>VLOOKUP($B600,#REF!,7,FALSE)</f>
        <v>#REF!</v>
      </c>
      <c r="G600" s="10"/>
      <c r="H600" s="10"/>
      <c r="I600" s="11" t="e">
        <f>VLOOKUP($B600,#REF!,19,FALSE)</f>
        <v>#REF!</v>
      </c>
      <c r="J600" s="11" t="e">
        <f>VLOOKUP($B600,#REF!,6,FALSE)</f>
        <v>#REF!</v>
      </c>
      <c r="L600" s="3">
        <v>44654.062499998079</v>
      </c>
      <c r="M600" s="15"/>
    </row>
    <row r="601" spans="2:13">
      <c r="B601" s="7"/>
      <c r="C601" s="8" t="e">
        <f>VLOOKUP($B601,#REF!,5,FALSE)</f>
        <v>#REF!</v>
      </c>
      <c r="D601" s="8" t="e">
        <f>VLOOKUP($B601,#REF!,6,FALSE)</f>
        <v>#REF!</v>
      </c>
      <c r="E601" s="9" t="e">
        <f>VLOOKUP($B601,#REF!,17,FALSE)</f>
        <v>#REF!</v>
      </c>
      <c r="F601" s="10" t="e">
        <f>VLOOKUP($B601,#REF!,7,FALSE)</f>
        <v>#REF!</v>
      </c>
      <c r="G601" s="10"/>
      <c r="H601" s="10"/>
      <c r="I601" s="11" t="e">
        <f>VLOOKUP($B601,#REF!,19,FALSE)</f>
        <v>#REF!</v>
      </c>
      <c r="J601" s="11" t="e">
        <f>VLOOKUP($B601,#REF!,6,FALSE)</f>
        <v>#REF!</v>
      </c>
      <c r="L601" s="3">
        <v>44654.065972220298</v>
      </c>
      <c r="M601" s="15"/>
    </row>
    <row r="602" spans="2:13">
      <c r="B602" s="7"/>
      <c r="C602" s="8" t="e">
        <f>VLOOKUP($B602,#REF!,5,FALSE)</f>
        <v>#REF!</v>
      </c>
      <c r="D602" s="8" t="e">
        <f>VLOOKUP($B602,#REF!,6,FALSE)</f>
        <v>#REF!</v>
      </c>
      <c r="E602" s="9" t="e">
        <f>VLOOKUP($B602,#REF!,17,FALSE)</f>
        <v>#REF!</v>
      </c>
      <c r="F602" s="10" t="e">
        <f>VLOOKUP($B602,#REF!,7,FALSE)</f>
        <v>#REF!</v>
      </c>
      <c r="G602" s="10"/>
      <c r="H602" s="10"/>
      <c r="I602" s="11" t="e">
        <f>VLOOKUP($B602,#REF!,19,FALSE)</f>
        <v>#REF!</v>
      </c>
      <c r="J602" s="11" t="e">
        <f>VLOOKUP($B602,#REF!,6,FALSE)</f>
        <v>#REF!</v>
      </c>
      <c r="L602" s="3">
        <v>44654.069444442517</v>
      </c>
      <c r="M602" s="15"/>
    </row>
    <row r="603" spans="2:13">
      <c r="B603" s="7"/>
      <c r="C603" s="8" t="e">
        <f>VLOOKUP($B603,#REF!,5,FALSE)</f>
        <v>#REF!</v>
      </c>
      <c r="D603" s="8" t="e">
        <f>VLOOKUP($B603,#REF!,6,FALSE)</f>
        <v>#REF!</v>
      </c>
      <c r="E603" s="9" t="e">
        <f>VLOOKUP($B603,#REF!,17,FALSE)</f>
        <v>#REF!</v>
      </c>
      <c r="F603" s="10" t="e">
        <f>VLOOKUP($B603,#REF!,7,FALSE)</f>
        <v>#REF!</v>
      </c>
      <c r="G603" s="10"/>
      <c r="H603" s="10"/>
      <c r="I603" s="11" t="e">
        <f>VLOOKUP($B603,#REF!,19,FALSE)</f>
        <v>#REF!</v>
      </c>
      <c r="J603" s="11" t="e">
        <f>VLOOKUP($B603,#REF!,6,FALSE)</f>
        <v>#REF!</v>
      </c>
      <c r="L603" s="3">
        <v>44654.072916664736</v>
      </c>
      <c r="M603" s="15"/>
    </row>
    <row r="604" spans="2:13">
      <c r="B604" s="7"/>
      <c r="C604" s="8" t="e">
        <f>VLOOKUP($B604,#REF!,5,FALSE)</f>
        <v>#REF!</v>
      </c>
      <c r="D604" s="8" t="e">
        <f>VLOOKUP($B604,#REF!,6,FALSE)</f>
        <v>#REF!</v>
      </c>
      <c r="E604" s="9" t="e">
        <f>VLOOKUP($B604,#REF!,17,FALSE)</f>
        <v>#REF!</v>
      </c>
      <c r="F604" s="10" t="e">
        <f>VLOOKUP($B604,#REF!,7,FALSE)</f>
        <v>#REF!</v>
      </c>
      <c r="G604" s="10"/>
      <c r="H604" s="10"/>
      <c r="I604" s="11" t="e">
        <f>VLOOKUP($B604,#REF!,19,FALSE)</f>
        <v>#REF!</v>
      </c>
      <c r="J604" s="11" t="e">
        <f>VLOOKUP($B604,#REF!,6,FALSE)</f>
        <v>#REF!</v>
      </c>
      <c r="L604" s="3">
        <v>44654.076388886955</v>
      </c>
      <c r="M604" s="15"/>
    </row>
    <row r="605" spans="2:13">
      <c r="B605" s="7"/>
      <c r="C605" s="8" t="e">
        <f>VLOOKUP($B605,#REF!,5,FALSE)</f>
        <v>#REF!</v>
      </c>
      <c r="D605" s="8" t="e">
        <f>VLOOKUP($B605,#REF!,6,FALSE)</f>
        <v>#REF!</v>
      </c>
      <c r="E605" s="9" t="e">
        <f>VLOOKUP($B605,#REF!,17,FALSE)</f>
        <v>#REF!</v>
      </c>
      <c r="F605" s="10" t="e">
        <f>VLOOKUP($B605,#REF!,7,FALSE)</f>
        <v>#REF!</v>
      </c>
      <c r="G605" s="10"/>
      <c r="H605" s="10"/>
      <c r="I605" s="11" t="e">
        <f>VLOOKUP($B605,#REF!,19,FALSE)</f>
        <v>#REF!</v>
      </c>
      <c r="J605" s="11" t="e">
        <f>VLOOKUP($B605,#REF!,6,FALSE)</f>
        <v>#REF!</v>
      </c>
      <c r="L605" s="3">
        <v>44654.079861109174</v>
      </c>
      <c r="M605" s="15"/>
    </row>
    <row r="606" spans="2:13">
      <c r="B606" s="7"/>
      <c r="C606" s="8" t="e">
        <f>VLOOKUP($B606,#REF!,5,FALSE)</f>
        <v>#REF!</v>
      </c>
      <c r="D606" s="8" t="e">
        <f>VLOOKUP($B606,#REF!,6,FALSE)</f>
        <v>#REF!</v>
      </c>
      <c r="E606" s="9" t="e">
        <f>VLOOKUP($B606,#REF!,17,FALSE)</f>
        <v>#REF!</v>
      </c>
      <c r="F606" s="10" t="e">
        <f>VLOOKUP($B606,#REF!,7,FALSE)</f>
        <v>#REF!</v>
      </c>
      <c r="G606" s="10"/>
      <c r="H606" s="10"/>
      <c r="I606" s="11" t="e">
        <f>VLOOKUP($B606,#REF!,19,FALSE)</f>
        <v>#REF!</v>
      </c>
      <c r="J606" s="11" t="e">
        <f>VLOOKUP($B606,#REF!,6,FALSE)</f>
        <v>#REF!</v>
      </c>
      <c r="L606" s="3">
        <v>44654.083333331393</v>
      </c>
      <c r="M606" s="15"/>
    </row>
    <row r="607" spans="2:13">
      <c r="B607" s="7"/>
      <c r="C607" s="8" t="e">
        <f>VLOOKUP($B607,#REF!,5,FALSE)</f>
        <v>#REF!</v>
      </c>
      <c r="D607" s="8" t="e">
        <f>VLOOKUP($B607,#REF!,6,FALSE)</f>
        <v>#REF!</v>
      </c>
      <c r="E607" s="9" t="e">
        <f>VLOOKUP($B607,#REF!,17,FALSE)</f>
        <v>#REF!</v>
      </c>
      <c r="F607" s="10" t="e">
        <f>VLOOKUP($B607,#REF!,7,FALSE)</f>
        <v>#REF!</v>
      </c>
      <c r="G607" s="10"/>
      <c r="H607" s="10"/>
      <c r="I607" s="11" t="e">
        <f>VLOOKUP($B607,#REF!,19,FALSE)</f>
        <v>#REF!</v>
      </c>
      <c r="J607" s="11" t="e">
        <f>VLOOKUP($B607,#REF!,6,FALSE)</f>
        <v>#REF!</v>
      </c>
      <c r="L607" s="3">
        <v>44654.086805553612</v>
      </c>
      <c r="M607" s="15"/>
    </row>
    <row r="608" spans="2:13">
      <c r="B608" s="7"/>
      <c r="C608" s="8" t="e">
        <f>VLOOKUP($B608,#REF!,5,FALSE)</f>
        <v>#REF!</v>
      </c>
      <c r="D608" s="8" t="e">
        <f>VLOOKUP($B608,#REF!,6,FALSE)</f>
        <v>#REF!</v>
      </c>
      <c r="E608" s="9" t="e">
        <f>VLOOKUP($B608,#REF!,17,FALSE)</f>
        <v>#REF!</v>
      </c>
      <c r="F608" s="10" t="e">
        <f>VLOOKUP($B608,#REF!,7,FALSE)</f>
        <v>#REF!</v>
      </c>
      <c r="G608" s="10"/>
      <c r="H608" s="10"/>
      <c r="I608" s="11" t="e">
        <f>VLOOKUP($B608,#REF!,19,FALSE)</f>
        <v>#REF!</v>
      </c>
      <c r="J608" s="11" t="e">
        <f>VLOOKUP($B608,#REF!,6,FALSE)</f>
        <v>#REF!</v>
      </c>
      <c r="L608" s="3">
        <v>44654.090277775831</v>
      </c>
      <c r="M608" s="15"/>
    </row>
    <row r="609" spans="2:13">
      <c r="B609" s="7"/>
      <c r="C609" s="8" t="e">
        <f>VLOOKUP($B609,#REF!,5,FALSE)</f>
        <v>#REF!</v>
      </c>
      <c r="D609" s="8" t="e">
        <f>VLOOKUP($B609,#REF!,6,FALSE)</f>
        <v>#REF!</v>
      </c>
      <c r="E609" s="9" t="e">
        <f>VLOOKUP($B609,#REF!,17,FALSE)</f>
        <v>#REF!</v>
      </c>
      <c r="F609" s="10" t="e">
        <f>VLOOKUP($B609,#REF!,7,FALSE)</f>
        <v>#REF!</v>
      </c>
      <c r="G609" s="10"/>
      <c r="H609" s="10"/>
      <c r="I609" s="11" t="e">
        <f>VLOOKUP($B609,#REF!,19,FALSE)</f>
        <v>#REF!</v>
      </c>
      <c r="J609" s="11" t="e">
        <f>VLOOKUP($B609,#REF!,6,FALSE)</f>
        <v>#REF!</v>
      </c>
      <c r="L609" s="3">
        <v>44654.09374999805</v>
      </c>
      <c r="M609" s="15"/>
    </row>
    <row r="610" spans="2:13">
      <c r="B610" s="7"/>
      <c r="C610" s="8" t="e">
        <f>VLOOKUP($B610,#REF!,5,FALSE)</f>
        <v>#REF!</v>
      </c>
      <c r="D610" s="8" t="e">
        <f>VLOOKUP($B610,#REF!,6,FALSE)</f>
        <v>#REF!</v>
      </c>
      <c r="E610" s="9" t="e">
        <f>VLOOKUP($B610,#REF!,17,FALSE)</f>
        <v>#REF!</v>
      </c>
      <c r="F610" s="10" t="e">
        <f>VLOOKUP($B610,#REF!,7,FALSE)</f>
        <v>#REF!</v>
      </c>
      <c r="G610" s="10"/>
      <c r="H610" s="10"/>
      <c r="I610" s="11" t="e">
        <f>VLOOKUP($B610,#REF!,19,FALSE)</f>
        <v>#REF!</v>
      </c>
      <c r="J610" s="11" t="e">
        <f>VLOOKUP($B610,#REF!,6,FALSE)</f>
        <v>#REF!</v>
      </c>
      <c r="L610" s="3">
        <v>44654.097222220269</v>
      </c>
      <c r="M610" s="15"/>
    </row>
    <row r="611" spans="2:13">
      <c r="B611" s="7"/>
      <c r="C611" s="8" t="e">
        <f>VLOOKUP($B611,#REF!,5,FALSE)</f>
        <v>#REF!</v>
      </c>
      <c r="D611" s="8" t="e">
        <f>VLOOKUP($B611,#REF!,6,FALSE)</f>
        <v>#REF!</v>
      </c>
      <c r="E611" s="9" t="e">
        <f>VLOOKUP($B611,#REF!,17,FALSE)</f>
        <v>#REF!</v>
      </c>
      <c r="F611" s="10" t="e">
        <f>VLOOKUP($B611,#REF!,7,FALSE)</f>
        <v>#REF!</v>
      </c>
      <c r="G611" s="10"/>
      <c r="H611" s="10"/>
      <c r="I611" s="11" t="e">
        <f>VLOOKUP($B611,#REF!,19,FALSE)</f>
        <v>#REF!</v>
      </c>
      <c r="J611" s="11" t="e">
        <f>VLOOKUP($B611,#REF!,6,FALSE)</f>
        <v>#REF!</v>
      </c>
      <c r="L611" s="3">
        <v>44654.100694442488</v>
      </c>
      <c r="M611" s="15"/>
    </row>
    <row r="612" spans="2:13">
      <c r="B612" s="7"/>
      <c r="C612" s="8" t="e">
        <f>VLOOKUP($B612,#REF!,5,FALSE)</f>
        <v>#REF!</v>
      </c>
      <c r="D612" s="8" t="e">
        <f>VLOOKUP($B612,#REF!,6,FALSE)</f>
        <v>#REF!</v>
      </c>
      <c r="E612" s="9" t="e">
        <f>VLOOKUP($B612,#REF!,17,FALSE)</f>
        <v>#REF!</v>
      </c>
      <c r="F612" s="10" t="e">
        <f>VLOOKUP($B612,#REF!,7,FALSE)</f>
        <v>#REF!</v>
      </c>
      <c r="G612" s="10"/>
      <c r="H612" s="10"/>
      <c r="I612" s="11" t="e">
        <f>VLOOKUP($B612,#REF!,19,FALSE)</f>
        <v>#REF!</v>
      </c>
      <c r="J612" s="11" t="e">
        <f>VLOOKUP($B612,#REF!,6,FALSE)</f>
        <v>#REF!</v>
      </c>
      <c r="L612" s="3">
        <v>44654.104166664707</v>
      </c>
      <c r="M612" s="15"/>
    </row>
    <row r="613" spans="2:13">
      <c r="B613" s="7"/>
      <c r="C613" s="8" t="e">
        <f>VLOOKUP($B613,#REF!,5,FALSE)</f>
        <v>#REF!</v>
      </c>
      <c r="D613" s="8" t="e">
        <f>VLOOKUP($B613,#REF!,6,FALSE)</f>
        <v>#REF!</v>
      </c>
      <c r="E613" s="9" t="e">
        <f>VLOOKUP($B613,#REF!,17,FALSE)</f>
        <v>#REF!</v>
      </c>
      <c r="F613" s="10" t="e">
        <f>VLOOKUP($B613,#REF!,7,FALSE)</f>
        <v>#REF!</v>
      </c>
      <c r="G613" s="10"/>
      <c r="H613" s="10"/>
      <c r="I613" s="11" t="e">
        <f>VLOOKUP($B613,#REF!,19,FALSE)</f>
        <v>#REF!</v>
      </c>
      <c r="J613" s="11" t="e">
        <f>VLOOKUP($B613,#REF!,6,FALSE)</f>
        <v>#REF!</v>
      </c>
      <c r="L613" s="3">
        <v>44654.107638886926</v>
      </c>
      <c r="M613" s="15"/>
    </row>
    <row r="614" spans="2:13">
      <c r="B614" s="7"/>
      <c r="C614" s="8" t="e">
        <f>VLOOKUP($B614,#REF!,5,FALSE)</f>
        <v>#REF!</v>
      </c>
      <c r="D614" s="8" t="e">
        <f>VLOOKUP($B614,#REF!,6,FALSE)</f>
        <v>#REF!</v>
      </c>
      <c r="E614" s="9" t="e">
        <f>VLOOKUP($B614,#REF!,17,FALSE)</f>
        <v>#REF!</v>
      </c>
      <c r="F614" s="10" t="e">
        <f>VLOOKUP($B614,#REF!,7,FALSE)</f>
        <v>#REF!</v>
      </c>
      <c r="G614" s="10"/>
      <c r="H614" s="10"/>
      <c r="I614" s="11" t="e">
        <f>VLOOKUP($B614,#REF!,19,FALSE)</f>
        <v>#REF!</v>
      </c>
      <c r="J614" s="11" t="e">
        <f>VLOOKUP($B614,#REF!,6,FALSE)</f>
        <v>#REF!</v>
      </c>
      <c r="L614" s="3">
        <v>44654.111111109145</v>
      </c>
      <c r="M614" s="15"/>
    </row>
    <row r="615" spans="2:13">
      <c r="B615" s="7"/>
      <c r="C615" s="8" t="e">
        <f>VLOOKUP($B615,#REF!,5,FALSE)</f>
        <v>#REF!</v>
      </c>
      <c r="D615" s="8" t="e">
        <f>VLOOKUP($B615,#REF!,6,FALSE)</f>
        <v>#REF!</v>
      </c>
      <c r="E615" s="9" t="e">
        <f>VLOOKUP($B615,#REF!,17,FALSE)</f>
        <v>#REF!</v>
      </c>
      <c r="F615" s="10" t="e">
        <f>VLOOKUP($B615,#REF!,7,FALSE)</f>
        <v>#REF!</v>
      </c>
      <c r="G615" s="10"/>
      <c r="H615" s="10"/>
      <c r="I615" s="11" t="e">
        <f>VLOOKUP($B615,#REF!,19,FALSE)</f>
        <v>#REF!</v>
      </c>
      <c r="J615" s="11" t="e">
        <f>VLOOKUP($B615,#REF!,6,FALSE)</f>
        <v>#REF!</v>
      </c>
      <c r="L615" s="3">
        <v>44654.114583331364</v>
      </c>
      <c r="M615" s="15"/>
    </row>
    <row r="616" spans="2:13">
      <c r="B616" s="7"/>
      <c r="C616" s="8" t="e">
        <f>VLOOKUP($B616,#REF!,5,FALSE)</f>
        <v>#REF!</v>
      </c>
      <c r="D616" s="8" t="e">
        <f>VLOOKUP($B616,#REF!,6,FALSE)</f>
        <v>#REF!</v>
      </c>
      <c r="E616" s="9" t="e">
        <f>VLOOKUP($B616,#REF!,17,FALSE)</f>
        <v>#REF!</v>
      </c>
      <c r="F616" s="10" t="e">
        <f>VLOOKUP($B616,#REF!,7,FALSE)</f>
        <v>#REF!</v>
      </c>
      <c r="G616" s="10"/>
      <c r="H616" s="10"/>
      <c r="I616" s="11" t="e">
        <f>VLOOKUP($B616,#REF!,19,FALSE)</f>
        <v>#REF!</v>
      </c>
      <c r="J616" s="11" t="e">
        <f>VLOOKUP($B616,#REF!,6,FALSE)</f>
        <v>#REF!</v>
      </c>
      <c r="L616" s="3">
        <v>44654.118055553583</v>
      </c>
      <c r="M616" s="15"/>
    </row>
    <row r="617" spans="2:13">
      <c r="B617" s="7"/>
      <c r="C617" s="8" t="e">
        <f>VLOOKUP($B617,#REF!,5,FALSE)</f>
        <v>#REF!</v>
      </c>
      <c r="D617" s="8" t="e">
        <f>VLOOKUP($B617,#REF!,6,FALSE)</f>
        <v>#REF!</v>
      </c>
      <c r="E617" s="9" t="e">
        <f>VLOOKUP($B617,#REF!,17,FALSE)</f>
        <v>#REF!</v>
      </c>
      <c r="F617" s="10" t="e">
        <f>VLOOKUP($B617,#REF!,7,FALSE)</f>
        <v>#REF!</v>
      </c>
      <c r="G617" s="10"/>
      <c r="H617" s="10"/>
      <c r="I617" s="11" t="e">
        <f>VLOOKUP($B617,#REF!,19,FALSE)</f>
        <v>#REF!</v>
      </c>
      <c r="J617" s="11" t="e">
        <f>VLOOKUP($B617,#REF!,6,FALSE)</f>
        <v>#REF!</v>
      </c>
      <c r="L617" s="3">
        <v>44654.121527775802</v>
      </c>
      <c r="M617" s="15"/>
    </row>
    <row r="618" spans="2:13">
      <c r="B618" s="7"/>
      <c r="C618" s="8" t="e">
        <f>VLOOKUP($B618,#REF!,5,FALSE)</f>
        <v>#REF!</v>
      </c>
      <c r="D618" s="8" t="e">
        <f>VLOOKUP($B618,#REF!,6,FALSE)</f>
        <v>#REF!</v>
      </c>
      <c r="E618" s="9" t="e">
        <f>VLOOKUP($B618,#REF!,17,FALSE)</f>
        <v>#REF!</v>
      </c>
      <c r="F618" s="10" t="e">
        <f>VLOOKUP($B618,#REF!,7,FALSE)</f>
        <v>#REF!</v>
      </c>
      <c r="G618" s="10"/>
      <c r="H618" s="10"/>
      <c r="I618" s="11" t="e">
        <f>VLOOKUP($B618,#REF!,19,FALSE)</f>
        <v>#REF!</v>
      </c>
      <c r="J618" s="11" t="e">
        <f>VLOOKUP($B618,#REF!,6,FALSE)</f>
        <v>#REF!</v>
      </c>
      <c r="L618" s="3">
        <v>44654.124999998021</v>
      </c>
      <c r="M618" s="15"/>
    </row>
    <row r="619" spans="2:13">
      <c r="B619" s="7"/>
      <c r="C619" s="8" t="e">
        <f>VLOOKUP($B619,#REF!,5,FALSE)</f>
        <v>#REF!</v>
      </c>
      <c r="D619" s="8" t="e">
        <f>VLOOKUP($B619,#REF!,6,FALSE)</f>
        <v>#REF!</v>
      </c>
      <c r="E619" s="9" t="e">
        <f>VLOOKUP($B619,#REF!,17,FALSE)</f>
        <v>#REF!</v>
      </c>
      <c r="F619" s="10" t="e">
        <f>VLOOKUP($B619,#REF!,7,FALSE)</f>
        <v>#REF!</v>
      </c>
      <c r="G619" s="10"/>
      <c r="H619" s="10"/>
      <c r="I619" s="11" t="e">
        <f>VLOOKUP($B619,#REF!,19,FALSE)</f>
        <v>#REF!</v>
      </c>
      <c r="J619" s="11" t="e">
        <f>VLOOKUP($B619,#REF!,6,FALSE)</f>
        <v>#REF!</v>
      </c>
      <c r="L619" s="3">
        <v>44654.12847222024</v>
      </c>
      <c r="M619" s="15"/>
    </row>
    <row r="620" spans="2:13">
      <c r="B620" s="7"/>
      <c r="C620" s="8" t="e">
        <f>VLOOKUP($B620,#REF!,5,FALSE)</f>
        <v>#REF!</v>
      </c>
      <c r="D620" s="8" t="e">
        <f>VLOOKUP($B620,#REF!,6,FALSE)</f>
        <v>#REF!</v>
      </c>
      <c r="E620" s="9" t="e">
        <f>VLOOKUP($B620,#REF!,17,FALSE)</f>
        <v>#REF!</v>
      </c>
      <c r="F620" s="10" t="e">
        <f>VLOOKUP($B620,#REF!,7,FALSE)</f>
        <v>#REF!</v>
      </c>
      <c r="G620" s="10"/>
      <c r="H620" s="10"/>
      <c r="I620" s="11" t="e">
        <f>VLOOKUP($B620,#REF!,19,FALSE)</f>
        <v>#REF!</v>
      </c>
      <c r="J620" s="11" t="e">
        <f>VLOOKUP($B620,#REF!,6,FALSE)</f>
        <v>#REF!</v>
      </c>
      <c r="L620" s="3">
        <v>44654.131944442459</v>
      </c>
      <c r="M620" s="15"/>
    </row>
    <row r="621" spans="2:13">
      <c r="B621" s="7"/>
      <c r="C621" s="8" t="e">
        <f>VLOOKUP($B621,#REF!,5,FALSE)</f>
        <v>#REF!</v>
      </c>
      <c r="D621" s="8" t="e">
        <f>VLOOKUP($B621,#REF!,6,FALSE)</f>
        <v>#REF!</v>
      </c>
      <c r="E621" s="9" t="e">
        <f>VLOOKUP($B621,#REF!,17,FALSE)</f>
        <v>#REF!</v>
      </c>
      <c r="F621" s="10" t="e">
        <f>VLOOKUP($B621,#REF!,7,FALSE)</f>
        <v>#REF!</v>
      </c>
      <c r="G621" s="10"/>
      <c r="H621" s="10"/>
      <c r="I621" s="11" t="e">
        <f>VLOOKUP($B621,#REF!,19,FALSE)</f>
        <v>#REF!</v>
      </c>
      <c r="J621" s="11" t="e">
        <f>VLOOKUP($B621,#REF!,6,FALSE)</f>
        <v>#REF!</v>
      </c>
      <c r="L621" s="3">
        <v>44654.135416664678</v>
      </c>
      <c r="M621" s="15"/>
    </row>
    <row r="622" spans="2:13">
      <c r="B622" s="7"/>
      <c r="C622" s="8" t="e">
        <f>VLOOKUP($B622,#REF!,5,FALSE)</f>
        <v>#REF!</v>
      </c>
      <c r="D622" s="8" t="e">
        <f>VLOOKUP($B622,#REF!,6,FALSE)</f>
        <v>#REF!</v>
      </c>
      <c r="E622" s="9" t="e">
        <f>VLOOKUP($B622,#REF!,17,FALSE)</f>
        <v>#REF!</v>
      </c>
      <c r="F622" s="10" t="e">
        <f>VLOOKUP($B622,#REF!,7,FALSE)</f>
        <v>#REF!</v>
      </c>
      <c r="G622" s="10"/>
      <c r="H622" s="10"/>
      <c r="I622" s="11" t="e">
        <f>VLOOKUP($B622,#REF!,19,FALSE)</f>
        <v>#REF!</v>
      </c>
      <c r="J622" s="11" t="e">
        <f>VLOOKUP($B622,#REF!,6,FALSE)</f>
        <v>#REF!</v>
      </c>
      <c r="L622" s="3">
        <v>44654.138888886897</v>
      </c>
      <c r="M622" s="15"/>
    </row>
    <row r="623" spans="2:13">
      <c r="B623" s="7"/>
      <c r="C623" s="8" t="e">
        <f>VLOOKUP($B623,#REF!,5,FALSE)</f>
        <v>#REF!</v>
      </c>
      <c r="D623" s="8" t="e">
        <f>VLOOKUP($B623,#REF!,6,FALSE)</f>
        <v>#REF!</v>
      </c>
      <c r="E623" s="9" t="e">
        <f>VLOOKUP($B623,#REF!,17,FALSE)</f>
        <v>#REF!</v>
      </c>
      <c r="F623" s="10" t="e">
        <f>VLOOKUP($B623,#REF!,7,FALSE)</f>
        <v>#REF!</v>
      </c>
      <c r="G623" s="10"/>
      <c r="H623" s="10"/>
      <c r="I623" s="11" t="e">
        <f>VLOOKUP($B623,#REF!,19,FALSE)</f>
        <v>#REF!</v>
      </c>
      <c r="J623" s="11" t="e">
        <f>VLOOKUP($B623,#REF!,6,FALSE)</f>
        <v>#REF!</v>
      </c>
      <c r="L623" s="3">
        <v>44654.142361109116</v>
      </c>
      <c r="M623" s="15"/>
    </row>
    <row r="624" spans="2:13">
      <c r="B624" s="7"/>
      <c r="C624" s="8" t="e">
        <f>VLOOKUP($B624,#REF!,5,FALSE)</f>
        <v>#REF!</v>
      </c>
      <c r="D624" s="8" t="e">
        <f>VLOOKUP($B624,#REF!,6,FALSE)</f>
        <v>#REF!</v>
      </c>
      <c r="E624" s="9" t="e">
        <f>VLOOKUP($B624,#REF!,17,FALSE)</f>
        <v>#REF!</v>
      </c>
      <c r="F624" s="10" t="e">
        <f>VLOOKUP($B624,#REF!,7,FALSE)</f>
        <v>#REF!</v>
      </c>
      <c r="G624" s="10"/>
      <c r="H624" s="10"/>
      <c r="I624" s="11" t="e">
        <f>VLOOKUP($B624,#REF!,19,FALSE)</f>
        <v>#REF!</v>
      </c>
      <c r="J624" s="11" t="e">
        <f>VLOOKUP($B624,#REF!,6,FALSE)</f>
        <v>#REF!</v>
      </c>
      <c r="L624" s="3">
        <v>44654.145833331335</v>
      </c>
      <c r="M624" s="15"/>
    </row>
    <row r="625" spans="2:13">
      <c r="B625" s="7"/>
      <c r="C625" s="8" t="e">
        <f>VLOOKUP($B625,#REF!,5,FALSE)</f>
        <v>#REF!</v>
      </c>
      <c r="D625" s="8" t="e">
        <f>VLOOKUP($B625,#REF!,6,FALSE)</f>
        <v>#REF!</v>
      </c>
      <c r="E625" s="9" t="e">
        <f>VLOOKUP($B625,#REF!,17,FALSE)</f>
        <v>#REF!</v>
      </c>
      <c r="F625" s="10" t="e">
        <f>VLOOKUP($B625,#REF!,7,FALSE)</f>
        <v>#REF!</v>
      </c>
      <c r="G625" s="10"/>
      <c r="H625" s="10"/>
      <c r="I625" s="11" t="e">
        <f>VLOOKUP($B625,#REF!,19,FALSE)</f>
        <v>#REF!</v>
      </c>
      <c r="J625" s="11" t="e">
        <f>VLOOKUP($B625,#REF!,6,FALSE)</f>
        <v>#REF!</v>
      </c>
      <c r="L625" s="3">
        <v>44654.149305553554</v>
      </c>
      <c r="M625" s="15"/>
    </row>
    <row r="626" spans="2:13">
      <c r="B626" s="7"/>
      <c r="C626" s="8" t="e">
        <f>VLOOKUP($B626,#REF!,5,FALSE)</f>
        <v>#REF!</v>
      </c>
      <c r="D626" s="8" t="e">
        <f>VLOOKUP($B626,#REF!,6,FALSE)</f>
        <v>#REF!</v>
      </c>
      <c r="E626" s="9" t="e">
        <f>VLOOKUP($B626,#REF!,17,FALSE)</f>
        <v>#REF!</v>
      </c>
      <c r="F626" s="10" t="e">
        <f>VLOOKUP($B626,#REF!,7,FALSE)</f>
        <v>#REF!</v>
      </c>
      <c r="G626" s="10"/>
      <c r="H626" s="10"/>
      <c r="I626" s="11" t="e">
        <f>VLOOKUP($B626,#REF!,19,FALSE)</f>
        <v>#REF!</v>
      </c>
      <c r="J626" s="11" t="e">
        <f>VLOOKUP($B626,#REF!,6,FALSE)</f>
        <v>#REF!</v>
      </c>
      <c r="L626" s="3">
        <v>44654.152777775773</v>
      </c>
      <c r="M626" s="15"/>
    </row>
    <row r="627" spans="2:13">
      <c r="B627" s="7"/>
      <c r="C627" s="8" t="e">
        <f>VLOOKUP($B627,#REF!,5,FALSE)</f>
        <v>#REF!</v>
      </c>
      <c r="D627" s="8" t="e">
        <f>VLOOKUP($B627,#REF!,6,FALSE)</f>
        <v>#REF!</v>
      </c>
      <c r="E627" s="9" t="e">
        <f>VLOOKUP($B627,#REF!,17,FALSE)</f>
        <v>#REF!</v>
      </c>
      <c r="F627" s="10" t="e">
        <f>VLOOKUP($B627,#REF!,7,FALSE)</f>
        <v>#REF!</v>
      </c>
      <c r="G627" s="10"/>
      <c r="H627" s="10"/>
      <c r="I627" s="11" t="e">
        <f>VLOOKUP($B627,#REF!,19,FALSE)</f>
        <v>#REF!</v>
      </c>
      <c r="J627" s="11" t="e">
        <f>VLOOKUP($B627,#REF!,6,FALSE)</f>
        <v>#REF!</v>
      </c>
      <c r="L627" s="3">
        <v>44654.156249997992</v>
      </c>
      <c r="M627" s="15"/>
    </row>
    <row r="628" spans="2:13">
      <c r="B628" s="7"/>
      <c r="C628" s="8" t="e">
        <f>VLOOKUP($B628,#REF!,5,FALSE)</f>
        <v>#REF!</v>
      </c>
      <c r="D628" s="8" t="e">
        <f>VLOOKUP($B628,#REF!,6,FALSE)</f>
        <v>#REF!</v>
      </c>
      <c r="E628" s="9" t="e">
        <f>VLOOKUP($B628,#REF!,17,FALSE)</f>
        <v>#REF!</v>
      </c>
      <c r="F628" s="10" t="e">
        <f>VLOOKUP($B628,#REF!,7,FALSE)</f>
        <v>#REF!</v>
      </c>
      <c r="G628" s="10"/>
      <c r="H628" s="10"/>
      <c r="I628" s="11" t="e">
        <f>VLOOKUP($B628,#REF!,19,FALSE)</f>
        <v>#REF!</v>
      </c>
      <c r="J628" s="11" t="e">
        <f>VLOOKUP($B628,#REF!,6,FALSE)</f>
        <v>#REF!</v>
      </c>
      <c r="L628" s="3">
        <v>44654.159722220211</v>
      </c>
      <c r="M628" s="15"/>
    </row>
    <row r="629" spans="2:13">
      <c r="B629" s="7"/>
      <c r="C629" s="8" t="e">
        <f>VLOOKUP($B629,#REF!,5,FALSE)</f>
        <v>#REF!</v>
      </c>
      <c r="D629" s="8" t="e">
        <f>VLOOKUP($B629,#REF!,6,FALSE)</f>
        <v>#REF!</v>
      </c>
      <c r="E629" s="9" t="e">
        <f>VLOOKUP($B629,#REF!,17,FALSE)</f>
        <v>#REF!</v>
      </c>
      <c r="F629" s="10" t="e">
        <f>VLOOKUP($B629,#REF!,7,FALSE)</f>
        <v>#REF!</v>
      </c>
      <c r="G629" s="10"/>
      <c r="H629" s="10"/>
      <c r="I629" s="11" t="e">
        <f>VLOOKUP($B629,#REF!,19,FALSE)</f>
        <v>#REF!</v>
      </c>
      <c r="J629" s="11" t="e">
        <f>VLOOKUP($B629,#REF!,6,FALSE)</f>
        <v>#REF!</v>
      </c>
      <c r="L629" s="3">
        <v>44654.16319444243</v>
      </c>
      <c r="M629" s="15"/>
    </row>
    <row r="630" spans="2:13">
      <c r="B630" s="7"/>
      <c r="C630" s="8" t="e">
        <f>VLOOKUP($B630,#REF!,5,FALSE)</f>
        <v>#REF!</v>
      </c>
      <c r="D630" s="8" t="e">
        <f>VLOOKUP($B630,#REF!,6,FALSE)</f>
        <v>#REF!</v>
      </c>
      <c r="E630" s="9" t="e">
        <f>VLOOKUP($B630,#REF!,17,FALSE)</f>
        <v>#REF!</v>
      </c>
      <c r="F630" s="10" t="e">
        <f>VLOOKUP($B630,#REF!,7,FALSE)</f>
        <v>#REF!</v>
      </c>
      <c r="G630" s="10"/>
      <c r="H630" s="10"/>
      <c r="I630" s="11" t="e">
        <f>VLOOKUP($B630,#REF!,19,FALSE)</f>
        <v>#REF!</v>
      </c>
      <c r="J630" s="11" t="e">
        <f>VLOOKUP($B630,#REF!,6,FALSE)</f>
        <v>#REF!</v>
      </c>
      <c r="L630" s="3">
        <v>44654.166666664649</v>
      </c>
      <c r="M630" s="15"/>
    </row>
    <row r="631" spans="2:13">
      <c r="B631" s="7"/>
      <c r="C631" s="8" t="e">
        <f>VLOOKUP($B631,#REF!,5,FALSE)</f>
        <v>#REF!</v>
      </c>
      <c r="D631" s="8" t="e">
        <f>VLOOKUP($B631,#REF!,6,FALSE)</f>
        <v>#REF!</v>
      </c>
      <c r="E631" s="9" t="e">
        <f>VLOOKUP($B631,#REF!,17,FALSE)</f>
        <v>#REF!</v>
      </c>
      <c r="F631" s="10" t="e">
        <f>VLOOKUP($B631,#REF!,7,FALSE)</f>
        <v>#REF!</v>
      </c>
      <c r="G631" s="10"/>
      <c r="H631" s="10"/>
      <c r="I631" s="11" t="e">
        <f>VLOOKUP($B631,#REF!,19,FALSE)</f>
        <v>#REF!</v>
      </c>
      <c r="J631" s="11" t="e">
        <f>VLOOKUP($B631,#REF!,6,FALSE)</f>
        <v>#REF!</v>
      </c>
      <c r="L631" s="3">
        <v>44654.170138886868</v>
      </c>
      <c r="M631" s="15"/>
    </row>
    <row r="632" spans="2:13">
      <c r="B632" s="7"/>
      <c r="C632" s="8" t="e">
        <f>VLOOKUP($B632,#REF!,5,FALSE)</f>
        <v>#REF!</v>
      </c>
      <c r="D632" s="8" t="e">
        <f>VLOOKUP($B632,#REF!,6,FALSE)</f>
        <v>#REF!</v>
      </c>
      <c r="E632" s="9" t="e">
        <f>VLOOKUP($B632,#REF!,17,FALSE)</f>
        <v>#REF!</v>
      </c>
      <c r="F632" s="10" t="e">
        <f>VLOOKUP($B632,#REF!,7,FALSE)</f>
        <v>#REF!</v>
      </c>
      <c r="G632" s="10"/>
      <c r="H632" s="10"/>
      <c r="I632" s="11" t="e">
        <f>VLOOKUP($B632,#REF!,19,FALSE)</f>
        <v>#REF!</v>
      </c>
      <c r="J632" s="11" t="e">
        <f>VLOOKUP($B632,#REF!,6,FALSE)</f>
        <v>#REF!</v>
      </c>
      <c r="L632" s="3">
        <v>44654.173611109087</v>
      </c>
      <c r="M632" s="15"/>
    </row>
    <row r="633" spans="2:13">
      <c r="B633" s="7"/>
      <c r="C633" s="8" t="e">
        <f>VLOOKUP($B633,#REF!,5,FALSE)</f>
        <v>#REF!</v>
      </c>
      <c r="D633" s="8" t="e">
        <f>VLOOKUP($B633,#REF!,6,FALSE)</f>
        <v>#REF!</v>
      </c>
      <c r="E633" s="9" t="e">
        <f>VLOOKUP($B633,#REF!,17,FALSE)</f>
        <v>#REF!</v>
      </c>
      <c r="F633" s="10" t="e">
        <f>VLOOKUP($B633,#REF!,7,FALSE)</f>
        <v>#REF!</v>
      </c>
      <c r="G633" s="10"/>
      <c r="H633" s="10"/>
      <c r="I633" s="11" t="e">
        <f>VLOOKUP($B633,#REF!,19,FALSE)</f>
        <v>#REF!</v>
      </c>
      <c r="J633" s="11" t="e">
        <f>VLOOKUP($B633,#REF!,6,FALSE)</f>
        <v>#REF!</v>
      </c>
      <c r="L633" s="3">
        <v>44654.177083331306</v>
      </c>
      <c r="M633" s="15"/>
    </row>
    <row r="634" spans="2:13">
      <c r="B634" s="7"/>
      <c r="C634" s="8" t="e">
        <f>VLOOKUP($B634,#REF!,5,FALSE)</f>
        <v>#REF!</v>
      </c>
      <c r="D634" s="8" t="e">
        <f>VLOOKUP($B634,#REF!,6,FALSE)</f>
        <v>#REF!</v>
      </c>
      <c r="E634" s="9" t="e">
        <f>VLOOKUP($B634,#REF!,17,FALSE)</f>
        <v>#REF!</v>
      </c>
      <c r="F634" s="10" t="e">
        <f>VLOOKUP($B634,#REF!,7,FALSE)</f>
        <v>#REF!</v>
      </c>
      <c r="G634" s="10"/>
      <c r="H634" s="10"/>
      <c r="I634" s="11" t="e">
        <f>VLOOKUP($B634,#REF!,19,FALSE)</f>
        <v>#REF!</v>
      </c>
      <c r="J634" s="11" t="e">
        <f>VLOOKUP($B634,#REF!,6,FALSE)</f>
        <v>#REF!</v>
      </c>
      <c r="L634" s="3">
        <v>44654.180555553525</v>
      </c>
      <c r="M634" s="15"/>
    </row>
    <row r="635" spans="2:13">
      <c r="B635" s="7"/>
      <c r="C635" s="8" t="e">
        <f>VLOOKUP($B635,#REF!,5,FALSE)</f>
        <v>#REF!</v>
      </c>
      <c r="D635" s="8" t="e">
        <f>VLOOKUP($B635,#REF!,6,FALSE)</f>
        <v>#REF!</v>
      </c>
      <c r="E635" s="9" t="e">
        <f>VLOOKUP($B635,#REF!,17,FALSE)</f>
        <v>#REF!</v>
      </c>
      <c r="F635" s="10" t="e">
        <f>VLOOKUP($B635,#REF!,7,FALSE)</f>
        <v>#REF!</v>
      </c>
      <c r="G635" s="10"/>
      <c r="H635" s="10"/>
      <c r="I635" s="11" t="e">
        <f>VLOOKUP($B635,#REF!,19,FALSE)</f>
        <v>#REF!</v>
      </c>
      <c r="J635" s="11" t="e">
        <f>VLOOKUP($B635,#REF!,6,FALSE)</f>
        <v>#REF!</v>
      </c>
      <c r="L635" s="3">
        <v>44654.184027775744</v>
      </c>
      <c r="M635" s="15"/>
    </row>
    <row r="636" spans="2:13">
      <c r="B636" s="7"/>
      <c r="C636" s="8" t="e">
        <f>VLOOKUP($B636,#REF!,5,FALSE)</f>
        <v>#REF!</v>
      </c>
      <c r="D636" s="8" t="e">
        <f>VLOOKUP($B636,#REF!,6,FALSE)</f>
        <v>#REF!</v>
      </c>
      <c r="E636" s="9" t="e">
        <f>VLOOKUP($B636,#REF!,17,FALSE)</f>
        <v>#REF!</v>
      </c>
      <c r="F636" s="10" t="e">
        <f>VLOOKUP($B636,#REF!,7,FALSE)</f>
        <v>#REF!</v>
      </c>
      <c r="G636" s="10"/>
      <c r="H636" s="10"/>
      <c r="I636" s="11" t="e">
        <f>VLOOKUP($B636,#REF!,19,FALSE)</f>
        <v>#REF!</v>
      </c>
      <c r="J636" s="11" t="e">
        <f>VLOOKUP($B636,#REF!,6,FALSE)</f>
        <v>#REF!</v>
      </c>
      <c r="L636" s="3">
        <v>44654.187499997963</v>
      </c>
      <c r="M636" s="15"/>
    </row>
    <row r="637" spans="2:13">
      <c r="B637" s="7"/>
      <c r="C637" s="8" t="e">
        <f>VLOOKUP($B637,#REF!,5,FALSE)</f>
        <v>#REF!</v>
      </c>
      <c r="D637" s="8" t="e">
        <f>VLOOKUP($B637,#REF!,6,FALSE)</f>
        <v>#REF!</v>
      </c>
      <c r="E637" s="9" t="e">
        <f>VLOOKUP($B637,#REF!,17,FALSE)</f>
        <v>#REF!</v>
      </c>
      <c r="F637" s="10" t="e">
        <f>VLOOKUP($B637,#REF!,7,FALSE)</f>
        <v>#REF!</v>
      </c>
      <c r="G637" s="10"/>
      <c r="H637" s="10"/>
      <c r="I637" s="11" t="e">
        <f>VLOOKUP($B637,#REF!,19,FALSE)</f>
        <v>#REF!</v>
      </c>
      <c r="J637" s="11" t="e">
        <f>VLOOKUP($B637,#REF!,6,FALSE)</f>
        <v>#REF!</v>
      </c>
      <c r="L637" s="3">
        <v>44654.190972220182</v>
      </c>
      <c r="M637" s="15"/>
    </row>
    <row r="638" spans="2:13">
      <c r="B638" s="7"/>
      <c r="C638" s="8" t="e">
        <f>VLOOKUP($B638,#REF!,5,FALSE)</f>
        <v>#REF!</v>
      </c>
      <c r="D638" s="8" t="e">
        <f>VLOOKUP($B638,#REF!,6,FALSE)</f>
        <v>#REF!</v>
      </c>
      <c r="E638" s="9" t="e">
        <f>VLOOKUP($B638,#REF!,17,FALSE)</f>
        <v>#REF!</v>
      </c>
      <c r="F638" s="10" t="e">
        <f>VLOOKUP($B638,#REF!,7,FALSE)</f>
        <v>#REF!</v>
      </c>
      <c r="G638" s="10"/>
      <c r="H638" s="10"/>
      <c r="I638" s="11" t="e">
        <f>VLOOKUP($B638,#REF!,19,FALSE)</f>
        <v>#REF!</v>
      </c>
      <c r="J638" s="11" t="e">
        <f>VLOOKUP($B638,#REF!,6,FALSE)</f>
        <v>#REF!</v>
      </c>
      <c r="L638" s="3">
        <v>44654.194444442401</v>
      </c>
      <c r="M638" s="15"/>
    </row>
    <row r="639" spans="2:13">
      <c r="B639" s="7"/>
      <c r="C639" s="8" t="e">
        <f>VLOOKUP($B639,#REF!,5,FALSE)</f>
        <v>#REF!</v>
      </c>
      <c r="D639" s="8" t="e">
        <f>VLOOKUP($B639,#REF!,6,FALSE)</f>
        <v>#REF!</v>
      </c>
      <c r="E639" s="9" t="e">
        <f>VLOOKUP($B639,#REF!,17,FALSE)</f>
        <v>#REF!</v>
      </c>
      <c r="F639" s="10" t="e">
        <f>VLOOKUP($B639,#REF!,7,FALSE)</f>
        <v>#REF!</v>
      </c>
      <c r="G639" s="10"/>
      <c r="H639" s="10"/>
      <c r="I639" s="11" t="e">
        <f>VLOOKUP($B639,#REF!,19,FALSE)</f>
        <v>#REF!</v>
      </c>
      <c r="J639" s="11" t="e">
        <f>VLOOKUP($B639,#REF!,6,FALSE)</f>
        <v>#REF!</v>
      </c>
      <c r="L639" s="3">
        <v>44654.19791666462</v>
      </c>
      <c r="M639" s="15"/>
    </row>
    <row r="640" spans="2:13">
      <c r="B640" s="7"/>
      <c r="C640" s="8" t="e">
        <f>VLOOKUP($B640,#REF!,5,FALSE)</f>
        <v>#REF!</v>
      </c>
      <c r="D640" s="8" t="e">
        <f>VLOOKUP($B640,#REF!,6,FALSE)</f>
        <v>#REF!</v>
      </c>
      <c r="E640" s="9" t="e">
        <f>VLOOKUP($B640,#REF!,17,FALSE)</f>
        <v>#REF!</v>
      </c>
      <c r="F640" s="10" t="e">
        <f>VLOOKUP($B640,#REF!,7,FALSE)</f>
        <v>#REF!</v>
      </c>
      <c r="G640" s="10"/>
      <c r="H640" s="10"/>
      <c r="I640" s="11" t="e">
        <f>VLOOKUP($B640,#REF!,19,FALSE)</f>
        <v>#REF!</v>
      </c>
      <c r="J640" s="11" t="e">
        <f>VLOOKUP($B640,#REF!,6,FALSE)</f>
        <v>#REF!</v>
      </c>
      <c r="L640" s="3">
        <v>44654.201388886839</v>
      </c>
      <c r="M640" s="15"/>
    </row>
    <row r="641" spans="2:13">
      <c r="B641" s="7"/>
      <c r="C641" s="8" t="e">
        <f>VLOOKUP($B641,#REF!,5,FALSE)</f>
        <v>#REF!</v>
      </c>
      <c r="D641" s="8" t="e">
        <f>VLOOKUP($B641,#REF!,6,FALSE)</f>
        <v>#REF!</v>
      </c>
      <c r="E641" s="9" t="e">
        <f>VLOOKUP($B641,#REF!,17,FALSE)</f>
        <v>#REF!</v>
      </c>
      <c r="F641" s="10" t="e">
        <f>VLOOKUP($B641,#REF!,7,FALSE)</f>
        <v>#REF!</v>
      </c>
      <c r="G641" s="10"/>
      <c r="H641" s="10"/>
      <c r="I641" s="11" t="e">
        <f>VLOOKUP($B641,#REF!,19,FALSE)</f>
        <v>#REF!</v>
      </c>
      <c r="J641" s="11" t="e">
        <f>VLOOKUP($B641,#REF!,6,FALSE)</f>
        <v>#REF!</v>
      </c>
      <c r="L641" s="3">
        <v>44654.204861109058</v>
      </c>
      <c r="M641" s="15"/>
    </row>
    <row r="642" spans="2:13">
      <c r="B642" s="7"/>
      <c r="C642" s="8" t="e">
        <f>VLOOKUP($B642,#REF!,5,FALSE)</f>
        <v>#REF!</v>
      </c>
      <c r="D642" s="8" t="e">
        <f>VLOOKUP($B642,#REF!,6,FALSE)</f>
        <v>#REF!</v>
      </c>
      <c r="E642" s="9" t="e">
        <f>VLOOKUP($B642,#REF!,17,FALSE)</f>
        <v>#REF!</v>
      </c>
      <c r="F642" s="10" t="e">
        <f>VLOOKUP($B642,#REF!,7,FALSE)</f>
        <v>#REF!</v>
      </c>
      <c r="G642" s="10"/>
      <c r="H642" s="10"/>
      <c r="I642" s="11" t="e">
        <f>VLOOKUP($B642,#REF!,19,FALSE)</f>
        <v>#REF!</v>
      </c>
      <c r="J642" s="11" t="e">
        <f>VLOOKUP($B642,#REF!,6,FALSE)</f>
        <v>#REF!</v>
      </c>
      <c r="L642" s="3">
        <v>44654.208333331277</v>
      </c>
      <c r="M642" s="15"/>
    </row>
    <row r="643" spans="2:13">
      <c r="B643" s="7"/>
      <c r="C643" s="8" t="e">
        <f>VLOOKUP($B643,#REF!,5,FALSE)</f>
        <v>#REF!</v>
      </c>
      <c r="D643" s="8" t="e">
        <f>VLOOKUP($B643,#REF!,6,FALSE)</f>
        <v>#REF!</v>
      </c>
      <c r="E643" s="9" t="e">
        <f>VLOOKUP($B643,#REF!,17,FALSE)</f>
        <v>#REF!</v>
      </c>
      <c r="F643" s="10" t="e">
        <f>VLOOKUP($B643,#REF!,7,FALSE)</f>
        <v>#REF!</v>
      </c>
      <c r="G643" s="10"/>
      <c r="H643" s="10"/>
      <c r="I643" s="11" t="e">
        <f>VLOOKUP($B643,#REF!,19,FALSE)</f>
        <v>#REF!</v>
      </c>
      <c r="J643" s="11" t="e">
        <f>VLOOKUP($B643,#REF!,6,FALSE)</f>
        <v>#REF!</v>
      </c>
      <c r="L643" s="3">
        <v>44654.211805553496</v>
      </c>
      <c r="M643" s="15"/>
    </row>
    <row r="644" spans="2:13">
      <c r="B644" s="7"/>
      <c r="C644" s="8" t="e">
        <f>VLOOKUP($B644,#REF!,5,FALSE)</f>
        <v>#REF!</v>
      </c>
      <c r="D644" s="8" t="e">
        <f>VLOOKUP($B644,#REF!,6,FALSE)</f>
        <v>#REF!</v>
      </c>
      <c r="E644" s="9" t="e">
        <f>VLOOKUP($B644,#REF!,17,FALSE)</f>
        <v>#REF!</v>
      </c>
      <c r="F644" s="10" t="e">
        <f>VLOOKUP($B644,#REF!,7,FALSE)</f>
        <v>#REF!</v>
      </c>
      <c r="G644" s="10"/>
      <c r="H644" s="10"/>
      <c r="I644" s="11" t="e">
        <f>VLOOKUP($B644,#REF!,19,FALSE)</f>
        <v>#REF!</v>
      </c>
      <c r="J644" s="11" t="e">
        <f>VLOOKUP($B644,#REF!,6,FALSE)</f>
        <v>#REF!</v>
      </c>
      <c r="L644" s="3">
        <v>44654.215277775715</v>
      </c>
      <c r="M644" s="15"/>
    </row>
    <row r="645" spans="2:13">
      <c r="B645" s="7"/>
      <c r="C645" s="8" t="e">
        <f>VLOOKUP($B645,#REF!,5,FALSE)</f>
        <v>#REF!</v>
      </c>
      <c r="D645" s="8" t="e">
        <f>VLOOKUP($B645,#REF!,6,FALSE)</f>
        <v>#REF!</v>
      </c>
      <c r="E645" s="9" t="e">
        <f>VLOOKUP($B645,#REF!,17,FALSE)</f>
        <v>#REF!</v>
      </c>
      <c r="F645" s="10" t="e">
        <f>VLOOKUP($B645,#REF!,7,FALSE)</f>
        <v>#REF!</v>
      </c>
      <c r="G645" s="10"/>
      <c r="H645" s="10"/>
      <c r="I645" s="11" t="e">
        <f>VLOOKUP($B645,#REF!,19,FALSE)</f>
        <v>#REF!</v>
      </c>
      <c r="J645" s="11" t="e">
        <f>VLOOKUP($B645,#REF!,6,FALSE)</f>
        <v>#REF!</v>
      </c>
      <c r="L645" s="3">
        <v>44654.218749997934</v>
      </c>
      <c r="M645" s="15"/>
    </row>
    <row r="646" spans="2:13">
      <c r="B646" s="7"/>
      <c r="C646" s="8" t="e">
        <f>VLOOKUP($B646,#REF!,5,FALSE)</f>
        <v>#REF!</v>
      </c>
      <c r="D646" s="8" t="e">
        <f>VLOOKUP($B646,#REF!,6,FALSE)</f>
        <v>#REF!</v>
      </c>
      <c r="E646" s="9" t="e">
        <f>VLOOKUP($B646,#REF!,17,FALSE)</f>
        <v>#REF!</v>
      </c>
      <c r="F646" s="10" t="e">
        <f>VLOOKUP($B646,#REF!,7,FALSE)</f>
        <v>#REF!</v>
      </c>
      <c r="G646" s="10"/>
      <c r="H646" s="10"/>
      <c r="I646" s="11" t="e">
        <f>VLOOKUP($B646,#REF!,19,FALSE)</f>
        <v>#REF!</v>
      </c>
      <c r="J646" s="11" t="e">
        <f>VLOOKUP($B646,#REF!,6,FALSE)</f>
        <v>#REF!</v>
      </c>
      <c r="L646" s="3">
        <v>44654.222222220153</v>
      </c>
      <c r="M646" s="15"/>
    </row>
    <row r="647" spans="2:13">
      <c r="B647" s="7"/>
      <c r="C647" s="8" t="e">
        <f>VLOOKUP($B647,#REF!,5,FALSE)</f>
        <v>#REF!</v>
      </c>
      <c r="D647" s="8" t="e">
        <f>VLOOKUP($B647,#REF!,6,FALSE)</f>
        <v>#REF!</v>
      </c>
      <c r="E647" s="9" t="e">
        <f>VLOOKUP($B647,#REF!,17,FALSE)</f>
        <v>#REF!</v>
      </c>
      <c r="F647" s="10" t="e">
        <f>VLOOKUP($B647,#REF!,7,FALSE)</f>
        <v>#REF!</v>
      </c>
      <c r="G647" s="10"/>
      <c r="H647" s="10"/>
      <c r="I647" s="11" t="e">
        <f>VLOOKUP($B647,#REF!,19,FALSE)</f>
        <v>#REF!</v>
      </c>
      <c r="J647" s="11" t="e">
        <f>VLOOKUP($B647,#REF!,6,FALSE)</f>
        <v>#REF!</v>
      </c>
      <c r="L647" s="3">
        <v>44654.225694442372</v>
      </c>
      <c r="M647" s="15"/>
    </row>
    <row r="648" spans="2:13">
      <c r="B648" s="7"/>
      <c r="C648" s="8" t="e">
        <f>VLOOKUP($B648,#REF!,5,FALSE)</f>
        <v>#REF!</v>
      </c>
      <c r="D648" s="8" t="e">
        <f>VLOOKUP($B648,#REF!,6,FALSE)</f>
        <v>#REF!</v>
      </c>
      <c r="E648" s="9" t="e">
        <f>VLOOKUP($B648,#REF!,17,FALSE)</f>
        <v>#REF!</v>
      </c>
      <c r="F648" s="10" t="e">
        <f>VLOOKUP($B648,#REF!,7,FALSE)</f>
        <v>#REF!</v>
      </c>
      <c r="G648" s="10"/>
      <c r="H648" s="10"/>
      <c r="I648" s="11" t="e">
        <f>VLOOKUP($B648,#REF!,19,FALSE)</f>
        <v>#REF!</v>
      </c>
      <c r="J648" s="11" t="e">
        <f>VLOOKUP($B648,#REF!,6,FALSE)</f>
        <v>#REF!</v>
      </c>
      <c r="L648" s="3">
        <v>44654.229166664591</v>
      </c>
      <c r="M648" s="15"/>
    </row>
    <row r="649" spans="2:13">
      <c r="B649" s="7"/>
      <c r="C649" s="8" t="e">
        <f>VLOOKUP($B649,#REF!,5,FALSE)</f>
        <v>#REF!</v>
      </c>
      <c r="D649" s="8" t="e">
        <f>VLOOKUP($B649,#REF!,6,FALSE)</f>
        <v>#REF!</v>
      </c>
      <c r="E649" s="9" t="e">
        <f>VLOOKUP($B649,#REF!,17,FALSE)</f>
        <v>#REF!</v>
      </c>
      <c r="F649" s="10" t="e">
        <f>VLOOKUP($B649,#REF!,7,FALSE)</f>
        <v>#REF!</v>
      </c>
      <c r="G649" s="10"/>
      <c r="H649" s="10"/>
      <c r="I649" s="11" t="e">
        <f>VLOOKUP($B649,#REF!,19,FALSE)</f>
        <v>#REF!</v>
      </c>
      <c r="J649" s="11" t="e">
        <f>VLOOKUP($B649,#REF!,6,FALSE)</f>
        <v>#REF!</v>
      </c>
      <c r="L649" s="3">
        <v>44654.23263888681</v>
      </c>
      <c r="M649" s="15"/>
    </row>
    <row r="650" spans="2:13">
      <c r="B650" s="7"/>
      <c r="C650" s="8" t="e">
        <f>VLOOKUP($B650,#REF!,5,FALSE)</f>
        <v>#REF!</v>
      </c>
      <c r="D650" s="8" t="e">
        <f>VLOOKUP($B650,#REF!,6,FALSE)</f>
        <v>#REF!</v>
      </c>
      <c r="E650" s="9" t="e">
        <f>VLOOKUP($B650,#REF!,17,FALSE)</f>
        <v>#REF!</v>
      </c>
      <c r="F650" s="10" t="e">
        <f>VLOOKUP($B650,#REF!,7,FALSE)</f>
        <v>#REF!</v>
      </c>
      <c r="G650" s="10"/>
      <c r="H650" s="10"/>
      <c r="I650" s="11" t="e">
        <f>VLOOKUP($B650,#REF!,19,FALSE)</f>
        <v>#REF!</v>
      </c>
      <c r="J650" s="11" t="e">
        <f>VLOOKUP($B650,#REF!,6,FALSE)</f>
        <v>#REF!</v>
      </c>
      <c r="L650" s="3">
        <v>44654.236111109029</v>
      </c>
      <c r="M650" s="15"/>
    </row>
    <row r="651" spans="2:13">
      <c r="B651" s="7"/>
      <c r="C651" s="8" t="e">
        <f>VLOOKUP($B651,#REF!,5,FALSE)</f>
        <v>#REF!</v>
      </c>
      <c r="D651" s="8" t="e">
        <f>VLOOKUP($B651,#REF!,6,FALSE)</f>
        <v>#REF!</v>
      </c>
      <c r="E651" s="9" t="e">
        <f>VLOOKUP($B651,#REF!,17,FALSE)</f>
        <v>#REF!</v>
      </c>
      <c r="F651" s="10" t="e">
        <f>VLOOKUP($B651,#REF!,7,FALSE)</f>
        <v>#REF!</v>
      </c>
      <c r="G651" s="10"/>
      <c r="H651" s="10"/>
      <c r="I651" s="11" t="e">
        <f>VLOOKUP($B651,#REF!,19,FALSE)</f>
        <v>#REF!</v>
      </c>
      <c r="J651" s="11" t="e">
        <f>VLOOKUP($B651,#REF!,6,FALSE)</f>
        <v>#REF!</v>
      </c>
      <c r="L651" s="3">
        <v>44654.239583331248</v>
      </c>
      <c r="M651" s="15"/>
    </row>
    <row r="652" spans="2:13">
      <c r="B652" s="7"/>
      <c r="C652" s="8" t="e">
        <f>VLOOKUP($B652,#REF!,5,FALSE)</f>
        <v>#REF!</v>
      </c>
      <c r="D652" s="8" t="e">
        <f>VLOOKUP($B652,#REF!,6,FALSE)</f>
        <v>#REF!</v>
      </c>
      <c r="E652" s="9" t="e">
        <f>VLOOKUP($B652,#REF!,17,FALSE)</f>
        <v>#REF!</v>
      </c>
      <c r="F652" s="10" t="e">
        <f>VLOOKUP($B652,#REF!,7,FALSE)</f>
        <v>#REF!</v>
      </c>
      <c r="G652" s="10"/>
      <c r="H652" s="10"/>
      <c r="I652" s="11" t="e">
        <f>VLOOKUP($B652,#REF!,19,FALSE)</f>
        <v>#REF!</v>
      </c>
      <c r="J652" s="11" t="e">
        <f>VLOOKUP($B652,#REF!,6,FALSE)</f>
        <v>#REF!</v>
      </c>
      <c r="L652" s="3">
        <v>44654.243055553467</v>
      </c>
      <c r="M652" s="15"/>
    </row>
    <row r="653" spans="2:13">
      <c r="B653" s="7"/>
      <c r="C653" s="8" t="e">
        <f>VLOOKUP($B653,#REF!,5,FALSE)</f>
        <v>#REF!</v>
      </c>
      <c r="D653" s="8" t="e">
        <f>VLOOKUP($B653,#REF!,6,FALSE)</f>
        <v>#REF!</v>
      </c>
      <c r="E653" s="9" t="e">
        <f>VLOOKUP($B653,#REF!,17,FALSE)</f>
        <v>#REF!</v>
      </c>
      <c r="F653" s="10" t="e">
        <f>VLOOKUP($B653,#REF!,7,FALSE)</f>
        <v>#REF!</v>
      </c>
      <c r="G653" s="10"/>
      <c r="H653" s="10"/>
      <c r="I653" s="11" t="e">
        <f>VLOOKUP($B653,#REF!,19,FALSE)</f>
        <v>#REF!</v>
      </c>
      <c r="J653" s="11" t="e">
        <f>VLOOKUP($B653,#REF!,6,FALSE)</f>
        <v>#REF!</v>
      </c>
      <c r="L653" s="3">
        <v>44654.246527775686</v>
      </c>
      <c r="M653" s="15"/>
    </row>
    <row r="654" spans="2:13">
      <c r="B654" s="7"/>
      <c r="C654" s="8" t="e">
        <f>VLOOKUP($B654,#REF!,5,FALSE)</f>
        <v>#REF!</v>
      </c>
      <c r="D654" s="8" t="e">
        <f>VLOOKUP($B654,#REF!,6,FALSE)</f>
        <v>#REF!</v>
      </c>
      <c r="E654" s="9" t="e">
        <f>VLOOKUP($B654,#REF!,17,FALSE)</f>
        <v>#REF!</v>
      </c>
      <c r="F654" s="10" t="e">
        <f>VLOOKUP($B654,#REF!,7,FALSE)</f>
        <v>#REF!</v>
      </c>
      <c r="G654" s="10"/>
      <c r="H654" s="10"/>
      <c r="I654" s="11" t="e">
        <f>VLOOKUP($B654,#REF!,19,FALSE)</f>
        <v>#REF!</v>
      </c>
      <c r="J654" s="11" t="e">
        <f>VLOOKUP($B654,#REF!,6,FALSE)</f>
        <v>#REF!</v>
      </c>
      <c r="L654" s="3">
        <v>44654.249999997905</v>
      </c>
      <c r="M654" s="15"/>
    </row>
    <row r="655" spans="2:13">
      <c r="B655" s="7"/>
      <c r="C655" s="8" t="e">
        <f>VLOOKUP($B655,#REF!,5,FALSE)</f>
        <v>#REF!</v>
      </c>
      <c r="D655" s="8" t="e">
        <f>VLOOKUP($B655,#REF!,6,FALSE)</f>
        <v>#REF!</v>
      </c>
      <c r="E655" s="9" t="e">
        <f>VLOOKUP($B655,#REF!,17,FALSE)</f>
        <v>#REF!</v>
      </c>
      <c r="F655" s="10" t="e">
        <f>VLOOKUP($B655,#REF!,7,FALSE)</f>
        <v>#REF!</v>
      </c>
      <c r="G655" s="10"/>
      <c r="H655" s="10"/>
      <c r="I655" s="11" t="e">
        <f>VLOOKUP($B655,#REF!,19,FALSE)</f>
        <v>#REF!</v>
      </c>
      <c r="J655" s="11" t="e">
        <f>VLOOKUP($B655,#REF!,6,FALSE)</f>
        <v>#REF!</v>
      </c>
      <c r="L655" s="3">
        <v>44654.253472220124</v>
      </c>
      <c r="M655" s="15"/>
    </row>
    <row r="656" spans="2:13">
      <c r="B656" s="7"/>
      <c r="C656" s="8" t="e">
        <f>VLOOKUP($B656,#REF!,5,FALSE)</f>
        <v>#REF!</v>
      </c>
      <c r="D656" s="8" t="e">
        <f>VLOOKUP($B656,#REF!,6,FALSE)</f>
        <v>#REF!</v>
      </c>
      <c r="E656" s="9" t="e">
        <f>VLOOKUP($B656,#REF!,17,FALSE)</f>
        <v>#REF!</v>
      </c>
      <c r="F656" s="10" t="e">
        <f>VLOOKUP($B656,#REF!,7,FALSE)</f>
        <v>#REF!</v>
      </c>
      <c r="G656" s="10"/>
      <c r="H656" s="10"/>
      <c r="I656" s="11" t="e">
        <f>VLOOKUP($B656,#REF!,19,FALSE)</f>
        <v>#REF!</v>
      </c>
      <c r="J656" s="11" t="e">
        <f>VLOOKUP($B656,#REF!,6,FALSE)</f>
        <v>#REF!</v>
      </c>
      <c r="L656" s="3">
        <v>44654.256944442343</v>
      </c>
      <c r="M656" s="15"/>
    </row>
    <row r="657" spans="2:13">
      <c r="B657" s="7"/>
      <c r="C657" s="8" t="e">
        <f>VLOOKUP($B657,#REF!,5,FALSE)</f>
        <v>#REF!</v>
      </c>
      <c r="D657" s="8" t="e">
        <f>VLOOKUP($B657,#REF!,6,FALSE)</f>
        <v>#REF!</v>
      </c>
      <c r="E657" s="9" t="e">
        <f>VLOOKUP($B657,#REF!,17,FALSE)</f>
        <v>#REF!</v>
      </c>
      <c r="F657" s="10" t="e">
        <f>VLOOKUP($B657,#REF!,7,FALSE)</f>
        <v>#REF!</v>
      </c>
      <c r="G657" s="10"/>
      <c r="H657" s="10"/>
      <c r="I657" s="11" t="e">
        <f>VLOOKUP($B657,#REF!,19,FALSE)</f>
        <v>#REF!</v>
      </c>
      <c r="J657" s="11" t="e">
        <f>VLOOKUP($B657,#REF!,6,FALSE)</f>
        <v>#REF!</v>
      </c>
      <c r="L657" s="3">
        <v>44654.260416664561</v>
      </c>
      <c r="M657" s="15"/>
    </row>
    <row r="658" spans="2:13">
      <c r="B658" s="7"/>
      <c r="C658" s="8" t="e">
        <f>VLOOKUP($B658,#REF!,5,FALSE)</f>
        <v>#REF!</v>
      </c>
      <c r="D658" s="8" t="e">
        <f>VLOOKUP($B658,#REF!,6,FALSE)</f>
        <v>#REF!</v>
      </c>
      <c r="E658" s="9" t="e">
        <f>VLOOKUP($B658,#REF!,17,FALSE)</f>
        <v>#REF!</v>
      </c>
      <c r="F658" s="10" t="e">
        <f>VLOOKUP($B658,#REF!,7,FALSE)</f>
        <v>#REF!</v>
      </c>
      <c r="G658" s="10"/>
      <c r="H658" s="10"/>
      <c r="I658" s="11" t="e">
        <f>VLOOKUP($B658,#REF!,19,FALSE)</f>
        <v>#REF!</v>
      </c>
      <c r="J658" s="11" t="e">
        <f>VLOOKUP($B658,#REF!,6,FALSE)</f>
        <v>#REF!</v>
      </c>
      <c r="L658" s="3">
        <v>44654.26388888678</v>
      </c>
      <c r="M658" s="15"/>
    </row>
    <row r="659" spans="2:13">
      <c r="B659" s="7"/>
      <c r="C659" s="8" t="e">
        <f>VLOOKUP($B659,#REF!,5,FALSE)</f>
        <v>#REF!</v>
      </c>
      <c r="D659" s="8" t="e">
        <f>VLOOKUP($B659,#REF!,6,FALSE)</f>
        <v>#REF!</v>
      </c>
      <c r="E659" s="9" t="e">
        <f>VLOOKUP($B659,#REF!,17,FALSE)</f>
        <v>#REF!</v>
      </c>
      <c r="F659" s="10" t="e">
        <f>VLOOKUP($B659,#REF!,7,FALSE)</f>
        <v>#REF!</v>
      </c>
      <c r="G659" s="10"/>
      <c r="H659" s="10"/>
      <c r="I659" s="11" t="e">
        <f>VLOOKUP($B659,#REF!,19,FALSE)</f>
        <v>#REF!</v>
      </c>
      <c r="J659" s="11" t="e">
        <f>VLOOKUP($B659,#REF!,6,FALSE)</f>
        <v>#REF!</v>
      </c>
      <c r="L659" s="3">
        <v>44654.267361108999</v>
      </c>
      <c r="M659" s="15"/>
    </row>
    <row r="660" spans="2:13">
      <c r="B660" s="7"/>
      <c r="C660" s="8" t="e">
        <f>VLOOKUP($B660,#REF!,5,FALSE)</f>
        <v>#REF!</v>
      </c>
      <c r="D660" s="8" t="e">
        <f>VLOOKUP($B660,#REF!,6,FALSE)</f>
        <v>#REF!</v>
      </c>
      <c r="E660" s="9" t="e">
        <f>VLOOKUP($B660,#REF!,17,FALSE)</f>
        <v>#REF!</v>
      </c>
      <c r="F660" s="10" t="e">
        <f>VLOOKUP($B660,#REF!,7,FALSE)</f>
        <v>#REF!</v>
      </c>
      <c r="G660" s="10"/>
      <c r="H660" s="10"/>
      <c r="I660" s="11" t="e">
        <f>VLOOKUP($B660,#REF!,19,FALSE)</f>
        <v>#REF!</v>
      </c>
      <c r="J660" s="11" t="e">
        <f>VLOOKUP($B660,#REF!,6,FALSE)</f>
        <v>#REF!</v>
      </c>
      <c r="L660" s="3">
        <v>44654.270833331218</v>
      </c>
      <c r="M660" s="15"/>
    </row>
    <row r="661" spans="2:13">
      <c r="B661" s="7"/>
      <c r="C661" s="8" t="e">
        <f>VLOOKUP($B661,#REF!,5,FALSE)</f>
        <v>#REF!</v>
      </c>
      <c r="D661" s="8" t="e">
        <f>VLOOKUP($B661,#REF!,6,FALSE)</f>
        <v>#REF!</v>
      </c>
      <c r="E661" s="9" t="e">
        <f>VLOOKUP($B661,#REF!,17,FALSE)</f>
        <v>#REF!</v>
      </c>
      <c r="F661" s="10" t="e">
        <f>VLOOKUP($B661,#REF!,7,FALSE)</f>
        <v>#REF!</v>
      </c>
      <c r="G661" s="10"/>
      <c r="H661" s="10"/>
      <c r="I661" s="11" t="e">
        <f>VLOOKUP($B661,#REF!,19,FALSE)</f>
        <v>#REF!</v>
      </c>
      <c r="J661" s="11" t="e">
        <f>VLOOKUP($B661,#REF!,6,FALSE)</f>
        <v>#REF!</v>
      </c>
      <c r="L661" s="3">
        <v>44654.274305553437</v>
      </c>
      <c r="M661" s="15"/>
    </row>
    <row r="662" spans="2:13">
      <c r="B662" s="7"/>
      <c r="C662" s="8" t="e">
        <f>VLOOKUP($B662,#REF!,5,FALSE)</f>
        <v>#REF!</v>
      </c>
      <c r="D662" s="8" t="e">
        <f>VLOOKUP($B662,#REF!,6,FALSE)</f>
        <v>#REF!</v>
      </c>
      <c r="E662" s="9" t="e">
        <f>VLOOKUP($B662,#REF!,17,FALSE)</f>
        <v>#REF!</v>
      </c>
      <c r="F662" s="10" t="e">
        <f>VLOOKUP($B662,#REF!,7,FALSE)</f>
        <v>#REF!</v>
      </c>
      <c r="G662" s="10"/>
      <c r="H662" s="10"/>
      <c r="I662" s="11" t="e">
        <f>VLOOKUP($B662,#REF!,19,FALSE)</f>
        <v>#REF!</v>
      </c>
      <c r="J662" s="11" t="e">
        <f>VLOOKUP($B662,#REF!,6,FALSE)</f>
        <v>#REF!</v>
      </c>
      <c r="L662" s="3">
        <v>44654.277777775656</v>
      </c>
      <c r="M662" s="15"/>
    </row>
    <row r="663" spans="2:13">
      <c r="B663" s="7"/>
      <c r="C663" s="8" t="e">
        <f>VLOOKUP($B663,#REF!,5,FALSE)</f>
        <v>#REF!</v>
      </c>
      <c r="D663" s="8" t="e">
        <f>VLOOKUP($B663,#REF!,6,FALSE)</f>
        <v>#REF!</v>
      </c>
      <c r="E663" s="9" t="e">
        <f>VLOOKUP($B663,#REF!,17,FALSE)</f>
        <v>#REF!</v>
      </c>
      <c r="F663" s="10" t="e">
        <f>VLOOKUP($B663,#REF!,7,FALSE)</f>
        <v>#REF!</v>
      </c>
      <c r="G663" s="10"/>
      <c r="H663" s="10"/>
      <c r="I663" s="11" t="e">
        <f>VLOOKUP($B663,#REF!,19,FALSE)</f>
        <v>#REF!</v>
      </c>
      <c r="J663" s="11" t="e">
        <f>VLOOKUP($B663,#REF!,6,FALSE)</f>
        <v>#REF!</v>
      </c>
      <c r="L663" s="3">
        <v>44654.281249997875</v>
      </c>
      <c r="M663" s="15"/>
    </row>
    <row r="664" spans="2:13">
      <c r="B664" s="7"/>
      <c r="C664" s="8" t="e">
        <f>VLOOKUP($B664,#REF!,5,FALSE)</f>
        <v>#REF!</v>
      </c>
      <c r="D664" s="8" t="e">
        <f>VLOOKUP($B664,#REF!,6,FALSE)</f>
        <v>#REF!</v>
      </c>
      <c r="E664" s="9" t="e">
        <f>VLOOKUP($B664,#REF!,17,FALSE)</f>
        <v>#REF!</v>
      </c>
      <c r="F664" s="10" t="e">
        <f>VLOOKUP($B664,#REF!,7,FALSE)</f>
        <v>#REF!</v>
      </c>
      <c r="G664" s="10"/>
      <c r="H664" s="10"/>
      <c r="I664" s="11" t="e">
        <f>VLOOKUP($B664,#REF!,19,FALSE)</f>
        <v>#REF!</v>
      </c>
      <c r="J664" s="11" t="e">
        <f>VLOOKUP($B664,#REF!,6,FALSE)</f>
        <v>#REF!</v>
      </c>
      <c r="L664" s="3">
        <v>44654.284722220094</v>
      </c>
      <c r="M664" s="15"/>
    </row>
    <row r="665" spans="2:13">
      <c r="B665" s="7"/>
      <c r="C665" s="8" t="e">
        <f>VLOOKUP($B665,#REF!,5,FALSE)</f>
        <v>#REF!</v>
      </c>
      <c r="D665" s="8" t="e">
        <f>VLOOKUP($B665,#REF!,6,FALSE)</f>
        <v>#REF!</v>
      </c>
      <c r="E665" s="9" t="e">
        <f>VLOOKUP($B665,#REF!,17,FALSE)</f>
        <v>#REF!</v>
      </c>
      <c r="F665" s="10" t="e">
        <f>VLOOKUP($B665,#REF!,7,FALSE)</f>
        <v>#REF!</v>
      </c>
      <c r="G665" s="10"/>
      <c r="H665" s="10"/>
      <c r="I665" s="11" t="e">
        <f>VLOOKUP($B665,#REF!,19,FALSE)</f>
        <v>#REF!</v>
      </c>
      <c r="J665" s="11" t="e">
        <f>VLOOKUP($B665,#REF!,6,FALSE)</f>
        <v>#REF!</v>
      </c>
      <c r="L665" s="3">
        <v>44654.288194442313</v>
      </c>
      <c r="M665" s="15"/>
    </row>
    <row r="666" spans="2:13">
      <c r="B666" s="7"/>
      <c r="C666" s="8" t="e">
        <f>VLOOKUP($B666,#REF!,5,FALSE)</f>
        <v>#REF!</v>
      </c>
      <c r="D666" s="8" t="e">
        <f>VLOOKUP($B666,#REF!,6,FALSE)</f>
        <v>#REF!</v>
      </c>
      <c r="E666" s="9" t="e">
        <f>VLOOKUP($B666,#REF!,17,FALSE)</f>
        <v>#REF!</v>
      </c>
      <c r="F666" s="10" t="e">
        <f>VLOOKUP($B666,#REF!,7,FALSE)</f>
        <v>#REF!</v>
      </c>
      <c r="G666" s="10"/>
      <c r="H666" s="10"/>
      <c r="I666" s="11" t="e">
        <f>VLOOKUP($B666,#REF!,19,FALSE)</f>
        <v>#REF!</v>
      </c>
      <c r="J666" s="11" t="e">
        <f>VLOOKUP($B666,#REF!,6,FALSE)</f>
        <v>#REF!</v>
      </c>
      <c r="L666" s="3">
        <v>44654.291666664532</v>
      </c>
      <c r="M666" s="15"/>
    </row>
    <row r="667" spans="2:13">
      <c r="B667" s="7"/>
      <c r="C667" s="8" t="e">
        <f>VLOOKUP($B667,#REF!,5,FALSE)</f>
        <v>#REF!</v>
      </c>
      <c r="D667" s="8" t="e">
        <f>VLOOKUP($B667,#REF!,6,FALSE)</f>
        <v>#REF!</v>
      </c>
      <c r="E667" s="9" t="e">
        <f>VLOOKUP($B667,#REF!,17,FALSE)</f>
        <v>#REF!</v>
      </c>
      <c r="F667" s="10" t="e">
        <f>VLOOKUP($B667,#REF!,7,FALSE)</f>
        <v>#REF!</v>
      </c>
      <c r="G667" s="10"/>
      <c r="H667" s="10"/>
      <c r="I667" s="11" t="e">
        <f>VLOOKUP($B667,#REF!,19,FALSE)</f>
        <v>#REF!</v>
      </c>
      <c r="J667" s="11" t="e">
        <f>VLOOKUP($B667,#REF!,6,FALSE)</f>
        <v>#REF!</v>
      </c>
      <c r="L667" s="3">
        <v>44654.295138886751</v>
      </c>
      <c r="M667" s="15"/>
    </row>
    <row r="668" spans="2:13">
      <c r="B668" s="7"/>
      <c r="C668" s="8" t="e">
        <f>VLOOKUP($B668,#REF!,5,FALSE)</f>
        <v>#REF!</v>
      </c>
      <c r="D668" s="8" t="e">
        <f>VLOOKUP($B668,#REF!,6,FALSE)</f>
        <v>#REF!</v>
      </c>
      <c r="E668" s="9" t="e">
        <f>VLOOKUP($B668,#REF!,17,FALSE)</f>
        <v>#REF!</v>
      </c>
      <c r="F668" s="10" t="e">
        <f>VLOOKUP($B668,#REF!,7,FALSE)</f>
        <v>#REF!</v>
      </c>
      <c r="G668" s="10"/>
      <c r="H668" s="10"/>
      <c r="I668" s="11" t="e">
        <f>VLOOKUP($B668,#REF!,19,FALSE)</f>
        <v>#REF!</v>
      </c>
      <c r="J668" s="11" t="e">
        <f>VLOOKUP($B668,#REF!,6,FALSE)</f>
        <v>#REF!</v>
      </c>
      <c r="L668" s="3">
        <v>44654.29861110897</v>
      </c>
      <c r="M668" s="15"/>
    </row>
    <row r="669" spans="2:13">
      <c r="B669" s="7"/>
      <c r="C669" s="8" t="e">
        <f>VLOOKUP($B669,#REF!,5,FALSE)</f>
        <v>#REF!</v>
      </c>
      <c r="D669" s="8" t="e">
        <f>VLOOKUP($B669,#REF!,6,FALSE)</f>
        <v>#REF!</v>
      </c>
      <c r="E669" s="9" t="e">
        <f>VLOOKUP($B669,#REF!,17,FALSE)</f>
        <v>#REF!</v>
      </c>
      <c r="F669" s="10" t="e">
        <f>VLOOKUP($B669,#REF!,7,FALSE)</f>
        <v>#REF!</v>
      </c>
      <c r="G669" s="10"/>
      <c r="H669" s="10"/>
      <c r="I669" s="11" t="e">
        <f>VLOOKUP($B669,#REF!,19,FALSE)</f>
        <v>#REF!</v>
      </c>
      <c r="J669" s="11" t="e">
        <f>VLOOKUP($B669,#REF!,6,FALSE)</f>
        <v>#REF!</v>
      </c>
      <c r="L669" s="3">
        <v>44654.302083331189</v>
      </c>
      <c r="M669" s="15"/>
    </row>
    <row r="670" spans="2:13">
      <c r="B670" s="7"/>
      <c r="C670" s="8" t="e">
        <f>VLOOKUP($B670,#REF!,5,FALSE)</f>
        <v>#REF!</v>
      </c>
      <c r="D670" s="8" t="e">
        <f>VLOOKUP($B670,#REF!,6,FALSE)</f>
        <v>#REF!</v>
      </c>
      <c r="E670" s="9" t="e">
        <f>VLOOKUP($B670,#REF!,17,FALSE)</f>
        <v>#REF!</v>
      </c>
      <c r="F670" s="10" t="e">
        <f>VLOOKUP($B670,#REF!,7,FALSE)</f>
        <v>#REF!</v>
      </c>
      <c r="G670" s="10"/>
      <c r="H670" s="10"/>
      <c r="I670" s="11" t="e">
        <f>VLOOKUP($B670,#REF!,19,FALSE)</f>
        <v>#REF!</v>
      </c>
      <c r="J670" s="11" t="e">
        <f>VLOOKUP($B670,#REF!,6,FALSE)</f>
        <v>#REF!</v>
      </c>
      <c r="L670" s="3">
        <v>44654.305555553408</v>
      </c>
      <c r="M670" s="15"/>
    </row>
    <row r="671" spans="2:13">
      <c r="B671" s="7"/>
      <c r="C671" s="8" t="e">
        <f>VLOOKUP($B671,#REF!,5,FALSE)</f>
        <v>#REF!</v>
      </c>
      <c r="D671" s="8" t="e">
        <f>VLOOKUP($B671,#REF!,6,FALSE)</f>
        <v>#REF!</v>
      </c>
      <c r="E671" s="9" t="e">
        <f>VLOOKUP($B671,#REF!,17,FALSE)</f>
        <v>#REF!</v>
      </c>
      <c r="F671" s="10" t="e">
        <f>VLOOKUP($B671,#REF!,7,FALSE)</f>
        <v>#REF!</v>
      </c>
      <c r="G671" s="10"/>
      <c r="H671" s="10"/>
      <c r="I671" s="11" t="e">
        <f>VLOOKUP($B671,#REF!,19,FALSE)</f>
        <v>#REF!</v>
      </c>
      <c r="J671" s="11" t="e">
        <f>VLOOKUP($B671,#REF!,6,FALSE)</f>
        <v>#REF!</v>
      </c>
      <c r="L671" s="3">
        <v>44654.309027775627</v>
      </c>
      <c r="M671" s="15"/>
    </row>
    <row r="672" spans="2:13">
      <c r="B672" s="7"/>
      <c r="C672" s="8" t="e">
        <f>VLOOKUP($B672,#REF!,5,FALSE)</f>
        <v>#REF!</v>
      </c>
      <c r="D672" s="8" t="e">
        <f>VLOOKUP($B672,#REF!,6,FALSE)</f>
        <v>#REF!</v>
      </c>
      <c r="E672" s="9" t="e">
        <f>VLOOKUP($B672,#REF!,17,FALSE)</f>
        <v>#REF!</v>
      </c>
      <c r="F672" s="10" t="e">
        <f>VLOOKUP($B672,#REF!,7,FALSE)</f>
        <v>#REF!</v>
      </c>
      <c r="G672" s="10"/>
      <c r="H672" s="10"/>
      <c r="I672" s="11" t="e">
        <f>VLOOKUP($B672,#REF!,19,FALSE)</f>
        <v>#REF!</v>
      </c>
      <c r="J672" s="11" t="e">
        <f>VLOOKUP($B672,#REF!,6,FALSE)</f>
        <v>#REF!</v>
      </c>
      <c r="L672" s="3">
        <v>44654.312499997846</v>
      </c>
      <c r="M672" s="15"/>
    </row>
    <row r="673" spans="2:13">
      <c r="B673" s="7"/>
      <c r="C673" s="8" t="e">
        <f>VLOOKUP($B673,#REF!,5,FALSE)</f>
        <v>#REF!</v>
      </c>
      <c r="D673" s="8" t="e">
        <f>VLOOKUP($B673,#REF!,6,FALSE)</f>
        <v>#REF!</v>
      </c>
      <c r="E673" s="9" t="e">
        <f>VLOOKUP($B673,#REF!,17,FALSE)</f>
        <v>#REF!</v>
      </c>
      <c r="F673" s="10" t="e">
        <f>VLOOKUP($B673,#REF!,7,FALSE)</f>
        <v>#REF!</v>
      </c>
      <c r="G673" s="10"/>
      <c r="H673" s="10"/>
      <c r="I673" s="11" t="e">
        <f>VLOOKUP($B673,#REF!,19,FALSE)</f>
        <v>#REF!</v>
      </c>
      <c r="J673" s="11" t="e">
        <f>VLOOKUP($B673,#REF!,6,FALSE)</f>
        <v>#REF!</v>
      </c>
      <c r="L673" s="3">
        <v>44654.315972220065</v>
      </c>
      <c r="M673" s="15"/>
    </row>
    <row r="674" spans="2:13">
      <c r="B674" s="7"/>
      <c r="C674" s="8" t="e">
        <f>VLOOKUP($B674,#REF!,5,FALSE)</f>
        <v>#REF!</v>
      </c>
      <c r="D674" s="8" t="e">
        <f>VLOOKUP($B674,#REF!,6,FALSE)</f>
        <v>#REF!</v>
      </c>
      <c r="E674" s="9" t="e">
        <f>VLOOKUP($B674,#REF!,17,FALSE)</f>
        <v>#REF!</v>
      </c>
      <c r="F674" s="10" t="e">
        <f>VLOOKUP($B674,#REF!,7,FALSE)</f>
        <v>#REF!</v>
      </c>
      <c r="G674" s="10"/>
      <c r="H674" s="10"/>
      <c r="I674" s="11" t="e">
        <f>VLOOKUP($B674,#REF!,19,FALSE)</f>
        <v>#REF!</v>
      </c>
      <c r="J674" s="11" t="e">
        <f>VLOOKUP($B674,#REF!,6,FALSE)</f>
        <v>#REF!</v>
      </c>
      <c r="L674" s="3">
        <v>44654.319444442284</v>
      </c>
      <c r="M674" s="15"/>
    </row>
    <row r="675" spans="2:13">
      <c r="B675" s="7"/>
      <c r="C675" s="8" t="e">
        <f>VLOOKUP($B675,#REF!,5,FALSE)</f>
        <v>#REF!</v>
      </c>
      <c r="D675" s="8" t="e">
        <f>VLOOKUP($B675,#REF!,6,FALSE)</f>
        <v>#REF!</v>
      </c>
      <c r="E675" s="9" t="e">
        <f>VLOOKUP($B675,#REF!,17,FALSE)</f>
        <v>#REF!</v>
      </c>
      <c r="F675" s="10" t="e">
        <f>VLOOKUP($B675,#REF!,7,FALSE)</f>
        <v>#REF!</v>
      </c>
      <c r="G675" s="10"/>
      <c r="H675" s="10"/>
      <c r="I675" s="11" t="e">
        <f>VLOOKUP($B675,#REF!,19,FALSE)</f>
        <v>#REF!</v>
      </c>
      <c r="J675" s="11" t="e">
        <f>VLOOKUP($B675,#REF!,6,FALSE)</f>
        <v>#REF!</v>
      </c>
      <c r="L675" s="3">
        <v>44654.322916664503</v>
      </c>
      <c r="M675" s="15"/>
    </row>
    <row r="676" spans="2:13">
      <c r="B676" s="7"/>
      <c r="C676" s="8" t="e">
        <f>VLOOKUP($B676,#REF!,5,FALSE)</f>
        <v>#REF!</v>
      </c>
      <c r="D676" s="8" t="e">
        <f>VLOOKUP($B676,#REF!,6,FALSE)</f>
        <v>#REF!</v>
      </c>
      <c r="E676" s="9" t="e">
        <f>VLOOKUP($B676,#REF!,17,FALSE)</f>
        <v>#REF!</v>
      </c>
      <c r="F676" s="10" t="e">
        <f>VLOOKUP($B676,#REF!,7,FALSE)</f>
        <v>#REF!</v>
      </c>
      <c r="G676" s="10"/>
      <c r="H676" s="10"/>
      <c r="I676" s="11" t="e">
        <f>VLOOKUP($B676,#REF!,19,FALSE)</f>
        <v>#REF!</v>
      </c>
      <c r="J676" s="11" t="e">
        <f>VLOOKUP($B676,#REF!,6,FALSE)</f>
        <v>#REF!</v>
      </c>
      <c r="L676" s="3">
        <v>44654.326388886722</v>
      </c>
      <c r="M676" s="15"/>
    </row>
    <row r="677" spans="2:13">
      <c r="B677" s="7"/>
      <c r="C677" s="8" t="e">
        <f>VLOOKUP($B677,#REF!,5,FALSE)</f>
        <v>#REF!</v>
      </c>
      <c r="D677" s="8" t="e">
        <f>VLOOKUP($B677,#REF!,6,FALSE)</f>
        <v>#REF!</v>
      </c>
      <c r="E677" s="9" t="e">
        <f>VLOOKUP($B677,#REF!,17,FALSE)</f>
        <v>#REF!</v>
      </c>
      <c r="F677" s="10" t="e">
        <f>VLOOKUP($B677,#REF!,7,FALSE)</f>
        <v>#REF!</v>
      </c>
      <c r="G677" s="10"/>
      <c r="H677" s="10"/>
      <c r="I677" s="11" t="e">
        <f>VLOOKUP($B677,#REF!,19,FALSE)</f>
        <v>#REF!</v>
      </c>
      <c r="J677" s="11" t="e">
        <f>VLOOKUP($B677,#REF!,6,FALSE)</f>
        <v>#REF!</v>
      </c>
      <c r="L677" s="3">
        <v>44654.329861108941</v>
      </c>
      <c r="M677" s="15"/>
    </row>
    <row r="678" spans="2:13">
      <c r="B678" s="7"/>
      <c r="C678" s="8" t="e">
        <f>VLOOKUP($B678,#REF!,5,FALSE)</f>
        <v>#REF!</v>
      </c>
      <c r="D678" s="8" t="e">
        <f>VLOOKUP($B678,#REF!,6,FALSE)</f>
        <v>#REF!</v>
      </c>
      <c r="E678" s="9" t="e">
        <f>VLOOKUP($B678,#REF!,17,FALSE)</f>
        <v>#REF!</v>
      </c>
      <c r="F678" s="10" t="e">
        <f>VLOOKUP($B678,#REF!,7,FALSE)</f>
        <v>#REF!</v>
      </c>
      <c r="G678" s="10"/>
      <c r="H678" s="10"/>
      <c r="I678" s="11" t="e">
        <f>VLOOKUP($B678,#REF!,19,FALSE)</f>
        <v>#REF!</v>
      </c>
      <c r="J678" s="11" t="e">
        <f>VLOOKUP($B678,#REF!,6,FALSE)</f>
        <v>#REF!</v>
      </c>
      <c r="L678" s="3">
        <v>44654.33333333116</v>
      </c>
      <c r="M678" s="15"/>
    </row>
    <row r="679" spans="2:13">
      <c r="B679" s="7"/>
      <c r="C679" s="8" t="e">
        <f>VLOOKUP($B679,#REF!,5,FALSE)</f>
        <v>#REF!</v>
      </c>
      <c r="D679" s="8" t="e">
        <f>VLOOKUP($B679,#REF!,6,FALSE)</f>
        <v>#REF!</v>
      </c>
      <c r="E679" s="9" t="e">
        <f>VLOOKUP($B679,#REF!,17,FALSE)</f>
        <v>#REF!</v>
      </c>
      <c r="F679" s="10" t="e">
        <f>VLOOKUP($B679,#REF!,7,FALSE)</f>
        <v>#REF!</v>
      </c>
      <c r="G679" s="10"/>
      <c r="H679" s="10"/>
      <c r="I679" s="11" t="e">
        <f>VLOOKUP($B679,#REF!,19,FALSE)</f>
        <v>#REF!</v>
      </c>
      <c r="J679" s="11" t="e">
        <f>VLOOKUP($B679,#REF!,6,FALSE)</f>
        <v>#REF!</v>
      </c>
      <c r="L679" s="3">
        <v>44654.336805553379</v>
      </c>
      <c r="M679" s="15"/>
    </row>
    <row r="680" spans="2:13">
      <c r="B680" s="7"/>
      <c r="C680" s="8" t="e">
        <f>VLOOKUP($B680,#REF!,5,FALSE)</f>
        <v>#REF!</v>
      </c>
      <c r="D680" s="8" t="e">
        <f>VLOOKUP($B680,#REF!,6,FALSE)</f>
        <v>#REF!</v>
      </c>
      <c r="E680" s="9" t="e">
        <f>VLOOKUP($B680,#REF!,17,FALSE)</f>
        <v>#REF!</v>
      </c>
      <c r="F680" s="10" t="e">
        <f>VLOOKUP($B680,#REF!,7,FALSE)</f>
        <v>#REF!</v>
      </c>
      <c r="G680" s="10"/>
      <c r="H680" s="10"/>
      <c r="I680" s="11" t="e">
        <f>VLOOKUP($B680,#REF!,19,FALSE)</f>
        <v>#REF!</v>
      </c>
      <c r="J680" s="11" t="e">
        <f>VLOOKUP($B680,#REF!,6,FALSE)</f>
        <v>#REF!</v>
      </c>
      <c r="L680" s="3">
        <v>44654.340277775598</v>
      </c>
      <c r="M680" s="15"/>
    </row>
    <row r="681" spans="2:13">
      <c r="B681" s="7"/>
      <c r="C681" s="8" t="e">
        <f>VLOOKUP($B681,#REF!,5,FALSE)</f>
        <v>#REF!</v>
      </c>
      <c r="D681" s="8" t="e">
        <f>VLOOKUP($B681,#REF!,6,FALSE)</f>
        <v>#REF!</v>
      </c>
      <c r="E681" s="9" t="e">
        <f>VLOOKUP($B681,#REF!,17,FALSE)</f>
        <v>#REF!</v>
      </c>
      <c r="F681" s="10" t="e">
        <f>VLOOKUP($B681,#REF!,7,FALSE)</f>
        <v>#REF!</v>
      </c>
      <c r="G681" s="10"/>
      <c r="H681" s="10"/>
      <c r="I681" s="11" t="e">
        <f>VLOOKUP($B681,#REF!,19,FALSE)</f>
        <v>#REF!</v>
      </c>
      <c r="J681" s="11" t="e">
        <f>VLOOKUP($B681,#REF!,6,FALSE)</f>
        <v>#REF!</v>
      </c>
      <c r="L681" s="3">
        <v>44654.343749997817</v>
      </c>
      <c r="M681" s="15"/>
    </row>
    <row r="682" spans="2:13">
      <c r="B682" s="7"/>
      <c r="C682" s="8" t="e">
        <f>VLOOKUP($B682,#REF!,5,FALSE)</f>
        <v>#REF!</v>
      </c>
      <c r="D682" s="8" t="e">
        <f>VLOOKUP($B682,#REF!,6,FALSE)</f>
        <v>#REF!</v>
      </c>
      <c r="E682" s="9" t="e">
        <f>VLOOKUP($B682,#REF!,17,FALSE)</f>
        <v>#REF!</v>
      </c>
      <c r="F682" s="10" t="e">
        <f>VLOOKUP($B682,#REF!,7,FALSE)</f>
        <v>#REF!</v>
      </c>
      <c r="G682" s="10"/>
      <c r="H682" s="10"/>
      <c r="I682" s="11" t="e">
        <f>VLOOKUP($B682,#REF!,19,FALSE)</f>
        <v>#REF!</v>
      </c>
      <c r="J682" s="11" t="e">
        <f>VLOOKUP($B682,#REF!,6,FALSE)</f>
        <v>#REF!</v>
      </c>
      <c r="L682" s="3">
        <v>44654.347222220036</v>
      </c>
      <c r="M682" s="15"/>
    </row>
    <row r="683" spans="2:13">
      <c r="B683" s="7"/>
      <c r="C683" s="8" t="e">
        <f>VLOOKUP($B683,#REF!,5,FALSE)</f>
        <v>#REF!</v>
      </c>
      <c r="D683" s="8" t="e">
        <f>VLOOKUP($B683,#REF!,6,FALSE)</f>
        <v>#REF!</v>
      </c>
      <c r="E683" s="9" t="e">
        <f>VLOOKUP($B683,#REF!,17,FALSE)</f>
        <v>#REF!</v>
      </c>
      <c r="F683" s="10" t="e">
        <f>VLOOKUP($B683,#REF!,7,FALSE)</f>
        <v>#REF!</v>
      </c>
      <c r="G683" s="10"/>
      <c r="H683" s="10"/>
      <c r="I683" s="11" t="e">
        <f>VLOOKUP($B683,#REF!,19,FALSE)</f>
        <v>#REF!</v>
      </c>
      <c r="J683" s="11" t="e">
        <f>VLOOKUP($B683,#REF!,6,FALSE)</f>
        <v>#REF!</v>
      </c>
      <c r="L683" s="3">
        <v>44654.350694442255</v>
      </c>
      <c r="M683" s="15"/>
    </row>
    <row r="684" spans="2:13">
      <c r="B684" s="7"/>
      <c r="C684" s="8" t="e">
        <f>VLOOKUP($B684,#REF!,5,FALSE)</f>
        <v>#REF!</v>
      </c>
      <c r="D684" s="8" t="e">
        <f>VLOOKUP($B684,#REF!,6,FALSE)</f>
        <v>#REF!</v>
      </c>
      <c r="E684" s="9" t="e">
        <f>VLOOKUP($B684,#REF!,17,FALSE)</f>
        <v>#REF!</v>
      </c>
      <c r="F684" s="10" t="e">
        <f>VLOOKUP($B684,#REF!,7,FALSE)</f>
        <v>#REF!</v>
      </c>
      <c r="G684" s="10"/>
      <c r="H684" s="10"/>
      <c r="I684" s="11" t="e">
        <f>VLOOKUP($B684,#REF!,19,FALSE)</f>
        <v>#REF!</v>
      </c>
      <c r="J684" s="11" t="e">
        <f>VLOOKUP($B684,#REF!,6,FALSE)</f>
        <v>#REF!</v>
      </c>
      <c r="L684" s="3">
        <v>44654.354166664474</v>
      </c>
      <c r="M684" s="15"/>
    </row>
    <row r="685" spans="2:13">
      <c r="B685" s="7"/>
      <c r="C685" s="8" t="e">
        <f>VLOOKUP($B685,#REF!,5,FALSE)</f>
        <v>#REF!</v>
      </c>
      <c r="D685" s="8" t="e">
        <f>VLOOKUP($B685,#REF!,6,FALSE)</f>
        <v>#REF!</v>
      </c>
      <c r="E685" s="9" t="e">
        <f>VLOOKUP($B685,#REF!,17,FALSE)</f>
        <v>#REF!</v>
      </c>
      <c r="F685" s="10" t="e">
        <f>VLOOKUP($B685,#REF!,7,FALSE)</f>
        <v>#REF!</v>
      </c>
      <c r="G685" s="10"/>
      <c r="H685" s="10"/>
      <c r="I685" s="11" t="e">
        <f>VLOOKUP($B685,#REF!,19,FALSE)</f>
        <v>#REF!</v>
      </c>
      <c r="J685" s="11" t="e">
        <f>VLOOKUP($B685,#REF!,6,FALSE)</f>
        <v>#REF!</v>
      </c>
      <c r="L685" s="3">
        <v>44654.357638886693</v>
      </c>
      <c r="M685" s="15"/>
    </row>
    <row r="686" spans="2:13">
      <c r="B686" s="7"/>
      <c r="C686" s="8" t="e">
        <f>VLOOKUP($B686,#REF!,5,FALSE)</f>
        <v>#REF!</v>
      </c>
      <c r="D686" s="8" t="e">
        <f>VLOOKUP($B686,#REF!,6,FALSE)</f>
        <v>#REF!</v>
      </c>
      <c r="E686" s="9" t="e">
        <f>VLOOKUP($B686,#REF!,17,FALSE)</f>
        <v>#REF!</v>
      </c>
      <c r="F686" s="10" t="e">
        <f>VLOOKUP($B686,#REF!,7,FALSE)</f>
        <v>#REF!</v>
      </c>
      <c r="G686" s="10"/>
      <c r="H686" s="10"/>
      <c r="I686" s="11" t="e">
        <f>VLOOKUP($B686,#REF!,19,FALSE)</f>
        <v>#REF!</v>
      </c>
      <c r="J686" s="11" t="e">
        <f>VLOOKUP($B686,#REF!,6,FALSE)</f>
        <v>#REF!</v>
      </c>
      <c r="L686" s="3">
        <v>44654.361111108912</v>
      </c>
      <c r="M686" s="15"/>
    </row>
    <row r="687" spans="2:13">
      <c r="B687" s="7"/>
      <c r="C687" s="8" t="e">
        <f>VLOOKUP($B687,#REF!,5,FALSE)</f>
        <v>#REF!</v>
      </c>
      <c r="D687" s="8" t="e">
        <f>VLOOKUP($B687,#REF!,6,FALSE)</f>
        <v>#REF!</v>
      </c>
      <c r="E687" s="9" t="e">
        <f>VLOOKUP($B687,#REF!,17,FALSE)</f>
        <v>#REF!</v>
      </c>
      <c r="F687" s="10" t="e">
        <f>VLOOKUP($B687,#REF!,7,FALSE)</f>
        <v>#REF!</v>
      </c>
      <c r="G687" s="10"/>
      <c r="H687" s="10"/>
      <c r="I687" s="11" t="e">
        <f>VLOOKUP($B687,#REF!,19,FALSE)</f>
        <v>#REF!</v>
      </c>
      <c r="J687" s="11" t="e">
        <f>VLOOKUP($B687,#REF!,6,FALSE)</f>
        <v>#REF!</v>
      </c>
      <c r="L687" s="3">
        <v>44654.364583331131</v>
      </c>
      <c r="M687" s="15"/>
    </row>
    <row r="688" spans="2:13">
      <c r="B688" s="7"/>
      <c r="C688" s="8" t="e">
        <f>VLOOKUP($B688,#REF!,5,FALSE)</f>
        <v>#REF!</v>
      </c>
      <c r="D688" s="8" t="e">
        <f>VLOOKUP($B688,#REF!,6,FALSE)</f>
        <v>#REF!</v>
      </c>
      <c r="E688" s="9" t="e">
        <f>VLOOKUP($B688,#REF!,17,FALSE)</f>
        <v>#REF!</v>
      </c>
      <c r="F688" s="10" t="e">
        <f>VLOOKUP($B688,#REF!,7,FALSE)</f>
        <v>#REF!</v>
      </c>
      <c r="G688" s="10"/>
      <c r="H688" s="10"/>
      <c r="I688" s="11" t="e">
        <f>VLOOKUP($B688,#REF!,19,FALSE)</f>
        <v>#REF!</v>
      </c>
      <c r="J688" s="11" t="e">
        <f>VLOOKUP($B688,#REF!,6,FALSE)</f>
        <v>#REF!</v>
      </c>
      <c r="L688" s="3">
        <v>44654.36805555335</v>
      </c>
      <c r="M688" s="15"/>
    </row>
    <row r="689" spans="2:13">
      <c r="B689" s="7"/>
      <c r="C689" s="8" t="e">
        <f>VLOOKUP($B689,#REF!,5,FALSE)</f>
        <v>#REF!</v>
      </c>
      <c r="D689" s="8" t="e">
        <f>VLOOKUP($B689,#REF!,6,FALSE)</f>
        <v>#REF!</v>
      </c>
      <c r="E689" s="9" t="e">
        <f>VLOOKUP($B689,#REF!,17,FALSE)</f>
        <v>#REF!</v>
      </c>
      <c r="F689" s="10" t="e">
        <f>VLOOKUP($B689,#REF!,7,FALSE)</f>
        <v>#REF!</v>
      </c>
      <c r="G689" s="10"/>
      <c r="H689" s="10"/>
      <c r="I689" s="11" t="e">
        <f>VLOOKUP($B689,#REF!,19,FALSE)</f>
        <v>#REF!</v>
      </c>
      <c r="J689" s="11" t="e">
        <f>VLOOKUP($B689,#REF!,6,FALSE)</f>
        <v>#REF!</v>
      </c>
      <c r="L689" s="3">
        <v>44654.371527775569</v>
      </c>
      <c r="M689" s="15"/>
    </row>
    <row r="690" spans="2:13">
      <c r="B690" s="7"/>
      <c r="C690" s="8" t="e">
        <f>VLOOKUP($B690,#REF!,5,FALSE)</f>
        <v>#REF!</v>
      </c>
      <c r="D690" s="8" t="e">
        <f>VLOOKUP($B690,#REF!,6,FALSE)</f>
        <v>#REF!</v>
      </c>
      <c r="E690" s="9" t="e">
        <f>VLOOKUP($B690,#REF!,17,FALSE)</f>
        <v>#REF!</v>
      </c>
      <c r="F690" s="10" t="e">
        <f>VLOOKUP($B690,#REF!,7,FALSE)</f>
        <v>#REF!</v>
      </c>
      <c r="G690" s="10"/>
      <c r="H690" s="10"/>
      <c r="I690" s="11" t="e">
        <f>VLOOKUP($B690,#REF!,19,FALSE)</f>
        <v>#REF!</v>
      </c>
      <c r="J690" s="11" t="e">
        <f>VLOOKUP($B690,#REF!,6,FALSE)</f>
        <v>#REF!</v>
      </c>
      <c r="L690" s="3">
        <v>44654.374999997788</v>
      </c>
      <c r="M690" s="15"/>
    </row>
    <row r="691" spans="2:13">
      <c r="B691" s="7"/>
      <c r="C691" s="8" t="e">
        <f>VLOOKUP($B691,#REF!,5,FALSE)</f>
        <v>#REF!</v>
      </c>
      <c r="D691" s="8" t="e">
        <f>VLOOKUP($B691,#REF!,6,FALSE)</f>
        <v>#REF!</v>
      </c>
      <c r="E691" s="9" t="e">
        <f>VLOOKUP($B691,#REF!,17,FALSE)</f>
        <v>#REF!</v>
      </c>
      <c r="F691" s="10" t="e">
        <f>VLOOKUP($B691,#REF!,7,FALSE)</f>
        <v>#REF!</v>
      </c>
      <c r="G691" s="10"/>
      <c r="H691" s="10"/>
      <c r="I691" s="11" t="e">
        <f>VLOOKUP($B691,#REF!,19,FALSE)</f>
        <v>#REF!</v>
      </c>
      <c r="J691" s="11" t="e">
        <f>VLOOKUP($B691,#REF!,6,FALSE)</f>
        <v>#REF!</v>
      </c>
      <c r="L691" s="3">
        <v>44654.378472220007</v>
      </c>
      <c r="M691" s="15"/>
    </row>
    <row r="692" spans="2:13">
      <c r="B692" s="7"/>
      <c r="C692" s="8" t="e">
        <f>VLOOKUP($B692,#REF!,5,FALSE)</f>
        <v>#REF!</v>
      </c>
      <c r="D692" s="8" t="e">
        <f>VLOOKUP($B692,#REF!,6,FALSE)</f>
        <v>#REF!</v>
      </c>
      <c r="E692" s="9" t="e">
        <f>VLOOKUP($B692,#REF!,17,FALSE)</f>
        <v>#REF!</v>
      </c>
      <c r="F692" s="10" t="e">
        <f>VLOOKUP($B692,#REF!,7,FALSE)</f>
        <v>#REF!</v>
      </c>
      <c r="G692" s="10"/>
      <c r="H692" s="10"/>
      <c r="I692" s="11" t="e">
        <f>VLOOKUP($B692,#REF!,19,FALSE)</f>
        <v>#REF!</v>
      </c>
      <c r="J692" s="11" t="e">
        <f>VLOOKUP($B692,#REF!,6,FALSE)</f>
        <v>#REF!</v>
      </c>
      <c r="L692" s="3">
        <v>44654.381944442226</v>
      </c>
      <c r="M692" s="15"/>
    </row>
    <row r="693" spans="2:13">
      <c r="B693" s="7"/>
      <c r="C693" s="8" t="e">
        <f>VLOOKUP($B693,#REF!,5,FALSE)</f>
        <v>#REF!</v>
      </c>
      <c r="D693" s="8" t="e">
        <f>VLOOKUP($B693,#REF!,6,FALSE)</f>
        <v>#REF!</v>
      </c>
      <c r="E693" s="9" t="e">
        <f>VLOOKUP($B693,#REF!,17,FALSE)</f>
        <v>#REF!</v>
      </c>
      <c r="F693" s="10" t="e">
        <f>VLOOKUP($B693,#REF!,7,FALSE)</f>
        <v>#REF!</v>
      </c>
      <c r="G693" s="10"/>
      <c r="H693" s="10"/>
      <c r="I693" s="11" t="e">
        <f>VLOOKUP($B693,#REF!,19,FALSE)</f>
        <v>#REF!</v>
      </c>
      <c r="J693" s="11" t="e">
        <f>VLOOKUP($B693,#REF!,6,FALSE)</f>
        <v>#REF!</v>
      </c>
      <c r="L693" s="3">
        <v>44654.385416664445</v>
      </c>
      <c r="M693" s="15"/>
    </row>
    <row r="694" spans="2:13">
      <c r="B694" s="7"/>
      <c r="C694" s="8" t="e">
        <f>VLOOKUP($B694,#REF!,5,FALSE)</f>
        <v>#REF!</v>
      </c>
      <c r="D694" s="8" t="e">
        <f>VLOOKUP($B694,#REF!,6,FALSE)</f>
        <v>#REF!</v>
      </c>
      <c r="E694" s="9" t="e">
        <f>VLOOKUP($B694,#REF!,17,FALSE)</f>
        <v>#REF!</v>
      </c>
      <c r="F694" s="10" t="e">
        <f>VLOOKUP($B694,#REF!,7,FALSE)</f>
        <v>#REF!</v>
      </c>
      <c r="G694" s="10"/>
      <c r="H694" s="10"/>
      <c r="I694" s="11" t="e">
        <f>VLOOKUP($B694,#REF!,19,FALSE)</f>
        <v>#REF!</v>
      </c>
      <c r="J694" s="11" t="e">
        <f>VLOOKUP($B694,#REF!,6,FALSE)</f>
        <v>#REF!</v>
      </c>
      <c r="L694" s="3">
        <v>44654.388888886664</v>
      </c>
      <c r="M694" s="15"/>
    </row>
    <row r="695" spans="2:13">
      <c r="B695" s="7"/>
      <c r="C695" s="8" t="e">
        <f>VLOOKUP($B695,#REF!,5,FALSE)</f>
        <v>#REF!</v>
      </c>
      <c r="D695" s="8" t="e">
        <f>VLOOKUP($B695,#REF!,6,FALSE)</f>
        <v>#REF!</v>
      </c>
      <c r="E695" s="9" t="e">
        <f>VLOOKUP($B695,#REF!,17,FALSE)</f>
        <v>#REF!</v>
      </c>
      <c r="F695" s="10" t="e">
        <f>VLOOKUP($B695,#REF!,7,FALSE)</f>
        <v>#REF!</v>
      </c>
      <c r="G695" s="10"/>
      <c r="H695" s="10"/>
      <c r="I695" s="11" t="e">
        <f>VLOOKUP($B695,#REF!,19,FALSE)</f>
        <v>#REF!</v>
      </c>
      <c r="J695" s="11" t="e">
        <f>VLOOKUP($B695,#REF!,6,FALSE)</f>
        <v>#REF!</v>
      </c>
      <c r="L695" s="3">
        <v>44654.392361108883</v>
      </c>
      <c r="M695" s="15"/>
    </row>
    <row r="696" spans="2:13">
      <c r="B696" s="7"/>
      <c r="C696" s="8" t="e">
        <f>VLOOKUP($B696,#REF!,5,FALSE)</f>
        <v>#REF!</v>
      </c>
      <c r="D696" s="8" t="e">
        <f>VLOOKUP($B696,#REF!,6,FALSE)</f>
        <v>#REF!</v>
      </c>
      <c r="E696" s="9" t="e">
        <f>VLOOKUP($B696,#REF!,17,FALSE)</f>
        <v>#REF!</v>
      </c>
      <c r="F696" s="10" t="e">
        <f>VLOOKUP($B696,#REF!,7,FALSE)</f>
        <v>#REF!</v>
      </c>
      <c r="G696" s="10"/>
      <c r="H696" s="10"/>
      <c r="I696" s="11" t="e">
        <f>VLOOKUP($B696,#REF!,19,FALSE)</f>
        <v>#REF!</v>
      </c>
      <c r="J696" s="11" t="e">
        <f>VLOOKUP($B696,#REF!,6,FALSE)</f>
        <v>#REF!</v>
      </c>
      <c r="L696" s="3">
        <v>44654.395833331102</v>
      </c>
      <c r="M696" s="15"/>
    </row>
    <row r="697" spans="2:13">
      <c r="B697" s="7"/>
      <c r="C697" s="8" t="e">
        <f>VLOOKUP($B697,#REF!,5,FALSE)</f>
        <v>#REF!</v>
      </c>
      <c r="D697" s="8" t="e">
        <f>VLOOKUP($B697,#REF!,6,FALSE)</f>
        <v>#REF!</v>
      </c>
      <c r="E697" s="9" t="e">
        <f>VLOOKUP($B697,#REF!,17,FALSE)</f>
        <v>#REF!</v>
      </c>
      <c r="F697" s="10" t="e">
        <f>VLOOKUP($B697,#REF!,7,FALSE)</f>
        <v>#REF!</v>
      </c>
      <c r="G697" s="10"/>
      <c r="H697" s="10"/>
      <c r="I697" s="11" t="e">
        <f>VLOOKUP($B697,#REF!,19,FALSE)</f>
        <v>#REF!</v>
      </c>
      <c r="J697" s="11" t="e">
        <f>VLOOKUP($B697,#REF!,6,FALSE)</f>
        <v>#REF!</v>
      </c>
      <c r="L697" s="3">
        <v>44654.399305553321</v>
      </c>
      <c r="M697" s="15"/>
    </row>
    <row r="698" spans="2:13">
      <c r="B698" s="7"/>
      <c r="C698" s="8" t="e">
        <f>VLOOKUP($B698,#REF!,5,FALSE)</f>
        <v>#REF!</v>
      </c>
      <c r="D698" s="8" t="e">
        <f>VLOOKUP($B698,#REF!,6,FALSE)</f>
        <v>#REF!</v>
      </c>
      <c r="E698" s="9" t="e">
        <f>VLOOKUP($B698,#REF!,17,FALSE)</f>
        <v>#REF!</v>
      </c>
      <c r="F698" s="10" t="e">
        <f>VLOOKUP($B698,#REF!,7,FALSE)</f>
        <v>#REF!</v>
      </c>
      <c r="G698" s="10"/>
      <c r="H698" s="10"/>
      <c r="I698" s="11" t="e">
        <f>VLOOKUP($B698,#REF!,19,FALSE)</f>
        <v>#REF!</v>
      </c>
      <c r="J698" s="11" t="e">
        <f>VLOOKUP($B698,#REF!,6,FALSE)</f>
        <v>#REF!</v>
      </c>
      <c r="L698" s="3">
        <v>44654.40277777554</v>
      </c>
      <c r="M698" s="15"/>
    </row>
    <row r="699" spans="2:13">
      <c r="B699" s="7"/>
      <c r="C699" s="8" t="e">
        <f>VLOOKUP($B699,#REF!,5,FALSE)</f>
        <v>#REF!</v>
      </c>
      <c r="D699" s="8" t="e">
        <f>VLOOKUP($B699,#REF!,6,FALSE)</f>
        <v>#REF!</v>
      </c>
      <c r="E699" s="9" t="e">
        <f>VLOOKUP($B699,#REF!,17,FALSE)</f>
        <v>#REF!</v>
      </c>
      <c r="F699" s="10" t="e">
        <f>VLOOKUP($B699,#REF!,7,FALSE)</f>
        <v>#REF!</v>
      </c>
      <c r="G699" s="10"/>
      <c r="H699" s="10"/>
      <c r="I699" s="11" t="e">
        <f>VLOOKUP($B699,#REF!,19,FALSE)</f>
        <v>#REF!</v>
      </c>
      <c r="J699" s="11" t="e">
        <f>VLOOKUP($B699,#REF!,6,FALSE)</f>
        <v>#REF!</v>
      </c>
      <c r="L699" s="3">
        <v>44654.406249997759</v>
      </c>
      <c r="M699" s="15"/>
    </row>
    <row r="700" spans="2:13">
      <c r="B700" s="7"/>
      <c r="C700" s="8" t="e">
        <f>VLOOKUP($B700,#REF!,5,FALSE)</f>
        <v>#REF!</v>
      </c>
      <c r="D700" s="8" t="e">
        <f>VLOOKUP($B700,#REF!,6,FALSE)</f>
        <v>#REF!</v>
      </c>
      <c r="E700" s="9" t="e">
        <f>VLOOKUP($B700,#REF!,17,FALSE)</f>
        <v>#REF!</v>
      </c>
      <c r="F700" s="10" t="e">
        <f>VLOOKUP($B700,#REF!,7,FALSE)</f>
        <v>#REF!</v>
      </c>
      <c r="G700" s="10"/>
      <c r="H700" s="10"/>
      <c r="I700" s="11" t="e">
        <f>VLOOKUP($B700,#REF!,19,FALSE)</f>
        <v>#REF!</v>
      </c>
      <c r="J700" s="11" t="e">
        <f>VLOOKUP($B700,#REF!,6,FALSE)</f>
        <v>#REF!</v>
      </c>
      <c r="L700" s="3">
        <v>44654.409722219978</v>
      </c>
      <c r="M700" s="15"/>
    </row>
    <row r="701" spans="2:13">
      <c r="B701" s="7"/>
      <c r="C701" s="8" t="e">
        <f>VLOOKUP($B701,#REF!,5,FALSE)</f>
        <v>#REF!</v>
      </c>
      <c r="D701" s="8" t="e">
        <f>VLOOKUP($B701,#REF!,6,FALSE)</f>
        <v>#REF!</v>
      </c>
      <c r="E701" s="9" t="e">
        <f>VLOOKUP($B701,#REF!,17,FALSE)</f>
        <v>#REF!</v>
      </c>
      <c r="F701" s="10" t="e">
        <f>VLOOKUP($B701,#REF!,7,FALSE)</f>
        <v>#REF!</v>
      </c>
      <c r="G701" s="10"/>
      <c r="H701" s="10"/>
      <c r="I701" s="11" t="e">
        <f>VLOOKUP($B701,#REF!,19,FALSE)</f>
        <v>#REF!</v>
      </c>
      <c r="J701" s="11" t="e">
        <f>VLOOKUP($B701,#REF!,6,FALSE)</f>
        <v>#REF!</v>
      </c>
      <c r="L701" s="3">
        <v>44654.413194442197</v>
      </c>
      <c r="M701" s="15"/>
    </row>
    <row r="702" spans="2:13">
      <c r="B702" s="7"/>
      <c r="C702" s="8" t="e">
        <f>VLOOKUP($B702,#REF!,5,FALSE)</f>
        <v>#REF!</v>
      </c>
      <c r="D702" s="8" t="e">
        <f>VLOOKUP($B702,#REF!,6,FALSE)</f>
        <v>#REF!</v>
      </c>
      <c r="E702" s="9" t="e">
        <f>VLOOKUP($B702,#REF!,17,FALSE)</f>
        <v>#REF!</v>
      </c>
      <c r="F702" s="10" t="e">
        <f>VLOOKUP($B702,#REF!,7,FALSE)</f>
        <v>#REF!</v>
      </c>
      <c r="G702" s="10"/>
      <c r="H702" s="10"/>
      <c r="I702" s="11" t="e">
        <f>VLOOKUP($B702,#REF!,19,FALSE)</f>
        <v>#REF!</v>
      </c>
      <c r="J702" s="11" t="e">
        <f>VLOOKUP($B702,#REF!,6,FALSE)</f>
        <v>#REF!</v>
      </c>
      <c r="L702" s="3">
        <v>44654.416666664416</v>
      </c>
      <c r="M702" s="15"/>
    </row>
    <row r="703" spans="2:13">
      <c r="B703" s="7"/>
      <c r="C703" s="8" t="e">
        <f>VLOOKUP($B703,#REF!,5,FALSE)</f>
        <v>#REF!</v>
      </c>
      <c r="D703" s="8" t="e">
        <f>VLOOKUP($B703,#REF!,6,FALSE)</f>
        <v>#REF!</v>
      </c>
      <c r="E703" s="9" t="e">
        <f>VLOOKUP($B703,#REF!,17,FALSE)</f>
        <v>#REF!</v>
      </c>
      <c r="F703" s="10" t="e">
        <f>VLOOKUP($B703,#REF!,7,FALSE)</f>
        <v>#REF!</v>
      </c>
      <c r="G703" s="10"/>
      <c r="H703" s="10"/>
      <c r="I703" s="11" t="e">
        <f>VLOOKUP($B703,#REF!,19,FALSE)</f>
        <v>#REF!</v>
      </c>
      <c r="J703" s="11" t="e">
        <f>VLOOKUP($B703,#REF!,6,FALSE)</f>
        <v>#REF!</v>
      </c>
      <c r="L703" s="3">
        <v>44654.420138886635</v>
      </c>
      <c r="M703" s="15"/>
    </row>
    <row r="704" spans="2:13">
      <c r="B704" s="7"/>
      <c r="C704" s="8" t="e">
        <f>VLOOKUP($B704,#REF!,5,FALSE)</f>
        <v>#REF!</v>
      </c>
      <c r="D704" s="8" t="e">
        <f>VLOOKUP($B704,#REF!,6,FALSE)</f>
        <v>#REF!</v>
      </c>
      <c r="E704" s="9" t="e">
        <f>VLOOKUP($B704,#REF!,17,FALSE)</f>
        <v>#REF!</v>
      </c>
      <c r="F704" s="10" t="e">
        <f>VLOOKUP($B704,#REF!,7,FALSE)</f>
        <v>#REF!</v>
      </c>
      <c r="G704" s="10"/>
      <c r="H704" s="10"/>
      <c r="I704" s="11" t="e">
        <f>VLOOKUP($B704,#REF!,19,FALSE)</f>
        <v>#REF!</v>
      </c>
      <c r="J704" s="11" t="e">
        <f>VLOOKUP($B704,#REF!,6,FALSE)</f>
        <v>#REF!</v>
      </c>
      <c r="L704" s="3">
        <v>44654.423611108854</v>
      </c>
      <c r="M704" s="15"/>
    </row>
    <row r="705" spans="2:13">
      <c r="B705" s="7"/>
      <c r="C705" s="8" t="e">
        <f>VLOOKUP($B705,#REF!,5,FALSE)</f>
        <v>#REF!</v>
      </c>
      <c r="D705" s="8" t="e">
        <f>VLOOKUP($B705,#REF!,6,FALSE)</f>
        <v>#REF!</v>
      </c>
      <c r="E705" s="9" t="e">
        <f>VLOOKUP($B705,#REF!,17,FALSE)</f>
        <v>#REF!</v>
      </c>
      <c r="F705" s="10" t="e">
        <f>VLOOKUP($B705,#REF!,7,FALSE)</f>
        <v>#REF!</v>
      </c>
      <c r="G705" s="10"/>
      <c r="H705" s="10"/>
      <c r="I705" s="11" t="e">
        <f>VLOOKUP($B705,#REF!,19,FALSE)</f>
        <v>#REF!</v>
      </c>
      <c r="J705" s="11" t="e">
        <f>VLOOKUP($B705,#REF!,6,FALSE)</f>
        <v>#REF!</v>
      </c>
      <c r="L705" s="3">
        <v>44654.427083331073</v>
      </c>
      <c r="M705" s="15"/>
    </row>
    <row r="706" spans="2:13">
      <c r="B706" s="7"/>
      <c r="C706" s="8" t="e">
        <f>VLOOKUP($B706,#REF!,5,FALSE)</f>
        <v>#REF!</v>
      </c>
      <c r="D706" s="8" t="e">
        <f>VLOOKUP($B706,#REF!,6,FALSE)</f>
        <v>#REF!</v>
      </c>
      <c r="E706" s="9" t="e">
        <f>VLOOKUP($B706,#REF!,17,FALSE)</f>
        <v>#REF!</v>
      </c>
      <c r="F706" s="10" t="e">
        <f>VLOOKUP($B706,#REF!,7,FALSE)</f>
        <v>#REF!</v>
      </c>
      <c r="G706" s="10"/>
      <c r="H706" s="10"/>
      <c r="I706" s="11" t="e">
        <f>VLOOKUP($B706,#REF!,19,FALSE)</f>
        <v>#REF!</v>
      </c>
      <c r="J706" s="11" t="e">
        <f>VLOOKUP($B706,#REF!,6,FALSE)</f>
        <v>#REF!</v>
      </c>
      <c r="L706" s="3">
        <v>44654.430555553292</v>
      </c>
      <c r="M706" s="15"/>
    </row>
    <row r="707" spans="2:13">
      <c r="B707" s="7"/>
      <c r="C707" s="8" t="e">
        <f>VLOOKUP($B707,#REF!,5,FALSE)</f>
        <v>#REF!</v>
      </c>
      <c r="D707" s="8" t="e">
        <f>VLOOKUP($B707,#REF!,6,FALSE)</f>
        <v>#REF!</v>
      </c>
      <c r="E707" s="9" t="e">
        <f>VLOOKUP($B707,#REF!,17,FALSE)</f>
        <v>#REF!</v>
      </c>
      <c r="F707" s="10" t="e">
        <f>VLOOKUP($B707,#REF!,7,FALSE)</f>
        <v>#REF!</v>
      </c>
      <c r="G707" s="10"/>
      <c r="H707" s="10"/>
      <c r="I707" s="11" t="e">
        <f>VLOOKUP($B707,#REF!,19,FALSE)</f>
        <v>#REF!</v>
      </c>
      <c r="J707" s="11" t="e">
        <f>VLOOKUP($B707,#REF!,6,FALSE)</f>
        <v>#REF!</v>
      </c>
      <c r="L707" s="3">
        <v>44654.434027775511</v>
      </c>
      <c r="M707" s="15"/>
    </row>
    <row r="708" spans="2:13">
      <c r="B708" s="7"/>
      <c r="C708" s="8" t="e">
        <f>VLOOKUP($B708,#REF!,5,FALSE)</f>
        <v>#REF!</v>
      </c>
      <c r="D708" s="8" t="e">
        <f>VLOOKUP($B708,#REF!,6,FALSE)</f>
        <v>#REF!</v>
      </c>
      <c r="E708" s="9" t="e">
        <f>VLOOKUP($B708,#REF!,17,FALSE)</f>
        <v>#REF!</v>
      </c>
      <c r="F708" s="10" t="e">
        <f>VLOOKUP($B708,#REF!,7,FALSE)</f>
        <v>#REF!</v>
      </c>
      <c r="G708" s="10"/>
      <c r="H708" s="10"/>
      <c r="I708" s="11" t="e">
        <f>VLOOKUP($B708,#REF!,19,FALSE)</f>
        <v>#REF!</v>
      </c>
      <c r="J708" s="11" t="e">
        <f>VLOOKUP($B708,#REF!,6,FALSE)</f>
        <v>#REF!</v>
      </c>
      <c r="L708" s="3">
        <v>44654.43749999773</v>
      </c>
      <c r="M708" s="15"/>
    </row>
    <row r="709" spans="2:13">
      <c r="B709" s="7"/>
      <c r="C709" s="8" t="e">
        <f>VLOOKUP($B709,#REF!,5,FALSE)</f>
        <v>#REF!</v>
      </c>
      <c r="D709" s="8" t="e">
        <f>VLOOKUP($B709,#REF!,6,FALSE)</f>
        <v>#REF!</v>
      </c>
      <c r="E709" s="9" t="e">
        <f>VLOOKUP($B709,#REF!,17,FALSE)</f>
        <v>#REF!</v>
      </c>
      <c r="F709" s="10" t="e">
        <f>VLOOKUP($B709,#REF!,7,FALSE)</f>
        <v>#REF!</v>
      </c>
      <c r="G709" s="10"/>
      <c r="H709" s="10"/>
      <c r="I709" s="11" t="e">
        <f>VLOOKUP($B709,#REF!,19,FALSE)</f>
        <v>#REF!</v>
      </c>
      <c r="J709" s="11" t="e">
        <f>VLOOKUP($B709,#REF!,6,FALSE)</f>
        <v>#REF!</v>
      </c>
      <c r="L709" s="3">
        <v>44654.440972219949</v>
      </c>
      <c r="M709" s="15"/>
    </row>
    <row r="710" spans="2:13">
      <c r="B710" s="7"/>
      <c r="C710" s="8" t="e">
        <f>VLOOKUP($B710,#REF!,5,FALSE)</f>
        <v>#REF!</v>
      </c>
      <c r="D710" s="8" t="e">
        <f>VLOOKUP($B710,#REF!,6,FALSE)</f>
        <v>#REF!</v>
      </c>
      <c r="E710" s="9" t="e">
        <f>VLOOKUP($B710,#REF!,17,FALSE)</f>
        <v>#REF!</v>
      </c>
      <c r="F710" s="10" t="e">
        <f>VLOOKUP($B710,#REF!,7,FALSE)</f>
        <v>#REF!</v>
      </c>
      <c r="G710" s="10"/>
      <c r="H710" s="10"/>
      <c r="I710" s="11" t="e">
        <f>VLOOKUP($B710,#REF!,19,FALSE)</f>
        <v>#REF!</v>
      </c>
      <c r="J710" s="11" t="e">
        <f>VLOOKUP($B710,#REF!,6,FALSE)</f>
        <v>#REF!</v>
      </c>
      <c r="L710" s="3">
        <v>44654.444444442168</v>
      </c>
      <c r="M710" s="15"/>
    </row>
    <row r="711" spans="2:13">
      <c r="B711" s="7"/>
      <c r="C711" s="8" t="e">
        <f>VLOOKUP($B711,#REF!,5,FALSE)</f>
        <v>#REF!</v>
      </c>
      <c r="D711" s="8" t="e">
        <f>VLOOKUP($B711,#REF!,6,FALSE)</f>
        <v>#REF!</v>
      </c>
      <c r="E711" s="9" t="e">
        <f>VLOOKUP($B711,#REF!,17,FALSE)</f>
        <v>#REF!</v>
      </c>
      <c r="F711" s="10" t="e">
        <f>VLOOKUP($B711,#REF!,7,FALSE)</f>
        <v>#REF!</v>
      </c>
      <c r="G711" s="10"/>
      <c r="H711" s="10"/>
      <c r="I711" s="11" t="e">
        <f>VLOOKUP($B711,#REF!,19,FALSE)</f>
        <v>#REF!</v>
      </c>
      <c r="J711" s="11" t="e">
        <f>VLOOKUP($B711,#REF!,6,FALSE)</f>
        <v>#REF!</v>
      </c>
      <c r="L711" s="3">
        <v>44654.447916664387</v>
      </c>
      <c r="M711" s="15"/>
    </row>
    <row r="712" spans="2:13">
      <c r="B712" s="7"/>
      <c r="C712" s="8" t="e">
        <f>VLOOKUP($B712,#REF!,5,FALSE)</f>
        <v>#REF!</v>
      </c>
      <c r="D712" s="8" t="e">
        <f>VLOOKUP($B712,#REF!,6,FALSE)</f>
        <v>#REF!</v>
      </c>
      <c r="E712" s="9" t="e">
        <f>VLOOKUP($B712,#REF!,17,FALSE)</f>
        <v>#REF!</v>
      </c>
      <c r="F712" s="10" t="e">
        <f>VLOOKUP($B712,#REF!,7,FALSE)</f>
        <v>#REF!</v>
      </c>
      <c r="G712" s="10"/>
      <c r="H712" s="10"/>
      <c r="I712" s="11" t="e">
        <f>VLOOKUP($B712,#REF!,19,FALSE)</f>
        <v>#REF!</v>
      </c>
      <c r="J712" s="11" t="e">
        <f>VLOOKUP($B712,#REF!,6,FALSE)</f>
        <v>#REF!</v>
      </c>
      <c r="L712" s="3">
        <v>44654.451388886606</v>
      </c>
      <c r="M712" s="15"/>
    </row>
    <row r="713" spans="2:13">
      <c r="B713" s="7"/>
      <c r="C713" s="8" t="e">
        <f>VLOOKUP($B713,#REF!,5,FALSE)</f>
        <v>#REF!</v>
      </c>
      <c r="D713" s="8" t="e">
        <f>VLOOKUP($B713,#REF!,6,FALSE)</f>
        <v>#REF!</v>
      </c>
      <c r="E713" s="9" t="e">
        <f>VLOOKUP($B713,#REF!,17,FALSE)</f>
        <v>#REF!</v>
      </c>
      <c r="F713" s="10" t="e">
        <f>VLOOKUP($B713,#REF!,7,FALSE)</f>
        <v>#REF!</v>
      </c>
      <c r="G713" s="10"/>
      <c r="H713" s="10"/>
      <c r="I713" s="11" t="e">
        <f>VLOOKUP($B713,#REF!,19,FALSE)</f>
        <v>#REF!</v>
      </c>
      <c r="J713" s="11" t="e">
        <f>VLOOKUP($B713,#REF!,6,FALSE)</f>
        <v>#REF!</v>
      </c>
      <c r="L713" s="3">
        <v>44654.454861108825</v>
      </c>
      <c r="M713" s="15"/>
    </row>
    <row r="714" spans="2:13">
      <c r="B714" s="7"/>
      <c r="C714" s="8" t="e">
        <f>VLOOKUP($B714,#REF!,5,FALSE)</f>
        <v>#REF!</v>
      </c>
      <c r="D714" s="8" t="e">
        <f>VLOOKUP($B714,#REF!,6,FALSE)</f>
        <v>#REF!</v>
      </c>
      <c r="E714" s="9" t="e">
        <f>VLOOKUP($B714,#REF!,17,FALSE)</f>
        <v>#REF!</v>
      </c>
      <c r="F714" s="10" t="e">
        <f>VLOOKUP($B714,#REF!,7,FALSE)</f>
        <v>#REF!</v>
      </c>
      <c r="G714" s="10"/>
      <c r="H714" s="10"/>
      <c r="I714" s="11" t="e">
        <f>VLOOKUP($B714,#REF!,19,FALSE)</f>
        <v>#REF!</v>
      </c>
      <c r="J714" s="11" t="e">
        <f>VLOOKUP($B714,#REF!,6,FALSE)</f>
        <v>#REF!</v>
      </c>
      <c r="L714" s="3">
        <v>44654.458333331044</v>
      </c>
      <c r="M714" s="15"/>
    </row>
    <row r="715" spans="2:13">
      <c r="B715" s="7"/>
      <c r="C715" s="8" t="e">
        <f>VLOOKUP($B715,#REF!,5,FALSE)</f>
        <v>#REF!</v>
      </c>
      <c r="D715" s="8" t="e">
        <f>VLOOKUP($B715,#REF!,6,FALSE)</f>
        <v>#REF!</v>
      </c>
      <c r="E715" s="9" t="e">
        <f>VLOOKUP($B715,#REF!,17,FALSE)</f>
        <v>#REF!</v>
      </c>
      <c r="F715" s="10" t="e">
        <f>VLOOKUP($B715,#REF!,7,FALSE)</f>
        <v>#REF!</v>
      </c>
      <c r="G715" s="10"/>
      <c r="H715" s="10"/>
      <c r="I715" s="11" t="e">
        <f>VLOOKUP($B715,#REF!,19,FALSE)</f>
        <v>#REF!</v>
      </c>
      <c r="J715" s="11" t="e">
        <f>VLOOKUP($B715,#REF!,6,FALSE)</f>
        <v>#REF!</v>
      </c>
      <c r="L715" s="3">
        <v>44654.461805553263</v>
      </c>
      <c r="M715" s="15"/>
    </row>
    <row r="716" spans="2:13">
      <c r="B716" s="7"/>
      <c r="C716" s="8" t="e">
        <f>VLOOKUP($B716,#REF!,5,FALSE)</f>
        <v>#REF!</v>
      </c>
      <c r="D716" s="8" t="e">
        <f>VLOOKUP($B716,#REF!,6,FALSE)</f>
        <v>#REF!</v>
      </c>
      <c r="E716" s="9" t="e">
        <f>VLOOKUP($B716,#REF!,17,FALSE)</f>
        <v>#REF!</v>
      </c>
      <c r="F716" s="10" t="e">
        <f>VLOOKUP($B716,#REF!,7,FALSE)</f>
        <v>#REF!</v>
      </c>
      <c r="G716" s="10"/>
      <c r="H716" s="10"/>
      <c r="I716" s="11" t="e">
        <f>VLOOKUP($B716,#REF!,19,FALSE)</f>
        <v>#REF!</v>
      </c>
      <c r="J716" s="11" t="e">
        <f>VLOOKUP($B716,#REF!,6,FALSE)</f>
        <v>#REF!</v>
      </c>
      <c r="L716" s="3">
        <v>44654.465277775482</v>
      </c>
      <c r="M716" s="15"/>
    </row>
    <row r="717" spans="2:13">
      <c r="B717" s="7"/>
      <c r="C717" s="8" t="e">
        <f>VLOOKUP($B717,#REF!,5,FALSE)</f>
        <v>#REF!</v>
      </c>
      <c r="D717" s="8" t="e">
        <f>VLOOKUP($B717,#REF!,6,FALSE)</f>
        <v>#REF!</v>
      </c>
      <c r="E717" s="9" t="e">
        <f>VLOOKUP($B717,#REF!,17,FALSE)</f>
        <v>#REF!</v>
      </c>
      <c r="F717" s="10" t="e">
        <f>VLOOKUP($B717,#REF!,7,FALSE)</f>
        <v>#REF!</v>
      </c>
      <c r="G717" s="10"/>
      <c r="H717" s="10"/>
      <c r="I717" s="11" t="e">
        <f>VLOOKUP($B717,#REF!,19,FALSE)</f>
        <v>#REF!</v>
      </c>
      <c r="J717" s="11" t="e">
        <f>VLOOKUP($B717,#REF!,6,FALSE)</f>
        <v>#REF!</v>
      </c>
      <c r="L717" s="3">
        <v>44654.468749997701</v>
      </c>
      <c r="M717" s="15"/>
    </row>
    <row r="718" spans="2:13">
      <c r="B718" s="7"/>
      <c r="C718" s="8" t="e">
        <f>VLOOKUP($B718,#REF!,5,FALSE)</f>
        <v>#REF!</v>
      </c>
      <c r="D718" s="8" t="e">
        <f>VLOOKUP($B718,#REF!,6,FALSE)</f>
        <v>#REF!</v>
      </c>
      <c r="E718" s="9" t="e">
        <f>VLOOKUP($B718,#REF!,17,FALSE)</f>
        <v>#REF!</v>
      </c>
      <c r="F718" s="10" t="e">
        <f>VLOOKUP($B718,#REF!,7,FALSE)</f>
        <v>#REF!</v>
      </c>
      <c r="G718" s="10"/>
      <c r="H718" s="10"/>
      <c r="I718" s="11" t="e">
        <f>VLOOKUP($B718,#REF!,19,FALSE)</f>
        <v>#REF!</v>
      </c>
      <c r="J718" s="11" t="e">
        <f>VLOOKUP($B718,#REF!,6,FALSE)</f>
        <v>#REF!</v>
      </c>
      <c r="L718" s="3">
        <v>44654.47222221992</v>
      </c>
      <c r="M718" s="15"/>
    </row>
    <row r="719" spans="2:13">
      <c r="B719" s="7"/>
      <c r="C719" s="8" t="e">
        <f>VLOOKUP($B719,#REF!,5,FALSE)</f>
        <v>#REF!</v>
      </c>
      <c r="D719" s="8" t="e">
        <f>VLOOKUP($B719,#REF!,6,FALSE)</f>
        <v>#REF!</v>
      </c>
      <c r="E719" s="9" t="e">
        <f>VLOOKUP($B719,#REF!,17,FALSE)</f>
        <v>#REF!</v>
      </c>
      <c r="F719" s="10" t="e">
        <f>VLOOKUP($B719,#REF!,7,FALSE)</f>
        <v>#REF!</v>
      </c>
      <c r="G719" s="10"/>
      <c r="H719" s="10"/>
      <c r="I719" s="11" t="e">
        <f>VLOOKUP($B719,#REF!,19,FALSE)</f>
        <v>#REF!</v>
      </c>
      <c r="J719" s="11" t="e">
        <f>VLOOKUP($B719,#REF!,6,FALSE)</f>
        <v>#REF!</v>
      </c>
      <c r="L719" s="3">
        <v>44654.475694442139</v>
      </c>
      <c r="M719" s="15"/>
    </row>
    <row r="720" spans="2:13">
      <c r="B720" s="7"/>
      <c r="C720" s="8" t="e">
        <f>VLOOKUP($B720,#REF!,5,FALSE)</f>
        <v>#REF!</v>
      </c>
      <c r="D720" s="8" t="e">
        <f>VLOOKUP($B720,#REF!,6,FALSE)</f>
        <v>#REF!</v>
      </c>
      <c r="E720" s="9" t="e">
        <f>VLOOKUP($B720,#REF!,17,FALSE)</f>
        <v>#REF!</v>
      </c>
      <c r="F720" s="10" t="e">
        <f>VLOOKUP($B720,#REF!,7,FALSE)</f>
        <v>#REF!</v>
      </c>
      <c r="G720" s="10"/>
      <c r="H720" s="10"/>
      <c r="I720" s="11" t="e">
        <f>VLOOKUP($B720,#REF!,19,FALSE)</f>
        <v>#REF!</v>
      </c>
      <c r="J720" s="11" t="e">
        <f>VLOOKUP($B720,#REF!,6,FALSE)</f>
        <v>#REF!</v>
      </c>
      <c r="L720" s="3">
        <v>44654.479166664358</v>
      </c>
      <c r="M720" s="15"/>
    </row>
    <row r="721" spans="2:13">
      <c r="B721" s="7"/>
      <c r="C721" s="8" t="e">
        <f>VLOOKUP($B721,#REF!,5,FALSE)</f>
        <v>#REF!</v>
      </c>
      <c r="D721" s="8" t="e">
        <f>VLOOKUP($B721,#REF!,6,FALSE)</f>
        <v>#REF!</v>
      </c>
      <c r="E721" s="9" t="e">
        <f>VLOOKUP($B721,#REF!,17,FALSE)</f>
        <v>#REF!</v>
      </c>
      <c r="F721" s="10" t="e">
        <f>VLOOKUP($B721,#REF!,7,FALSE)</f>
        <v>#REF!</v>
      </c>
      <c r="G721" s="10"/>
      <c r="H721" s="10"/>
      <c r="I721" s="11" t="e">
        <f>VLOOKUP($B721,#REF!,19,FALSE)</f>
        <v>#REF!</v>
      </c>
      <c r="J721" s="11" t="e">
        <f>VLOOKUP($B721,#REF!,6,FALSE)</f>
        <v>#REF!</v>
      </c>
      <c r="L721" s="3">
        <v>44654.482638886577</v>
      </c>
      <c r="M721" s="15"/>
    </row>
    <row r="722" spans="2:13">
      <c r="B722" s="7"/>
      <c r="C722" s="8" t="e">
        <f>VLOOKUP($B722,#REF!,5,FALSE)</f>
        <v>#REF!</v>
      </c>
      <c r="D722" s="8" t="e">
        <f>VLOOKUP($B722,#REF!,6,FALSE)</f>
        <v>#REF!</v>
      </c>
      <c r="E722" s="9" t="e">
        <f>VLOOKUP($B722,#REF!,17,FALSE)</f>
        <v>#REF!</v>
      </c>
      <c r="F722" s="10" t="e">
        <f>VLOOKUP($B722,#REF!,7,FALSE)</f>
        <v>#REF!</v>
      </c>
      <c r="G722" s="10"/>
      <c r="H722" s="10"/>
      <c r="I722" s="11" t="e">
        <f>VLOOKUP($B722,#REF!,19,FALSE)</f>
        <v>#REF!</v>
      </c>
      <c r="J722" s="11" t="e">
        <f>VLOOKUP($B722,#REF!,6,FALSE)</f>
        <v>#REF!</v>
      </c>
      <c r="L722" s="3">
        <v>44654.486111108796</v>
      </c>
      <c r="M722" s="15"/>
    </row>
    <row r="723" spans="2:13">
      <c r="B723" s="7"/>
      <c r="C723" s="8" t="e">
        <f>VLOOKUP($B723,#REF!,5,FALSE)</f>
        <v>#REF!</v>
      </c>
      <c r="D723" s="8" t="e">
        <f>VLOOKUP($B723,#REF!,6,FALSE)</f>
        <v>#REF!</v>
      </c>
      <c r="E723" s="9" t="e">
        <f>VLOOKUP($B723,#REF!,17,FALSE)</f>
        <v>#REF!</v>
      </c>
      <c r="F723" s="10" t="e">
        <f>VLOOKUP($B723,#REF!,7,FALSE)</f>
        <v>#REF!</v>
      </c>
      <c r="G723" s="10"/>
      <c r="H723" s="10"/>
      <c r="I723" s="11" t="e">
        <f>VLOOKUP($B723,#REF!,19,FALSE)</f>
        <v>#REF!</v>
      </c>
      <c r="J723" s="11" t="e">
        <f>VLOOKUP($B723,#REF!,6,FALSE)</f>
        <v>#REF!</v>
      </c>
      <c r="L723" s="3">
        <v>44654.489583331015</v>
      </c>
      <c r="M723" s="15"/>
    </row>
    <row r="724" spans="2:13">
      <c r="B724" s="7"/>
      <c r="C724" s="8" t="e">
        <f>VLOOKUP($B724,#REF!,5,FALSE)</f>
        <v>#REF!</v>
      </c>
      <c r="D724" s="8" t="e">
        <f>VLOOKUP($B724,#REF!,6,FALSE)</f>
        <v>#REF!</v>
      </c>
      <c r="E724" s="9" t="e">
        <f>VLOOKUP($B724,#REF!,17,FALSE)</f>
        <v>#REF!</v>
      </c>
      <c r="F724" s="10" t="e">
        <f>VLOOKUP($B724,#REF!,7,FALSE)</f>
        <v>#REF!</v>
      </c>
      <c r="G724" s="10"/>
      <c r="H724" s="10"/>
      <c r="I724" s="11" t="e">
        <f>VLOOKUP($B724,#REF!,19,FALSE)</f>
        <v>#REF!</v>
      </c>
      <c r="J724" s="11" t="e">
        <f>VLOOKUP($B724,#REF!,6,FALSE)</f>
        <v>#REF!</v>
      </c>
      <c r="L724" s="3">
        <v>44654.493055553234</v>
      </c>
      <c r="M724" s="15"/>
    </row>
    <row r="725" spans="2:13">
      <c r="B725" s="7"/>
      <c r="C725" s="8" t="e">
        <f>VLOOKUP($B725,#REF!,5,FALSE)</f>
        <v>#REF!</v>
      </c>
      <c r="D725" s="8" t="e">
        <f>VLOOKUP($B725,#REF!,6,FALSE)</f>
        <v>#REF!</v>
      </c>
      <c r="E725" s="9" t="e">
        <f>VLOOKUP($B725,#REF!,17,FALSE)</f>
        <v>#REF!</v>
      </c>
      <c r="F725" s="10" t="e">
        <f>VLOOKUP($B725,#REF!,7,FALSE)</f>
        <v>#REF!</v>
      </c>
      <c r="G725" s="10"/>
      <c r="H725" s="10"/>
      <c r="I725" s="11" t="e">
        <f>VLOOKUP($B725,#REF!,19,FALSE)</f>
        <v>#REF!</v>
      </c>
      <c r="J725" s="11" t="e">
        <f>VLOOKUP($B725,#REF!,6,FALSE)</f>
        <v>#REF!</v>
      </c>
      <c r="L725" s="3">
        <v>44654.496527775453</v>
      </c>
      <c r="M725" s="15"/>
    </row>
    <row r="726" spans="2:13">
      <c r="B726" s="7"/>
      <c r="C726" s="8" t="e">
        <f>VLOOKUP($B726,#REF!,5,FALSE)</f>
        <v>#REF!</v>
      </c>
      <c r="D726" s="8" t="e">
        <f>VLOOKUP($B726,#REF!,6,FALSE)</f>
        <v>#REF!</v>
      </c>
      <c r="E726" s="9" t="e">
        <f>VLOOKUP($B726,#REF!,17,FALSE)</f>
        <v>#REF!</v>
      </c>
      <c r="F726" s="10" t="e">
        <f>VLOOKUP($B726,#REF!,7,FALSE)</f>
        <v>#REF!</v>
      </c>
      <c r="G726" s="10"/>
      <c r="H726" s="10"/>
      <c r="I726" s="11" t="e">
        <f>VLOOKUP($B726,#REF!,19,FALSE)</f>
        <v>#REF!</v>
      </c>
      <c r="J726" s="11" t="e">
        <f>VLOOKUP($B726,#REF!,6,FALSE)</f>
        <v>#REF!</v>
      </c>
      <c r="L726" s="3">
        <v>44654.499999997672</v>
      </c>
      <c r="M726" s="15"/>
    </row>
    <row r="727" spans="2:13">
      <c r="B727" s="7"/>
      <c r="C727" s="8" t="e">
        <f>VLOOKUP($B727,#REF!,5,FALSE)</f>
        <v>#REF!</v>
      </c>
      <c r="D727" s="8" t="e">
        <f>VLOOKUP($B727,#REF!,6,FALSE)</f>
        <v>#REF!</v>
      </c>
      <c r="E727" s="9" t="e">
        <f>VLOOKUP($B727,#REF!,17,FALSE)</f>
        <v>#REF!</v>
      </c>
      <c r="F727" s="10" t="e">
        <f>VLOOKUP($B727,#REF!,7,FALSE)</f>
        <v>#REF!</v>
      </c>
      <c r="G727" s="10"/>
      <c r="H727" s="10"/>
      <c r="I727" s="11" t="e">
        <f>VLOOKUP($B727,#REF!,19,FALSE)</f>
        <v>#REF!</v>
      </c>
      <c r="J727" s="11" t="e">
        <f>VLOOKUP($B727,#REF!,6,FALSE)</f>
        <v>#REF!</v>
      </c>
      <c r="L727" s="3">
        <v>44654.503472219891</v>
      </c>
      <c r="M727" s="15"/>
    </row>
    <row r="728" spans="2:13">
      <c r="B728" s="7"/>
      <c r="C728" s="8" t="e">
        <f>VLOOKUP($B728,#REF!,5,FALSE)</f>
        <v>#REF!</v>
      </c>
      <c r="D728" s="8" t="e">
        <f>VLOOKUP($B728,#REF!,6,FALSE)</f>
        <v>#REF!</v>
      </c>
      <c r="E728" s="9" t="e">
        <f>VLOOKUP($B728,#REF!,17,FALSE)</f>
        <v>#REF!</v>
      </c>
      <c r="F728" s="10" t="e">
        <f>VLOOKUP($B728,#REF!,7,FALSE)</f>
        <v>#REF!</v>
      </c>
      <c r="G728" s="10"/>
      <c r="H728" s="10"/>
      <c r="I728" s="11" t="e">
        <f>VLOOKUP($B728,#REF!,19,FALSE)</f>
        <v>#REF!</v>
      </c>
      <c r="J728" s="11" t="e">
        <f>VLOOKUP($B728,#REF!,6,FALSE)</f>
        <v>#REF!</v>
      </c>
      <c r="L728" s="3">
        <v>44654.50694444211</v>
      </c>
      <c r="M728" s="15"/>
    </row>
    <row r="729" spans="2:13">
      <c r="B729" s="7"/>
      <c r="C729" s="8" t="e">
        <f>VLOOKUP($B729,#REF!,5,FALSE)</f>
        <v>#REF!</v>
      </c>
      <c r="D729" s="8" t="e">
        <f>VLOOKUP($B729,#REF!,6,FALSE)</f>
        <v>#REF!</v>
      </c>
      <c r="E729" s="9" t="e">
        <f>VLOOKUP($B729,#REF!,17,FALSE)</f>
        <v>#REF!</v>
      </c>
      <c r="F729" s="10" t="e">
        <f>VLOOKUP($B729,#REF!,7,FALSE)</f>
        <v>#REF!</v>
      </c>
      <c r="G729" s="10"/>
      <c r="H729" s="10"/>
      <c r="I729" s="11" t="e">
        <f>VLOOKUP($B729,#REF!,19,FALSE)</f>
        <v>#REF!</v>
      </c>
      <c r="J729" s="11" t="e">
        <f>VLOOKUP($B729,#REF!,6,FALSE)</f>
        <v>#REF!</v>
      </c>
      <c r="L729" s="3">
        <v>44654.510416664329</v>
      </c>
      <c r="M729" s="15"/>
    </row>
    <row r="730" spans="2:13">
      <c r="B730" s="7"/>
      <c r="C730" s="8" t="e">
        <f>VLOOKUP($B730,#REF!,5,FALSE)</f>
        <v>#REF!</v>
      </c>
      <c r="D730" s="8" t="e">
        <f>VLOOKUP($B730,#REF!,6,FALSE)</f>
        <v>#REF!</v>
      </c>
      <c r="E730" s="9" t="e">
        <f>VLOOKUP($B730,#REF!,17,FALSE)</f>
        <v>#REF!</v>
      </c>
      <c r="F730" s="10" t="e">
        <f>VLOOKUP($B730,#REF!,7,FALSE)</f>
        <v>#REF!</v>
      </c>
      <c r="G730" s="10"/>
      <c r="H730" s="10"/>
      <c r="I730" s="11" t="e">
        <f>VLOOKUP($B730,#REF!,19,FALSE)</f>
        <v>#REF!</v>
      </c>
      <c r="J730" s="11" t="e">
        <f>VLOOKUP($B730,#REF!,6,FALSE)</f>
        <v>#REF!</v>
      </c>
      <c r="L730" s="3">
        <v>44654.513888886548</v>
      </c>
      <c r="M730" s="15"/>
    </row>
    <row r="731" spans="2:13">
      <c r="B731" s="7"/>
      <c r="C731" s="8" t="e">
        <f>VLOOKUP($B731,#REF!,5,FALSE)</f>
        <v>#REF!</v>
      </c>
      <c r="D731" s="8" t="e">
        <f>VLOOKUP($B731,#REF!,6,FALSE)</f>
        <v>#REF!</v>
      </c>
      <c r="E731" s="9" t="e">
        <f>VLOOKUP($B731,#REF!,17,FALSE)</f>
        <v>#REF!</v>
      </c>
      <c r="F731" s="10" t="e">
        <f>VLOOKUP($B731,#REF!,7,FALSE)</f>
        <v>#REF!</v>
      </c>
      <c r="G731" s="10"/>
      <c r="H731" s="10"/>
      <c r="I731" s="11" t="e">
        <f>VLOOKUP($B731,#REF!,19,FALSE)</f>
        <v>#REF!</v>
      </c>
      <c r="J731" s="11" t="e">
        <f>VLOOKUP($B731,#REF!,6,FALSE)</f>
        <v>#REF!</v>
      </c>
      <c r="L731" s="3">
        <v>44654.517361108767</v>
      </c>
      <c r="M731" s="15"/>
    </row>
    <row r="732" spans="2:13">
      <c r="B732" s="7"/>
      <c r="C732" s="8" t="e">
        <f>VLOOKUP($B732,#REF!,5,FALSE)</f>
        <v>#REF!</v>
      </c>
      <c r="D732" s="8" t="e">
        <f>VLOOKUP($B732,#REF!,6,FALSE)</f>
        <v>#REF!</v>
      </c>
      <c r="E732" s="9" t="e">
        <f>VLOOKUP($B732,#REF!,17,FALSE)</f>
        <v>#REF!</v>
      </c>
      <c r="F732" s="10" t="e">
        <f>VLOOKUP($B732,#REF!,7,FALSE)</f>
        <v>#REF!</v>
      </c>
      <c r="G732" s="10"/>
      <c r="H732" s="10"/>
      <c r="I732" s="11" t="e">
        <f>VLOOKUP($B732,#REF!,19,FALSE)</f>
        <v>#REF!</v>
      </c>
      <c r="J732" s="11" t="e">
        <f>VLOOKUP($B732,#REF!,6,FALSE)</f>
        <v>#REF!</v>
      </c>
      <c r="L732" s="3">
        <v>44654.520833330986</v>
      </c>
      <c r="M732" s="15"/>
    </row>
    <row r="733" spans="2:13">
      <c r="B733" s="7"/>
      <c r="C733" s="8" t="e">
        <f>VLOOKUP($B733,#REF!,5,FALSE)</f>
        <v>#REF!</v>
      </c>
      <c r="D733" s="8" t="e">
        <f>VLOOKUP($B733,#REF!,6,FALSE)</f>
        <v>#REF!</v>
      </c>
      <c r="E733" s="9" t="e">
        <f>VLOOKUP($B733,#REF!,17,FALSE)</f>
        <v>#REF!</v>
      </c>
      <c r="F733" s="10" t="e">
        <f>VLOOKUP($B733,#REF!,7,FALSE)</f>
        <v>#REF!</v>
      </c>
      <c r="G733" s="10"/>
      <c r="H733" s="10"/>
      <c r="I733" s="11" t="e">
        <f>VLOOKUP($B733,#REF!,19,FALSE)</f>
        <v>#REF!</v>
      </c>
      <c r="J733" s="11" t="e">
        <f>VLOOKUP($B733,#REF!,6,FALSE)</f>
        <v>#REF!</v>
      </c>
      <c r="L733" s="3">
        <v>44654.524305553205</v>
      </c>
      <c r="M733" s="15"/>
    </row>
    <row r="734" spans="2:13">
      <c r="B734" s="7"/>
      <c r="C734" s="8" t="e">
        <f>VLOOKUP($B734,#REF!,5,FALSE)</f>
        <v>#REF!</v>
      </c>
      <c r="D734" s="8" t="e">
        <f>VLOOKUP($B734,#REF!,6,FALSE)</f>
        <v>#REF!</v>
      </c>
      <c r="E734" s="9" t="e">
        <f>VLOOKUP($B734,#REF!,17,FALSE)</f>
        <v>#REF!</v>
      </c>
      <c r="F734" s="10" t="e">
        <f>VLOOKUP($B734,#REF!,7,FALSE)</f>
        <v>#REF!</v>
      </c>
      <c r="G734" s="10"/>
      <c r="H734" s="10"/>
      <c r="I734" s="11" t="e">
        <f>VLOOKUP($B734,#REF!,19,FALSE)</f>
        <v>#REF!</v>
      </c>
      <c r="J734" s="11" t="e">
        <f>VLOOKUP($B734,#REF!,6,FALSE)</f>
        <v>#REF!</v>
      </c>
      <c r="L734" s="3">
        <v>44654.527777775424</v>
      </c>
      <c r="M734" s="15"/>
    </row>
    <row r="735" spans="2:13">
      <c r="B735" s="7"/>
      <c r="C735" s="8" t="e">
        <f>VLOOKUP($B735,#REF!,5,FALSE)</f>
        <v>#REF!</v>
      </c>
      <c r="D735" s="8" t="e">
        <f>VLOOKUP($B735,#REF!,6,FALSE)</f>
        <v>#REF!</v>
      </c>
      <c r="E735" s="9" t="e">
        <f>VLOOKUP($B735,#REF!,17,FALSE)</f>
        <v>#REF!</v>
      </c>
      <c r="F735" s="10" t="e">
        <f>VLOOKUP($B735,#REF!,7,FALSE)</f>
        <v>#REF!</v>
      </c>
      <c r="G735" s="10"/>
      <c r="H735" s="10"/>
      <c r="I735" s="11" t="e">
        <f>VLOOKUP($B735,#REF!,19,FALSE)</f>
        <v>#REF!</v>
      </c>
      <c r="J735" s="11" t="e">
        <f>VLOOKUP($B735,#REF!,6,FALSE)</f>
        <v>#REF!</v>
      </c>
      <c r="L735" s="3">
        <v>44654.531249997643</v>
      </c>
      <c r="M735" s="15"/>
    </row>
    <row r="736" spans="2:13">
      <c r="B736" s="7"/>
      <c r="C736" s="8" t="e">
        <f>VLOOKUP($B736,#REF!,5,FALSE)</f>
        <v>#REF!</v>
      </c>
      <c r="D736" s="8" t="e">
        <f>VLOOKUP($B736,#REF!,6,FALSE)</f>
        <v>#REF!</v>
      </c>
      <c r="E736" s="9" t="e">
        <f>VLOOKUP($B736,#REF!,17,FALSE)</f>
        <v>#REF!</v>
      </c>
      <c r="F736" s="10" t="e">
        <f>VLOOKUP($B736,#REF!,7,FALSE)</f>
        <v>#REF!</v>
      </c>
      <c r="G736" s="10"/>
      <c r="H736" s="10"/>
      <c r="I736" s="11" t="e">
        <f>VLOOKUP($B736,#REF!,19,FALSE)</f>
        <v>#REF!</v>
      </c>
      <c r="J736" s="11" t="e">
        <f>VLOOKUP($B736,#REF!,6,FALSE)</f>
        <v>#REF!</v>
      </c>
      <c r="L736" s="3">
        <v>44654.534722219862</v>
      </c>
      <c r="M736" s="15"/>
    </row>
    <row r="737" spans="2:13">
      <c r="B737" s="7"/>
      <c r="C737" s="8" t="e">
        <f>VLOOKUP($B737,#REF!,5,FALSE)</f>
        <v>#REF!</v>
      </c>
      <c r="D737" s="8" t="e">
        <f>VLOOKUP($B737,#REF!,6,FALSE)</f>
        <v>#REF!</v>
      </c>
      <c r="E737" s="9" t="e">
        <f>VLOOKUP($B737,#REF!,17,FALSE)</f>
        <v>#REF!</v>
      </c>
      <c r="F737" s="10" t="e">
        <f>VLOOKUP($B737,#REF!,7,FALSE)</f>
        <v>#REF!</v>
      </c>
      <c r="G737" s="10"/>
      <c r="H737" s="10"/>
      <c r="I737" s="11" t="e">
        <f>VLOOKUP($B737,#REF!,19,FALSE)</f>
        <v>#REF!</v>
      </c>
      <c r="J737" s="11" t="e">
        <f>VLOOKUP($B737,#REF!,6,FALSE)</f>
        <v>#REF!</v>
      </c>
      <c r="L737" s="3">
        <v>44654.538194442081</v>
      </c>
      <c r="M737" s="15"/>
    </row>
    <row r="738" spans="2:13">
      <c r="B738" s="7"/>
      <c r="C738" s="8" t="e">
        <f>VLOOKUP($B738,#REF!,5,FALSE)</f>
        <v>#REF!</v>
      </c>
      <c r="D738" s="8" t="e">
        <f>VLOOKUP($B738,#REF!,6,FALSE)</f>
        <v>#REF!</v>
      </c>
      <c r="E738" s="9" t="e">
        <f>VLOOKUP($B738,#REF!,17,FALSE)</f>
        <v>#REF!</v>
      </c>
      <c r="F738" s="10" t="e">
        <f>VLOOKUP($B738,#REF!,7,FALSE)</f>
        <v>#REF!</v>
      </c>
      <c r="G738" s="10"/>
      <c r="H738" s="10"/>
      <c r="I738" s="11" t="e">
        <f>VLOOKUP($B738,#REF!,19,FALSE)</f>
        <v>#REF!</v>
      </c>
      <c r="J738" s="11" t="e">
        <f>VLOOKUP($B738,#REF!,6,FALSE)</f>
        <v>#REF!</v>
      </c>
      <c r="L738" s="3">
        <v>44654.5416666643</v>
      </c>
      <c r="M738" s="15"/>
    </row>
    <row r="739" spans="2:13">
      <c r="B739" s="7"/>
      <c r="C739" s="8" t="e">
        <f>VLOOKUP($B739,#REF!,5,FALSE)</f>
        <v>#REF!</v>
      </c>
      <c r="D739" s="8" t="e">
        <f>VLOOKUP($B739,#REF!,6,FALSE)</f>
        <v>#REF!</v>
      </c>
      <c r="E739" s="9" t="e">
        <f>VLOOKUP($B739,#REF!,17,FALSE)</f>
        <v>#REF!</v>
      </c>
      <c r="F739" s="10" t="e">
        <f>VLOOKUP($B739,#REF!,7,FALSE)</f>
        <v>#REF!</v>
      </c>
      <c r="G739" s="10"/>
      <c r="H739" s="10"/>
      <c r="I739" s="11" t="e">
        <f>VLOOKUP($B739,#REF!,19,FALSE)</f>
        <v>#REF!</v>
      </c>
      <c r="J739" s="11" t="e">
        <f>VLOOKUP($B739,#REF!,6,FALSE)</f>
        <v>#REF!</v>
      </c>
      <c r="L739" s="3">
        <v>44654.545138886519</v>
      </c>
      <c r="M739" s="15"/>
    </row>
    <row r="740" spans="2:13">
      <c r="B740" s="7"/>
      <c r="C740" s="8" t="e">
        <f>VLOOKUP($B740,#REF!,5,FALSE)</f>
        <v>#REF!</v>
      </c>
      <c r="D740" s="8" t="e">
        <f>VLOOKUP($B740,#REF!,6,FALSE)</f>
        <v>#REF!</v>
      </c>
      <c r="E740" s="9" t="e">
        <f>VLOOKUP($B740,#REF!,17,FALSE)</f>
        <v>#REF!</v>
      </c>
      <c r="F740" s="10" t="e">
        <f>VLOOKUP($B740,#REF!,7,FALSE)</f>
        <v>#REF!</v>
      </c>
      <c r="G740" s="10"/>
      <c r="H740" s="10"/>
      <c r="I740" s="11" t="e">
        <f>VLOOKUP($B740,#REF!,19,FALSE)</f>
        <v>#REF!</v>
      </c>
      <c r="J740" s="11" t="e">
        <f>VLOOKUP($B740,#REF!,6,FALSE)</f>
        <v>#REF!</v>
      </c>
      <c r="L740" s="3">
        <v>44654.548611108738</v>
      </c>
      <c r="M740" s="15"/>
    </row>
    <row r="741" spans="2:13">
      <c r="B741" s="7"/>
      <c r="C741" s="8" t="e">
        <f>VLOOKUP($B741,#REF!,5,FALSE)</f>
        <v>#REF!</v>
      </c>
      <c r="D741" s="8" t="e">
        <f>VLOOKUP($B741,#REF!,6,FALSE)</f>
        <v>#REF!</v>
      </c>
      <c r="E741" s="9" t="e">
        <f>VLOOKUP($B741,#REF!,17,FALSE)</f>
        <v>#REF!</v>
      </c>
      <c r="F741" s="10" t="e">
        <f>VLOOKUP($B741,#REF!,7,FALSE)</f>
        <v>#REF!</v>
      </c>
      <c r="G741" s="10"/>
      <c r="H741" s="10"/>
      <c r="I741" s="11" t="e">
        <f>VLOOKUP($B741,#REF!,19,FALSE)</f>
        <v>#REF!</v>
      </c>
      <c r="J741" s="11" t="e">
        <f>VLOOKUP($B741,#REF!,6,FALSE)</f>
        <v>#REF!</v>
      </c>
      <c r="L741" s="3">
        <v>44654.552083330957</v>
      </c>
      <c r="M741" s="15"/>
    </row>
    <row r="742" spans="2:13">
      <c r="B742" s="7"/>
      <c r="C742" s="8" t="e">
        <f>VLOOKUP($B742,#REF!,5,FALSE)</f>
        <v>#REF!</v>
      </c>
      <c r="D742" s="8" t="e">
        <f>VLOOKUP($B742,#REF!,6,FALSE)</f>
        <v>#REF!</v>
      </c>
      <c r="E742" s="9" t="e">
        <f>VLOOKUP($B742,#REF!,17,FALSE)</f>
        <v>#REF!</v>
      </c>
      <c r="F742" s="10" t="e">
        <f>VLOOKUP($B742,#REF!,7,FALSE)</f>
        <v>#REF!</v>
      </c>
      <c r="G742" s="10"/>
      <c r="H742" s="10"/>
      <c r="I742" s="11" t="e">
        <f>VLOOKUP($B742,#REF!,19,FALSE)</f>
        <v>#REF!</v>
      </c>
      <c r="J742" s="11" t="e">
        <f>VLOOKUP($B742,#REF!,6,FALSE)</f>
        <v>#REF!</v>
      </c>
      <c r="L742" s="3">
        <v>44654.555555553176</v>
      </c>
      <c r="M742" s="15"/>
    </row>
    <row r="743" spans="2:13">
      <c r="B743" s="7"/>
      <c r="C743" s="8" t="e">
        <f>VLOOKUP($B743,#REF!,5,FALSE)</f>
        <v>#REF!</v>
      </c>
      <c r="D743" s="8" t="e">
        <f>VLOOKUP($B743,#REF!,6,FALSE)</f>
        <v>#REF!</v>
      </c>
      <c r="E743" s="9" t="e">
        <f>VLOOKUP($B743,#REF!,17,FALSE)</f>
        <v>#REF!</v>
      </c>
      <c r="F743" s="10" t="e">
        <f>VLOOKUP($B743,#REF!,7,FALSE)</f>
        <v>#REF!</v>
      </c>
      <c r="G743" s="10"/>
      <c r="H743" s="10"/>
      <c r="I743" s="11" t="e">
        <f>VLOOKUP($B743,#REF!,19,FALSE)</f>
        <v>#REF!</v>
      </c>
      <c r="J743" s="11" t="e">
        <f>VLOOKUP($B743,#REF!,6,FALSE)</f>
        <v>#REF!</v>
      </c>
      <c r="L743" s="3">
        <v>44654.559027775394</v>
      </c>
      <c r="M743" s="15"/>
    </row>
    <row r="744" spans="2:13">
      <c r="B744" s="7"/>
      <c r="C744" s="8" t="e">
        <f>VLOOKUP($B744,#REF!,5,FALSE)</f>
        <v>#REF!</v>
      </c>
      <c r="D744" s="8" t="e">
        <f>VLOOKUP($B744,#REF!,6,FALSE)</f>
        <v>#REF!</v>
      </c>
      <c r="E744" s="9" t="e">
        <f>VLOOKUP($B744,#REF!,17,FALSE)</f>
        <v>#REF!</v>
      </c>
      <c r="F744" s="10" t="e">
        <f>VLOOKUP($B744,#REF!,7,FALSE)</f>
        <v>#REF!</v>
      </c>
      <c r="G744" s="10"/>
      <c r="H744" s="10"/>
      <c r="I744" s="11" t="e">
        <f>VLOOKUP($B744,#REF!,19,FALSE)</f>
        <v>#REF!</v>
      </c>
      <c r="J744" s="11" t="e">
        <f>VLOOKUP($B744,#REF!,6,FALSE)</f>
        <v>#REF!</v>
      </c>
      <c r="L744" s="3">
        <v>44654.562499997613</v>
      </c>
      <c r="M744" s="15"/>
    </row>
    <row r="745" spans="2:13">
      <c r="B745" s="7"/>
      <c r="C745" s="8" t="e">
        <f>VLOOKUP($B745,#REF!,5,FALSE)</f>
        <v>#REF!</v>
      </c>
      <c r="D745" s="8" t="e">
        <f>VLOOKUP($B745,#REF!,6,FALSE)</f>
        <v>#REF!</v>
      </c>
      <c r="E745" s="9" t="e">
        <f>VLOOKUP($B745,#REF!,17,FALSE)</f>
        <v>#REF!</v>
      </c>
      <c r="F745" s="10" t="e">
        <f>VLOOKUP($B745,#REF!,7,FALSE)</f>
        <v>#REF!</v>
      </c>
      <c r="G745" s="10"/>
      <c r="H745" s="10"/>
      <c r="I745" s="11" t="e">
        <f>VLOOKUP($B745,#REF!,19,FALSE)</f>
        <v>#REF!</v>
      </c>
      <c r="J745" s="11" t="e">
        <f>VLOOKUP($B745,#REF!,6,FALSE)</f>
        <v>#REF!</v>
      </c>
      <c r="L745" s="3">
        <v>44654.565972219832</v>
      </c>
      <c r="M745" s="15"/>
    </row>
    <row r="746" spans="2:13">
      <c r="B746" s="7"/>
      <c r="C746" s="8" t="e">
        <f>VLOOKUP($B746,#REF!,5,FALSE)</f>
        <v>#REF!</v>
      </c>
      <c r="D746" s="8" t="e">
        <f>VLOOKUP($B746,#REF!,6,FALSE)</f>
        <v>#REF!</v>
      </c>
      <c r="E746" s="9" t="e">
        <f>VLOOKUP($B746,#REF!,17,FALSE)</f>
        <v>#REF!</v>
      </c>
      <c r="F746" s="10" t="e">
        <f>VLOOKUP($B746,#REF!,7,FALSE)</f>
        <v>#REF!</v>
      </c>
      <c r="G746" s="10"/>
      <c r="H746" s="10"/>
      <c r="I746" s="11" t="e">
        <f>VLOOKUP($B746,#REF!,19,FALSE)</f>
        <v>#REF!</v>
      </c>
      <c r="J746" s="11" t="e">
        <f>VLOOKUP($B746,#REF!,6,FALSE)</f>
        <v>#REF!</v>
      </c>
      <c r="L746" s="3">
        <v>44654.569444442051</v>
      </c>
      <c r="M746" s="15"/>
    </row>
    <row r="747" spans="2:13">
      <c r="B747" s="7"/>
      <c r="C747" s="8" t="e">
        <f>VLOOKUP($B747,#REF!,5,FALSE)</f>
        <v>#REF!</v>
      </c>
      <c r="D747" s="8" t="e">
        <f>VLOOKUP($B747,#REF!,6,FALSE)</f>
        <v>#REF!</v>
      </c>
      <c r="E747" s="9" t="e">
        <f>VLOOKUP($B747,#REF!,17,FALSE)</f>
        <v>#REF!</v>
      </c>
      <c r="F747" s="10" t="e">
        <f>VLOOKUP($B747,#REF!,7,FALSE)</f>
        <v>#REF!</v>
      </c>
      <c r="G747" s="10"/>
      <c r="H747" s="10"/>
      <c r="I747" s="11" t="e">
        <f>VLOOKUP($B747,#REF!,19,FALSE)</f>
        <v>#REF!</v>
      </c>
      <c r="J747" s="11" t="e">
        <f>VLOOKUP($B747,#REF!,6,FALSE)</f>
        <v>#REF!</v>
      </c>
      <c r="L747" s="3">
        <v>44654.57291666427</v>
      </c>
      <c r="M747" s="15"/>
    </row>
    <row r="748" spans="2:13">
      <c r="B748" s="7"/>
      <c r="C748" s="8" t="e">
        <f>VLOOKUP($B748,#REF!,5,FALSE)</f>
        <v>#REF!</v>
      </c>
      <c r="D748" s="8" t="e">
        <f>VLOOKUP($B748,#REF!,6,FALSE)</f>
        <v>#REF!</v>
      </c>
      <c r="E748" s="9" t="e">
        <f>VLOOKUP($B748,#REF!,17,FALSE)</f>
        <v>#REF!</v>
      </c>
      <c r="F748" s="10" t="e">
        <f>VLOOKUP($B748,#REF!,7,FALSE)</f>
        <v>#REF!</v>
      </c>
      <c r="G748" s="10"/>
      <c r="H748" s="10"/>
      <c r="I748" s="11" t="e">
        <f>VLOOKUP($B748,#REF!,19,FALSE)</f>
        <v>#REF!</v>
      </c>
      <c r="J748" s="11" t="e">
        <f>VLOOKUP($B748,#REF!,6,FALSE)</f>
        <v>#REF!</v>
      </c>
      <c r="L748" s="3">
        <v>44654.576388886489</v>
      </c>
      <c r="M748" s="15"/>
    </row>
    <row r="749" spans="2:13">
      <c r="B749" s="7"/>
      <c r="C749" s="8" t="e">
        <f>VLOOKUP($B749,#REF!,5,FALSE)</f>
        <v>#REF!</v>
      </c>
      <c r="D749" s="8" t="e">
        <f>VLOOKUP($B749,#REF!,6,FALSE)</f>
        <v>#REF!</v>
      </c>
      <c r="E749" s="9" t="e">
        <f>VLOOKUP($B749,#REF!,17,FALSE)</f>
        <v>#REF!</v>
      </c>
      <c r="F749" s="10" t="e">
        <f>VLOOKUP($B749,#REF!,7,FALSE)</f>
        <v>#REF!</v>
      </c>
      <c r="G749" s="10"/>
      <c r="H749" s="10"/>
      <c r="I749" s="11" t="e">
        <f>VLOOKUP($B749,#REF!,19,FALSE)</f>
        <v>#REF!</v>
      </c>
      <c r="J749" s="11" t="e">
        <f>VLOOKUP($B749,#REF!,6,FALSE)</f>
        <v>#REF!</v>
      </c>
      <c r="L749" s="3">
        <v>44654.579861108708</v>
      </c>
      <c r="M749" s="15"/>
    </row>
    <row r="750" spans="2:13">
      <c r="B750" s="7"/>
      <c r="C750" s="8" t="e">
        <f>VLOOKUP($B750,#REF!,5,FALSE)</f>
        <v>#REF!</v>
      </c>
      <c r="D750" s="8" t="e">
        <f>VLOOKUP($B750,#REF!,6,FALSE)</f>
        <v>#REF!</v>
      </c>
      <c r="E750" s="9" t="e">
        <f>VLOOKUP($B750,#REF!,17,FALSE)</f>
        <v>#REF!</v>
      </c>
      <c r="F750" s="10" t="e">
        <f>VLOOKUP($B750,#REF!,7,FALSE)</f>
        <v>#REF!</v>
      </c>
      <c r="G750" s="10"/>
      <c r="H750" s="10"/>
      <c r="I750" s="11" t="e">
        <f>VLOOKUP($B750,#REF!,19,FALSE)</f>
        <v>#REF!</v>
      </c>
      <c r="J750" s="11" t="e">
        <f>VLOOKUP($B750,#REF!,6,FALSE)</f>
        <v>#REF!</v>
      </c>
      <c r="L750" s="3">
        <v>44654.583333330927</v>
      </c>
      <c r="M750" s="15"/>
    </row>
    <row r="751" spans="2:13">
      <c r="B751" s="7"/>
      <c r="C751" s="8" t="e">
        <f>VLOOKUP($B751,#REF!,5,FALSE)</f>
        <v>#REF!</v>
      </c>
      <c r="D751" s="8" t="e">
        <f>VLOOKUP($B751,#REF!,6,FALSE)</f>
        <v>#REF!</v>
      </c>
      <c r="E751" s="9" t="e">
        <f>VLOOKUP($B751,#REF!,17,FALSE)</f>
        <v>#REF!</v>
      </c>
      <c r="F751" s="10" t="e">
        <f>VLOOKUP($B751,#REF!,7,FALSE)</f>
        <v>#REF!</v>
      </c>
      <c r="G751" s="10"/>
      <c r="H751" s="10"/>
      <c r="I751" s="11" t="e">
        <f>VLOOKUP($B751,#REF!,19,FALSE)</f>
        <v>#REF!</v>
      </c>
      <c r="J751" s="11" t="e">
        <f>VLOOKUP($B751,#REF!,6,FALSE)</f>
        <v>#REF!</v>
      </c>
      <c r="L751" s="3">
        <v>44654.586805553146</v>
      </c>
      <c r="M751" s="15"/>
    </row>
    <row r="752" spans="2:13">
      <c r="B752" s="7"/>
      <c r="C752" s="8" t="e">
        <f>VLOOKUP($B752,#REF!,5,FALSE)</f>
        <v>#REF!</v>
      </c>
      <c r="D752" s="8" t="e">
        <f>VLOOKUP($B752,#REF!,6,FALSE)</f>
        <v>#REF!</v>
      </c>
      <c r="E752" s="9" t="e">
        <f>VLOOKUP($B752,#REF!,17,FALSE)</f>
        <v>#REF!</v>
      </c>
      <c r="F752" s="10" t="e">
        <f>VLOOKUP($B752,#REF!,7,FALSE)</f>
        <v>#REF!</v>
      </c>
      <c r="G752" s="10"/>
      <c r="H752" s="10"/>
      <c r="I752" s="11" t="e">
        <f>VLOOKUP($B752,#REF!,19,FALSE)</f>
        <v>#REF!</v>
      </c>
      <c r="J752" s="11" t="e">
        <f>VLOOKUP($B752,#REF!,6,FALSE)</f>
        <v>#REF!</v>
      </c>
      <c r="L752" s="3">
        <v>44654.590277775365</v>
      </c>
      <c r="M752" s="15"/>
    </row>
    <row r="753" spans="2:13">
      <c r="B753" s="7"/>
      <c r="C753" s="8" t="e">
        <f>VLOOKUP($B753,#REF!,5,FALSE)</f>
        <v>#REF!</v>
      </c>
      <c r="D753" s="8" t="e">
        <f>VLOOKUP($B753,#REF!,6,FALSE)</f>
        <v>#REF!</v>
      </c>
      <c r="E753" s="9" t="e">
        <f>VLOOKUP($B753,#REF!,17,FALSE)</f>
        <v>#REF!</v>
      </c>
      <c r="F753" s="10" t="e">
        <f>VLOOKUP($B753,#REF!,7,FALSE)</f>
        <v>#REF!</v>
      </c>
      <c r="G753" s="10"/>
      <c r="H753" s="10"/>
      <c r="I753" s="11" t="e">
        <f>VLOOKUP($B753,#REF!,19,FALSE)</f>
        <v>#REF!</v>
      </c>
      <c r="J753" s="11" t="e">
        <f>VLOOKUP($B753,#REF!,6,FALSE)</f>
        <v>#REF!</v>
      </c>
      <c r="L753" s="3">
        <v>44654.593749997584</v>
      </c>
      <c r="M753" s="15"/>
    </row>
    <row r="754" spans="2:13">
      <c r="B754" s="7"/>
      <c r="C754" s="8" t="e">
        <f>VLOOKUP($B754,#REF!,5,FALSE)</f>
        <v>#REF!</v>
      </c>
      <c r="D754" s="8" t="e">
        <f>VLOOKUP($B754,#REF!,6,FALSE)</f>
        <v>#REF!</v>
      </c>
      <c r="E754" s="9" t="e">
        <f>VLOOKUP($B754,#REF!,17,FALSE)</f>
        <v>#REF!</v>
      </c>
      <c r="F754" s="10" t="e">
        <f>VLOOKUP($B754,#REF!,7,FALSE)</f>
        <v>#REF!</v>
      </c>
      <c r="G754" s="10"/>
      <c r="H754" s="10"/>
      <c r="I754" s="11" t="e">
        <f>VLOOKUP($B754,#REF!,19,FALSE)</f>
        <v>#REF!</v>
      </c>
      <c r="J754" s="11" t="e">
        <f>VLOOKUP($B754,#REF!,6,FALSE)</f>
        <v>#REF!</v>
      </c>
      <c r="L754" s="3">
        <v>44654.597222219803</v>
      </c>
      <c r="M754" s="15"/>
    </row>
    <row r="755" spans="2:13">
      <c r="B755" s="7"/>
      <c r="C755" s="8" t="e">
        <f>VLOOKUP($B755,#REF!,5,FALSE)</f>
        <v>#REF!</v>
      </c>
      <c r="D755" s="8" t="e">
        <f>VLOOKUP($B755,#REF!,6,FALSE)</f>
        <v>#REF!</v>
      </c>
      <c r="E755" s="9" t="e">
        <f>VLOOKUP($B755,#REF!,17,FALSE)</f>
        <v>#REF!</v>
      </c>
      <c r="F755" s="10" t="e">
        <f>VLOOKUP($B755,#REF!,7,FALSE)</f>
        <v>#REF!</v>
      </c>
      <c r="G755" s="10"/>
      <c r="H755" s="10"/>
      <c r="I755" s="11" t="e">
        <f>VLOOKUP($B755,#REF!,19,FALSE)</f>
        <v>#REF!</v>
      </c>
      <c r="J755" s="11" t="e">
        <f>VLOOKUP($B755,#REF!,6,FALSE)</f>
        <v>#REF!</v>
      </c>
      <c r="L755" s="3">
        <v>44654.600694442022</v>
      </c>
      <c r="M755" s="15"/>
    </row>
    <row r="756" spans="2:13">
      <c r="B756" s="7"/>
      <c r="C756" s="8" t="e">
        <f>VLOOKUP($B756,#REF!,5,FALSE)</f>
        <v>#REF!</v>
      </c>
      <c r="D756" s="8" t="e">
        <f>VLOOKUP($B756,#REF!,6,FALSE)</f>
        <v>#REF!</v>
      </c>
      <c r="E756" s="9" t="e">
        <f>VLOOKUP($B756,#REF!,17,FALSE)</f>
        <v>#REF!</v>
      </c>
      <c r="F756" s="10" t="e">
        <f>VLOOKUP($B756,#REF!,7,FALSE)</f>
        <v>#REF!</v>
      </c>
      <c r="G756" s="10"/>
      <c r="H756" s="10"/>
      <c r="I756" s="11" t="e">
        <f>VLOOKUP($B756,#REF!,19,FALSE)</f>
        <v>#REF!</v>
      </c>
      <c r="J756" s="11" t="e">
        <f>VLOOKUP($B756,#REF!,6,FALSE)</f>
        <v>#REF!</v>
      </c>
      <c r="L756" s="3">
        <v>44654.604166664241</v>
      </c>
      <c r="M756" s="15"/>
    </row>
    <row r="757" spans="2:13">
      <c r="B757" s="7"/>
      <c r="C757" s="8" t="e">
        <f>VLOOKUP($B757,#REF!,5,FALSE)</f>
        <v>#REF!</v>
      </c>
      <c r="D757" s="8" t="e">
        <f>VLOOKUP($B757,#REF!,6,FALSE)</f>
        <v>#REF!</v>
      </c>
      <c r="E757" s="9" t="e">
        <f>VLOOKUP($B757,#REF!,17,FALSE)</f>
        <v>#REF!</v>
      </c>
      <c r="F757" s="10" t="e">
        <f>VLOOKUP($B757,#REF!,7,FALSE)</f>
        <v>#REF!</v>
      </c>
      <c r="G757" s="10"/>
      <c r="H757" s="10"/>
      <c r="I757" s="11" t="e">
        <f>VLOOKUP($B757,#REF!,19,FALSE)</f>
        <v>#REF!</v>
      </c>
      <c r="J757" s="11" t="e">
        <f>VLOOKUP($B757,#REF!,6,FALSE)</f>
        <v>#REF!</v>
      </c>
      <c r="L757" s="3">
        <v>44654.60763888646</v>
      </c>
      <c r="M757" s="15"/>
    </row>
    <row r="758" spans="2:13">
      <c r="B758" s="7"/>
      <c r="C758" s="8" t="e">
        <f>VLOOKUP($B758,#REF!,5,FALSE)</f>
        <v>#REF!</v>
      </c>
      <c r="D758" s="8" t="e">
        <f>VLOOKUP($B758,#REF!,6,FALSE)</f>
        <v>#REF!</v>
      </c>
      <c r="E758" s="9" t="e">
        <f>VLOOKUP($B758,#REF!,17,FALSE)</f>
        <v>#REF!</v>
      </c>
      <c r="F758" s="10" t="e">
        <f>VLOOKUP($B758,#REF!,7,FALSE)</f>
        <v>#REF!</v>
      </c>
      <c r="G758" s="10"/>
      <c r="H758" s="10"/>
      <c r="I758" s="11" t="e">
        <f>VLOOKUP($B758,#REF!,19,FALSE)</f>
        <v>#REF!</v>
      </c>
      <c r="J758" s="11" t="e">
        <f>VLOOKUP($B758,#REF!,6,FALSE)</f>
        <v>#REF!</v>
      </c>
      <c r="L758" s="3">
        <v>44654.611111108679</v>
      </c>
      <c r="M758" s="15"/>
    </row>
    <row r="759" spans="2:13">
      <c r="B759" s="7"/>
      <c r="C759" s="8" t="e">
        <f>VLOOKUP($B759,#REF!,5,FALSE)</f>
        <v>#REF!</v>
      </c>
      <c r="D759" s="8" t="e">
        <f>VLOOKUP($B759,#REF!,6,FALSE)</f>
        <v>#REF!</v>
      </c>
      <c r="E759" s="9" t="e">
        <f>VLOOKUP($B759,#REF!,17,FALSE)</f>
        <v>#REF!</v>
      </c>
      <c r="F759" s="10" t="e">
        <f>VLOOKUP($B759,#REF!,7,FALSE)</f>
        <v>#REF!</v>
      </c>
      <c r="G759" s="10"/>
      <c r="H759" s="10"/>
      <c r="I759" s="11" t="e">
        <f>VLOOKUP($B759,#REF!,19,FALSE)</f>
        <v>#REF!</v>
      </c>
      <c r="J759" s="11" t="e">
        <f>VLOOKUP($B759,#REF!,6,FALSE)</f>
        <v>#REF!</v>
      </c>
      <c r="L759" s="3">
        <v>44654.614583330898</v>
      </c>
      <c r="M759" s="15"/>
    </row>
    <row r="760" spans="2:13">
      <c r="B760" s="7"/>
      <c r="C760" s="8" t="e">
        <f>VLOOKUP($B760,#REF!,5,FALSE)</f>
        <v>#REF!</v>
      </c>
      <c r="D760" s="8" t="e">
        <f>VLOOKUP($B760,#REF!,6,FALSE)</f>
        <v>#REF!</v>
      </c>
      <c r="E760" s="9" t="e">
        <f>VLOOKUP($B760,#REF!,17,FALSE)</f>
        <v>#REF!</v>
      </c>
      <c r="F760" s="10" t="e">
        <f>VLOOKUP($B760,#REF!,7,FALSE)</f>
        <v>#REF!</v>
      </c>
      <c r="G760" s="10"/>
      <c r="H760" s="10"/>
      <c r="I760" s="11" t="e">
        <f>VLOOKUP($B760,#REF!,19,FALSE)</f>
        <v>#REF!</v>
      </c>
      <c r="J760" s="11" t="e">
        <f>VLOOKUP($B760,#REF!,6,FALSE)</f>
        <v>#REF!</v>
      </c>
      <c r="L760" s="3">
        <v>44654.618055553117</v>
      </c>
      <c r="M760" s="15"/>
    </row>
    <row r="761" spans="2:13">
      <c r="B761" s="7"/>
      <c r="C761" s="8" t="e">
        <f>VLOOKUP($B761,#REF!,5,FALSE)</f>
        <v>#REF!</v>
      </c>
      <c r="D761" s="8" t="e">
        <f>VLOOKUP($B761,#REF!,6,FALSE)</f>
        <v>#REF!</v>
      </c>
      <c r="E761" s="9" t="e">
        <f>VLOOKUP($B761,#REF!,17,FALSE)</f>
        <v>#REF!</v>
      </c>
      <c r="F761" s="10" t="e">
        <f>VLOOKUP($B761,#REF!,7,FALSE)</f>
        <v>#REF!</v>
      </c>
      <c r="G761" s="10"/>
      <c r="H761" s="10"/>
      <c r="I761" s="11" t="e">
        <f>VLOOKUP($B761,#REF!,19,FALSE)</f>
        <v>#REF!</v>
      </c>
      <c r="J761" s="11" t="e">
        <f>VLOOKUP($B761,#REF!,6,FALSE)</f>
        <v>#REF!</v>
      </c>
      <c r="L761" s="3">
        <v>44654.621527775336</v>
      </c>
      <c r="M761" s="15"/>
    </row>
    <row r="762" spans="2:13">
      <c r="B762" s="7"/>
      <c r="C762" s="8" t="e">
        <f>VLOOKUP($B762,#REF!,5,FALSE)</f>
        <v>#REF!</v>
      </c>
      <c r="D762" s="8" t="e">
        <f>VLOOKUP($B762,#REF!,6,FALSE)</f>
        <v>#REF!</v>
      </c>
      <c r="E762" s="9" t="e">
        <f>VLOOKUP($B762,#REF!,17,FALSE)</f>
        <v>#REF!</v>
      </c>
      <c r="F762" s="10" t="e">
        <f>VLOOKUP($B762,#REF!,7,FALSE)</f>
        <v>#REF!</v>
      </c>
      <c r="G762" s="10"/>
      <c r="H762" s="10"/>
      <c r="I762" s="11" t="e">
        <f>VLOOKUP($B762,#REF!,19,FALSE)</f>
        <v>#REF!</v>
      </c>
      <c r="J762" s="11" t="e">
        <f>VLOOKUP($B762,#REF!,6,FALSE)</f>
        <v>#REF!</v>
      </c>
      <c r="L762" s="3">
        <v>44654.624999997555</v>
      </c>
      <c r="M762" s="15"/>
    </row>
    <row r="763" spans="2:13">
      <c r="B763" s="7"/>
      <c r="C763" s="8" t="e">
        <f>VLOOKUP($B763,#REF!,5,FALSE)</f>
        <v>#REF!</v>
      </c>
      <c r="D763" s="8" t="e">
        <f>VLOOKUP($B763,#REF!,6,FALSE)</f>
        <v>#REF!</v>
      </c>
      <c r="E763" s="9" t="e">
        <f>VLOOKUP($B763,#REF!,17,FALSE)</f>
        <v>#REF!</v>
      </c>
      <c r="F763" s="10" t="e">
        <f>VLOOKUP($B763,#REF!,7,FALSE)</f>
        <v>#REF!</v>
      </c>
      <c r="G763" s="10"/>
      <c r="H763" s="10"/>
      <c r="I763" s="11" t="e">
        <f>VLOOKUP($B763,#REF!,19,FALSE)</f>
        <v>#REF!</v>
      </c>
      <c r="J763" s="11" t="e">
        <f>VLOOKUP($B763,#REF!,6,FALSE)</f>
        <v>#REF!</v>
      </c>
      <c r="L763" s="3">
        <v>44654.628472219774</v>
      </c>
      <c r="M763" s="15"/>
    </row>
    <row r="764" spans="2:13">
      <c r="B764" s="7"/>
      <c r="C764" s="8" t="e">
        <f>VLOOKUP($B764,#REF!,5,FALSE)</f>
        <v>#REF!</v>
      </c>
      <c r="D764" s="8" t="e">
        <f>VLOOKUP($B764,#REF!,6,FALSE)</f>
        <v>#REF!</v>
      </c>
      <c r="E764" s="9" t="e">
        <f>VLOOKUP($B764,#REF!,17,FALSE)</f>
        <v>#REF!</v>
      </c>
      <c r="F764" s="10" t="e">
        <f>VLOOKUP($B764,#REF!,7,FALSE)</f>
        <v>#REF!</v>
      </c>
      <c r="G764" s="10"/>
      <c r="H764" s="10"/>
      <c r="I764" s="11" t="e">
        <f>VLOOKUP($B764,#REF!,19,FALSE)</f>
        <v>#REF!</v>
      </c>
      <c r="J764" s="11" t="e">
        <f>VLOOKUP($B764,#REF!,6,FALSE)</f>
        <v>#REF!</v>
      </c>
      <c r="L764" s="3">
        <v>44654.631944441993</v>
      </c>
      <c r="M764" s="15"/>
    </row>
    <row r="765" spans="2:13">
      <c r="B765" s="7"/>
      <c r="C765" s="8" t="e">
        <f>VLOOKUP($B765,#REF!,5,FALSE)</f>
        <v>#REF!</v>
      </c>
      <c r="D765" s="8" t="e">
        <f>VLOOKUP($B765,#REF!,6,FALSE)</f>
        <v>#REF!</v>
      </c>
      <c r="E765" s="9" t="e">
        <f>VLOOKUP($B765,#REF!,17,FALSE)</f>
        <v>#REF!</v>
      </c>
      <c r="F765" s="10" t="e">
        <f>VLOOKUP($B765,#REF!,7,FALSE)</f>
        <v>#REF!</v>
      </c>
      <c r="G765" s="10"/>
      <c r="H765" s="10"/>
      <c r="I765" s="11" t="e">
        <f>VLOOKUP($B765,#REF!,19,FALSE)</f>
        <v>#REF!</v>
      </c>
      <c r="J765" s="11" t="e">
        <f>VLOOKUP($B765,#REF!,6,FALSE)</f>
        <v>#REF!</v>
      </c>
      <c r="L765" s="3">
        <v>44654.635416664212</v>
      </c>
      <c r="M765" s="15"/>
    </row>
    <row r="766" spans="2:13">
      <c r="B766" s="7"/>
      <c r="C766" s="8" t="e">
        <f>VLOOKUP($B766,#REF!,5,FALSE)</f>
        <v>#REF!</v>
      </c>
      <c r="D766" s="8" t="e">
        <f>VLOOKUP($B766,#REF!,6,FALSE)</f>
        <v>#REF!</v>
      </c>
      <c r="E766" s="9" t="e">
        <f>VLOOKUP($B766,#REF!,17,FALSE)</f>
        <v>#REF!</v>
      </c>
      <c r="F766" s="10" t="e">
        <f>VLOOKUP($B766,#REF!,7,FALSE)</f>
        <v>#REF!</v>
      </c>
      <c r="G766" s="10"/>
      <c r="H766" s="10"/>
      <c r="I766" s="11" t="e">
        <f>VLOOKUP($B766,#REF!,19,FALSE)</f>
        <v>#REF!</v>
      </c>
      <c r="J766" s="11" t="e">
        <f>VLOOKUP($B766,#REF!,6,FALSE)</f>
        <v>#REF!</v>
      </c>
      <c r="L766" s="3">
        <v>44654.638888886431</v>
      </c>
      <c r="M766" s="15"/>
    </row>
    <row r="767" spans="2:13">
      <c r="B767" s="7"/>
      <c r="C767" s="8" t="e">
        <f>VLOOKUP($B767,#REF!,5,FALSE)</f>
        <v>#REF!</v>
      </c>
      <c r="D767" s="8" t="e">
        <f>VLOOKUP($B767,#REF!,6,FALSE)</f>
        <v>#REF!</v>
      </c>
      <c r="E767" s="9" t="e">
        <f>VLOOKUP($B767,#REF!,17,FALSE)</f>
        <v>#REF!</v>
      </c>
      <c r="F767" s="10" t="e">
        <f>VLOOKUP($B767,#REF!,7,FALSE)</f>
        <v>#REF!</v>
      </c>
      <c r="G767" s="10"/>
      <c r="H767" s="10"/>
      <c r="I767" s="11" t="e">
        <f>VLOOKUP($B767,#REF!,19,FALSE)</f>
        <v>#REF!</v>
      </c>
      <c r="J767" s="11" t="e">
        <f>VLOOKUP($B767,#REF!,6,FALSE)</f>
        <v>#REF!</v>
      </c>
      <c r="L767" s="3">
        <v>44654.64236110865</v>
      </c>
      <c r="M767" s="15"/>
    </row>
    <row r="768" spans="2:13">
      <c r="B768" s="7"/>
      <c r="C768" s="8" t="e">
        <f>VLOOKUP($B768,#REF!,5,FALSE)</f>
        <v>#REF!</v>
      </c>
      <c r="D768" s="8" t="e">
        <f>VLOOKUP($B768,#REF!,6,FALSE)</f>
        <v>#REF!</v>
      </c>
      <c r="E768" s="9" t="e">
        <f>VLOOKUP($B768,#REF!,17,FALSE)</f>
        <v>#REF!</v>
      </c>
      <c r="F768" s="10" t="e">
        <f>VLOOKUP($B768,#REF!,7,FALSE)</f>
        <v>#REF!</v>
      </c>
      <c r="G768" s="10"/>
      <c r="H768" s="10"/>
      <c r="I768" s="11" t="e">
        <f>VLOOKUP($B768,#REF!,19,FALSE)</f>
        <v>#REF!</v>
      </c>
      <c r="J768" s="11" t="e">
        <f>VLOOKUP($B768,#REF!,6,FALSE)</f>
        <v>#REF!</v>
      </c>
      <c r="L768" s="3">
        <v>44654.645833330869</v>
      </c>
      <c r="M768" s="15"/>
    </row>
    <row r="769" spans="2:13">
      <c r="B769" s="7"/>
      <c r="C769" s="8" t="e">
        <f>VLOOKUP($B769,#REF!,5,FALSE)</f>
        <v>#REF!</v>
      </c>
      <c r="D769" s="8" t="e">
        <f>VLOOKUP($B769,#REF!,6,FALSE)</f>
        <v>#REF!</v>
      </c>
      <c r="E769" s="9" t="e">
        <f>VLOOKUP($B769,#REF!,17,FALSE)</f>
        <v>#REF!</v>
      </c>
      <c r="F769" s="10" t="e">
        <f>VLOOKUP($B769,#REF!,7,FALSE)</f>
        <v>#REF!</v>
      </c>
      <c r="G769" s="10"/>
      <c r="H769" s="10"/>
      <c r="I769" s="11" t="e">
        <f>VLOOKUP($B769,#REF!,19,FALSE)</f>
        <v>#REF!</v>
      </c>
      <c r="J769" s="11" t="e">
        <f>VLOOKUP($B769,#REF!,6,FALSE)</f>
        <v>#REF!</v>
      </c>
      <c r="L769" s="3">
        <v>44654.649305553088</v>
      </c>
      <c r="M769" s="15"/>
    </row>
    <row r="770" spans="2:13">
      <c r="B770" s="7"/>
      <c r="C770" s="8" t="e">
        <f>VLOOKUP($B770,#REF!,5,FALSE)</f>
        <v>#REF!</v>
      </c>
      <c r="D770" s="8" t="e">
        <f>VLOOKUP($B770,#REF!,6,FALSE)</f>
        <v>#REF!</v>
      </c>
      <c r="E770" s="9" t="e">
        <f>VLOOKUP($B770,#REF!,17,FALSE)</f>
        <v>#REF!</v>
      </c>
      <c r="F770" s="10" t="e">
        <f>VLOOKUP($B770,#REF!,7,FALSE)</f>
        <v>#REF!</v>
      </c>
      <c r="G770" s="10"/>
      <c r="H770" s="10"/>
      <c r="I770" s="11" t="e">
        <f>VLOOKUP($B770,#REF!,19,FALSE)</f>
        <v>#REF!</v>
      </c>
      <c r="J770" s="11" t="e">
        <f>VLOOKUP($B770,#REF!,6,FALSE)</f>
        <v>#REF!</v>
      </c>
      <c r="L770" s="3">
        <v>44654.652777775307</v>
      </c>
      <c r="M770" s="15"/>
    </row>
    <row r="771" spans="2:13">
      <c r="B771" s="7"/>
      <c r="C771" s="8" t="e">
        <f>VLOOKUP($B771,#REF!,5,FALSE)</f>
        <v>#REF!</v>
      </c>
      <c r="D771" s="8" t="e">
        <f>VLOOKUP($B771,#REF!,6,FALSE)</f>
        <v>#REF!</v>
      </c>
      <c r="E771" s="9" t="e">
        <f>VLOOKUP($B771,#REF!,17,FALSE)</f>
        <v>#REF!</v>
      </c>
      <c r="F771" s="10" t="e">
        <f>VLOOKUP($B771,#REF!,7,FALSE)</f>
        <v>#REF!</v>
      </c>
      <c r="G771" s="10"/>
      <c r="H771" s="10"/>
      <c r="I771" s="11" t="e">
        <f>VLOOKUP($B771,#REF!,19,FALSE)</f>
        <v>#REF!</v>
      </c>
      <c r="J771" s="11" t="e">
        <f>VLOOKUP($B771,#REF!,6,FALSE)</f>
        <v>#REF!</v>
      </c>
      <c r="L771" s="3">
        <v>44654.656249997526</v>
      </c>
      <c r="M771" s="15"/>
    </row>
    <row r="772" spans="2:13">
      <c r="B772" s="7"/>
      <c r="C772" s="8" t="e">
        <f>VLOOKUP($B772,#REF!,5,FALSE)</f>
        <v>#REF!</v>
      </c>
      <c r="D772" s="8" t="e">
        <f>VLOOKUP($B772,#REF!,6,FALSE)</f>
        <v>#REF!</v>
      </c>
      <c r="E772" s="9" t="e">
        <f>VLOOKUP($B772,#REF!,17,FALSE)</f>
        <v>#REF!</v>
      </c>
      <c r="F772" s="10" t="e">
        <f>VLOOKUP($B772,#REF!,7,FALSE)</f>
        <v>#REF!</v>
      </c>
      <c r="G772" s="10"/>
      <c r="H772" s="10"/>
      <c r="I772" s="11" t="e">
        <f>VLOOKUP($B772,#REF!,19,FALSE)</f>
        <v>#REF!</v>
      </c>
      <c r="J772" s="11" t="e">
        <f>VLOOKUP($B772,#REF!,6,FALSE)</f>
        <v>#REF!</v>
      </c>
      <c r="L772" s="3">
        <v>44654.659722219745</v>
      </c>
      <c r="M772" s="15"/>
    </row>
    <row r="773" spans="2:13">
      <c r="B773" s="7"/>
      <c r="C773" s="8" t="e">
        <f>VLOOKUP($B773,#REF!,5,FALSE)</f>
        <v>#REF!</v>
      </c>
      <c r="D773" s="8" t="e">
        <f>VLOOKUP($B773,#REF!,6,FALSE)</f>
        <v>#REF!</v>
      </c>
      <c r="E773" s="9" t="e">
        <f>VLOOKUP($B773,#REF!,17,FALSE)</f>
        <v>#REF!</v>
      </c>
      <c r="F773" s="10" t="e">
        <f>VLOOKUP($B773,#REF!,7,FALSE)</f>
        <v>#REF!</v>
      </c>
      <c r="G773" s="10"/>
      <c r="H773" s="10"/>
      <c r="I773" s="11" t="e">
        <f>VLOOKUP($B773,#REF!,19,FALSE)</f>
        <v>#REF!</v>
      </c>
      <c r="J773" s="11" t="e">
        <f>VLOOKUP($B773,#REF!,6,FALSE)</f>
        <v>#REF!</v>
      </c>
      <c r="L773" s="3">
        <v>44654.663194441964</v>
      </c>
      <c r="M773" s="15"/>
    </row>
    <row r="774" spans="2:13">
      <c r="B774" s="7"/>
      <c r="C774" s="8" t="e">
        <f>VLOOKUP($B774,#REF!,5,FALSE)</f>
        <v>#REF!</v>
      </c>
      <c r="D774" s="8" t="e">
        <f>VLOOKUP($B774,#REF!,6,FALSE)</f>
        <v>#REF!</v>
      </c>
      <c r="E774" s="9" t="e">
        <f>VLOOKUP($B774,#REF!,17,FALSE)</f>
        <v>#REF!</v>
      </c>
      <c r="F774" s="10" t="e">
        <f>VLOOKUP($B774,#REF!,7,FALSE)</f>
        <v>#REF!</v>
      </c>
      <c r="G774" s="10"/>
      <c r="H774" s="10"/>
      <c r="I774" s="11" t="e">
        <f>VLOOKUP($B774,#REF!,19,FALSE)</f>
        <v>#REF!</v>
      </c>
      <c r="J774" s="11" t="e">
        <f>VLOOKUP($B774,#REF!,6,FALSE)</f>
        <v>#REF!</v>
      </c>
      <c r="L774" s="3">
        <v>44654.666666664183</v>
      </c>
      <c r="M774" s="15"/>
    </row>
    <row r="775" spans="2:13">
      <c r="B775" s="7"/>
      <c r="C775" s="8" t="e">
        <f>VLOOKUP($B775,#REF!,5,FALSE)</f>
        <v>#REF!</v>
      </c>
      <c r="D775" s="8" t="e">
        <f>VLOOKUP($B775,#REF!,6,FALSE)</f>
        <v>#REF!</v>
      </c>
      <c r="E775" s="9" t="e">
        <f>VLOOKUP($B775,#REF!,17,FALSE)</f>
        <v>#REF!</v>
      </c>
      <c r="F775" s="10" t="e">
        <f>VLOOKUP($B775,#REF!,7,FALSE)</f>
        <v>#REF!</v>
      </c>
      <c r="G775" s="10"/>
      <c r="H775" s="10"/>
      <c r="I775" s="11" t="e">
        <f>VLOOKUP($B775,#REF!,19,FALSE)</f>
        <v>#REF!</v>
      </c>
      <c r="J775" s="11" t="e">
        <f>VLOOKUP($B775,#REF!,6,FALSE)</f>
        <v>#REF!</v>
      </c>
      <c r="L775" s="3">
        <v>44654.670138886402</v>
      </c>
      <c r="M775" s="15"/>
    </row>
    <row r="776" spans="2:13">
      <c r="B776" s="7"/>
      <c r="C776" s="8" t="e">
        <f>VLOOKUP($B776,#REF!,5,FALSE)</f>
        <v>#REF!</v>
      </c>
      <c r="D776" s="8" t="e">
        <f>VLOOKUP($B776,#REF!,6,FALSE)</f>
        <v>#REF!</v>
      </c>
      <c r="E776" s="9" t="e">
        <f>VLOOKUP($B776,#REF!,17,FALSE)</f>
        <v>#REF!</v>
      </c>
      <c r="F776" s="10" t="e">
        <f>VLOOKUP($B776,#REF!,7,FALSE)</f>
        <v>#REF!</v>
      </c>
      <c r="G776" s="10"/>
      <c r="H776" s="10"/>
      <c r="I776" s="11" t="e">
        <f>VLOOKUP($B776,#REF!,19,FALSE)</f>
        <v>#REF!</v>
      </c>
      <c r="J776" s="11" t="e">
        <f>VLOOKUP($B776,#REF!,6,FALSE)</f>
        <v>#REF!</v>
      </c>
      <c r="L776" s="3">
        <v>44654.673611108621</v>
      </c>
      <c r="M776" s="15"/>
    </row>
    <row r="777" spans="2:13">
      <c r="B777" s="7"/>
      <c r="C777" s="8" t="e">
        <f>VLOOKUP($B777,#REF!,5,FALSE)</f>
        <v>#REF!</v>
      </c>
      <c r="D777" s="8" t="e">
        <f>VLOOKUP($B777,#REF!,6,FALSE)</f>
        <v>#REF!</v>
      </c>
      <c r="E777" s="9" t="e">
        <f>VLOOKUP($B777,#REF!,17,FALSE)</f>
        <v>#REF!</v>
      </c>
      <c r="F777" s="10" t="e">
        <f>VLOOKUP($B777,#REF!,7,FALSE)</f>
        <v>#REF!</v>
      </c>
      <c r="G777" s="10"/>
      <c r="H777" s="10"/>
      <c r="I777" s="11" t="e">
        <f>VLOOKUP($B777,#REF!,19,FALSE)</f>
        <v>#REF!</v>
      </c>
      <c r="J777" s="11" t="e">
        <f>VLOOKUP($B777,#REF!,6,FALSE)</f>
        <v>#REF!</v>
      </c>
      <c r="L777" s="3">
        <v>44654.67708333084</v>
      </c>
      <c r="M777" s="15"/>
    </row>
    <row r="778" spans="2:13">
      <c r="B778" s="7"/>
      <c r="C778" s="8" t="e">
        <f>VLOOKUP($B778,#REF!,5,FALSE)</f>
        <v>#REF!</v>
      </c>
      <c r="D778" s="8" t="e">
        <f>VLOOKUP($B778,#REF!,6,FALSE)</f>
        <v>#REF!</v>
      </c>
      <c r="E778" s="9" t="e">
        <f>VLOOKUP($B778,#REF!,17,FALSE)</f>
        <v>#REF!</v>
      </c>
      <c r="F778" s="10" t="e">
        <f>VLOOKUP($B778,#REF!,7,FALSE)</f>
        <v>#REF!</v>
      </c>
      <c r="G778" s="10"/>
      <c r="H778" s="10"/>
      <c r="I778" s="11" t="e">
        <f>VLOOKUP($B778,#REF!,19,FALSE)</f>
        <v>#REF!</v>
      </c>
      <c r="J778" s="11" t="e">
        <f>VLOOKUP($B778,#REF!,6,FALSE)</f>
        <v>#REF!</v>
      </c>
      <c r="L778" s="3">
        <v>44654.680555553059</v>
      </c>
      <c r="M778" s="15"/>
    </row>
    <row r="779" spans="2:13">
      <c r="B779" s="7"/>
      <c r="C779" s="8" t="e">
        <f>VLOOKUP($B779,#REF!,5,FALSE)</f>
        <v>#REF!</v>
      </c>
      <c r="D779" s="8" t="e">
        <f>VLOOKUP($B779,#REF!,6,FALSE)</f>
        <v>#REF!</v>
      </c>
      <c r="E779" s="9" t="e">
        <f>VLOOKUP($B779,#REF!,17,FALSE)</f>
        <v>#REF!</v>
      </c>
      <c r="F779" s="10" t="e">
        <f>VLOOKUP($B779,#REF!,7,FALSE)</f>
        <v>#REF!</v>
      </c>
      <c r="G779" s="10"/>
      <c r="H779" s="10"/>
      <c r="I779" s="11" t="e">
        <f>VLOOKUP($B779,#REF!,19,FALSE)</f>
        <v>#REF!</v>
      </c>
      <c r="J779" s="11" t="e">
        <f>VLOOKUP($B779,#REF!,6,FALSE)</f>
        <v>#REF!</v>
      </c>
      <c r="L779" s="3">
        <v>44654.684027775278</v>
      </c>
      <c r="M779" s="15"/>
    </row>
    <row r="780" spans="2:13">
      <c r="B780" s="7"/>
      <c r="C780" s="8" t="e">
        <f>VLOOKUP($B780,#REF!,5,FALSE)</f>
        <v>#REF!</v>
      </c>
      <c r="D780" s="8" t="e">
        <f>VLOOKUP($B780,#REF!,6,FALSE)</f>
        <v>#REF!</v>
      </c>
      <c r="E780" s="9" t="e">
        <f>VLOOKUP($B780,#REF!,17,FALSE)</f>
        <v>#REF!</v>
      </c>
      <c r="F780" s="10" t="e">
        <f>VLOOKUP($B780,#REF!,7,FALSE)</f>
        <v>#REF!</v>
      </c>
      <c r="G780" s="10"/>
      <c r="H780" s="10"/>
      <c r="I780" s="11" t="e">
        <f>VLOOKUP($B780,#REF!,19,FALSE)</f>
        <v>#REF!</v>
      </c>
      <c r="J780" s="11" t="e">
        <f>VLOOKUP($B780,#REF!,6,FALSE)</f>
        <v>#REF!</v>
      </c>
      <c r="L780" s="3">
        <v>44654.687499997497</v>
      </c>
      <c r="M780" s="15"/>
    </row>
    <row r="781" spans="2:13">
      <c r="B781" s="7"/>
      <c r="C781" s="8" t="e">
        <f>VLOOKUP($B781,#REF!,5,FALSE)</f>
        <v>#REF!</v>
      </c>
      <c r="D781" s="8" t="e">
        <f>VLOOKUP($B781,#REF!,6,FALSE)</f>
        <v>#REF!</v>
      </c>
      <c r="E781" s="9" t="e">
        <f>VLOOKUP($B781,#REF!,17,FALSE)</f>
        <v>#REF!</v>
      </c>
      <c r="F781" s="10" t="e">
        <f>VLOOKUP($B781,#REF!,7,FALSE)</f>
        <v>#REF!</v>
      </c>
      <c r="G781" s="10"/>
      <c r="H781" s="10"/>
      <c r="I781" s="11" t="e">
        <f>VLOOKUP($B781,#REF!,19,FALSE)</f>
        <v>#REF!</v>
      </c>
      <c r="J781" s="11" t="e">
        <f>VLOOKUP($B781,#REF!,6,FALSE)</f>
        <v>#REF!</v>
      </c>
      <c r="L781" s="3">
        <v>44654.690972219716</v>
      </c>
      <c r="M781" s="15"/>
    </row>
    <row r="782" spans="2:13">
      <c r="B782" s="7"/>
      <c r="C782" s="8" t="e">
        <f>VLOOKUP($B782,#REF!,5,FALSE)</f>
        <v>#REF!</v>
      </c>
      <c r="D782" s="8" t="e">
        <f>VLOOKUP($B782,#REF!,6,FALSE)</f>
        <v>#REF!</v>
      </c>
      <c r="E782" s="9" t="e">
        <f>VLOOKUP($B782,#REF!,17,FALSE)</f>
        <v>#REF!</v>
      </c>
      <c r="F782" s="10" t="e">
        <f>VLOOKUP($B782,#REF!,7,FALSE)</f>
        <v>#REF!</v>
      </c>
      <c r="G782" s="10"/>
      <c r="H782" s="10"/>
      <c r="I782" s="11" t="e">
        <f>VLOOKUP($B782,#REF!,19,FALSE)</f>
        <v>#REF!</v>
      </c>
      <c r="J782" s="11" t="e">
        <f>VLOOKUP($B782,#REF!,6,FALSE)</f>
        <v>#REF!</v>
      </c>
      <c r="L782" s="3">
        <v>44654.694444441935</v>
      </c>
      <c r="M782" s="15"/>
    </row>
    <row r="783" spans="2:13">
      <c r="B783" s="7"/>
      <c r="C783" s="8" t="e">
        <f>VLOOKUP($B783,#REF!,5,FALSE)</f>
        <v>#REF!</v>
      </c>
      <c r="D783" s="8" t="e">
        <f>VLOOKUP($B783,#REF!,6,FALSE)</f>
        <v>#REF!</v>
      </c>
      <c r="E783" s="9" t="e">
        <f>VLOOKUP($B783,#REF!,17,FALSE)</f>
        <v>#REF!</v>
      </c>
      <c r="F783" s="10" t="e">
        <f>VLOOKUP($B783,#REF!,7,FALSE)</f>
        <v>#REF!</v>
      </c>
      <c r="G783" s="10"/>
      <c r="H783" s="10"/>
      <c r="I783" s="11" t="e">
        <f>VLOOKUP($B783,#REF!,19,FALSE)</f>
        <v>#REF!</v>
      </c>
      <c r="J783" s="11" t="e">
        <f>VLOOKUP($B783,#REF!,6,FALSE)</f>
        <v>#REF!</v>
      </c>
      <c r="L783" s="3">
        <v>44654.697916664154</v>
      </c>
      <c r="M783" s="15"/>
    </row>
    <row r="784" spans="2:13">
      <c r="B784" s="7"/>
      <c r="C784" s="8" t="e">
        <f>VLOOKUP($B784,#REF!,5,FALSE)</f>
        <v>#REF!</v>
      </c>
      <c r="D784" s="8" t="e">
        <f>VLOOKUP($B784,#REF!,6,FALSE)</f>
        <v>#REF!</v>
      </c>
      <c r="E784" s="9" t="e">
        <f>VLOOKUP($B784,#REF!,17,FALSE)</f>
        <v>#REF!</v>
      </c>
      <c r="F784" s="10" t="e">
        <f>VLOOKUP($B784,#REF!,7,FALSE)</f>
        <v>#REF!</v>
      </c>
      <c r="G784" s="10"/>
      <c r="H784" s="10"/>
      <c r="I784" s="11" t="e">
        <f>VLOOKUP($B784,#REF!,19,FALSE)</f>
        <v>#REF!</v>
      </c>
      <c r="J784" s="11" t="e">
        <f>VLOOKUP($B784,#REF!,6,FALSE)</f>
        <v>#REF!</v>
      </c>
      <c r="L784" s="3">
        <v>44654.701388886373</v>
      </c>
      <c r="M784" s="15"/>
    </row>
    <row r="785" spans="2:13">
      <c r="B785" s="7"/>
      <c r="C785" s="8" t="e">
        <f>VLOOKUP($B785,#REF!,5,FALSE)</f>
        <v>#REF!</v>
      </c>
      <c r="D785" s="8" t="e">
        <f>VLOOKUP($B785,#REF!,6,FALSE)</f>
        <v>#REF!</v>
      </c>
      <c r="E785" s="9" t="e">
        <f>VLOOKUP($B785,#REF!,17,FALSE)</f>
        <v>#REF!</v>
      </c>
      <c r="F785" s="10" t="e">
        <f>VLOOKUP($B785,#REF!,7,FALSE)</f>
        <v>#REF!</v>
      </c>
      <c r="G785" s="10"/>
      <c r="H785" s="10"/>
      <c r="I785" s="11" t="e">
        <f>VLOOKUP($B785,#REF!,19,FALSE)</f>
        <v>#REF!</v>
      </c>
      <c r="J785" s="11" t="e">
        <f>VLOOKUP($B785,#REF!,6,FALSE)</f>
        <v>#REF!</v>
      </c>
      <c r="L785" s="3">
        <v>44654.704861108592</v>
      </c>
      <c r="M785" s="15"/>
    </row>
    <row r="786" spans="2:13">
      <c r="B786" s="7"/>
      <c r="C786" s="8" t="e">
        <f>VLOOKUP($B786,#REF!,5,FALSE)</f>
        <v>#REF!</v>
      </c>
      <c r="D786" s="8" t="e">
        <f>VLOOKUP($B786,#REF!,6,FALSE)</f>
        <v>#REF!</v>
      </c>
      <c r="E786" s="9" t="e">
        <f>VLOOKUP($B786,#REF!,17,FALSE)</f>
        <v>#REF!</v>
      </c>
      <c r="F786" s="10" t="e">
        <f>VLOOKUP($B786,#REF!,7,FALSE)</f>
        <v>#REF!</v>
      </c>
      <c r="G786" s="10"/>
      <c r="H786" s="10"/>
      <c r="I786" s="11" t="e">
        <f>VLOOKUP($B786,#REF!,19,FALSE)</f>
        <v>#REF!</v>
      </c>
      <c r="J786" s="11" t="e">
        <f>VLOOKUP($B786,#REF!,6,FALSE)</f>
        <v>#REF!</v>
      </c>
      <c r="L786" s="3">
        <v>44654.708333330811</v>
      </c>
      <c r="M786" s="15"/>
    </row>
    <row r="787" spans="2:13">
      <c r="B787" s="7"/>
      <c r="C787" s="8" t="e">
        <f>VLOOKUP($B787,#REF!,5,FALSE)</f>
        <v>#REF!</v>
      </c>
      <c r="D787" s="8" t="e">
        <f>VLOOKUP($B787,#REF!,6,FALSE)</f>
        <v>#REF!</v>
      </c>
      <c r="E787" s="9" t="e">
        <f>VLOOKUP($B787,#REF!,17,FALSE)</f>
        <v>#REF!</v>
      </c>
      <c r="F787" s="10" t="e">
        <f>VLOOKUP($B787,#REF!,7,FALSE)</f>
        <v>#REF!</v>
      </c>
      <c r="G787" s="10"/>
      <c r="H787" s="10"/>
      <c r="I787" s="11" t="e">
        <f>VLOOKUP($B787,#REF!,19,FALSE)</f>
        <v>#REF!</v>
      </c>
      <c r="J787" s="11" t="e">
        <f>VLOOKUP($B787,#REF!,6,FALSE)</f>
        <v>#REF!</v>
      </c>
      <c r="L787" s="3">
        <v>44654.71180555303</v>
      </c>
      <c r="M787" s="15"/>
    </row>
    <row r="788" spans="2:13">
      <c r="B788" s="7"/>
      <c r="C788" s="8" t="e">
        <f>VLOOKUP($B788,#REF!,5,FALSE)</f>
        <v>#REF!</v>
      </c>
      <c r="D788" s="8" t="e">
        <f>VLOOKUP($B788,#REF!,6,FALSE)</f>
        <v>#REF!</v>
      </c>
      <c r="E788" s="9" t="e">
        <f>VLOOKUP($B788,#REF!,17,FALSE)</f>
        <v>#REF!</v>
      </c>
      <c r="F788" s="10" t="e">
        <f>VLOOKUP($B788,#REF!,7,FALSE)</f>
        <v>#REF!</v>
      </c>
      <c r="G788" s="10"/>
      <c r="H788" s="10"/>
      <c r="I788" s="11" t="e">
        <f>VLOOKUP($B788,#REF!,19,FALSE)</f>
        <v>#REF!</v>
      </c>
      <c r="J788" s="11" t="e">
        <f>VLOOKUP($B788,#REF!,6,FALSE)</f>
        <v>#REF!</v>
      </c>
      <c r="L788" s="3">
        <v>44654.715277775249</v>
      </c>
      <c r="M788" s="15"/>
    </row>
    <row r="789" spans="2:13">
      <c r="B789" s="7"/>
      <c r="C789" s="8" t="e">
        <f>VLOOKUP($B789,#REF!,5,FALSE)</f>
        <v>#REF!</v>
      </c>
      <c r="D789" s="8" t="e">
        <f>VLOOKUP($B789,#REF!,6,FALSE)</f>
        <v>#REF!</v>
      </c>
      <c r="E789" s="9" t="e">
        <f>VLOOKUP($B789,#REF!,17,FALSE)</f>
        <v>#REF!</v>
      </c>
      <c r="F789" s="10" t="e">
        <f>VLOOKUP($B789,#REF!,7,FALSE)</f>
        <v>#REF!</v>
      </c>
      <c r="G789" s="10"/>
      <c r="H789" s="10"/>
      <c r="I789" s="11" t="e">
        <f>VLOOKUP($B789,#REF!,19,FALSE)</f>
        <v>#REF!</v>
      </c>
      <c r="J789" s="11" t="e">
        <f>VLOOKUP($B789,#REF!,6,FALSE)</f>
        <v>#REF!</v>
      </c>
      <c r="L789" s="3">
        <v>44654.718749997468</v>
      </c>
      <c r="M789" s="15"/>
    </row>
    <row r="790" spans="2:13">
      <c r="B790" s="7"/>
      <c r="C790" s="8" t="e">
        <f>VLOOKUP($B790,#REF!,5,FALSE)</f>
        <v>#REF!</v>
      </c>
      <c r="D790" s="8" t="e">
        <f>VLOOKUP($B790,#REF!,6,FALSE)</f>
        <v>#REF!</v>
      </c>
      <c r="E790" s="9" t="e">
        <f>VLOOKUP($B790,#REF!,17,FALSE)</f>
        <v>#REF!</v>
      </c>
      <c r="F790" s="10" t="e">
        <f>VLOOKUP($B790,#REF!,7,FALSE)</f>
        <v>#REF!</v>
      </c>
      <c r="G790" s="10"/>
      <c r="H790" s="10"/>
      <c r="I790" s="11" t="e">
        <f>VLOOKUP($B790,#REF!,19,FALSE)</f>
        <v>#REF!</v>
      </c>
      <c r="J790" s="11" t="e">
        <f>VLOOKUP($B790,#REF!,6,FALSE)</f>
        <v>#REF!</v>
      </c>
      <c r="L790" s="3">
        <v>44654.722222219687</v>
      </c>
      <c r="M790" s="15"/>
    </row>
    <row r="791" spans="2:13">
      <c r="B791" s="7"/>
      <c r="C791" s="8" t="e">
        <f>VLOOKUP($B791,#REF!,5,FALSE)</f>
        <v>#REF!</v>
      </c>
      <c r="D791" s="8" t="e">
        <f>VLOOKUP($B791,#REF!,6,FALSE)</f>
        <v>#REF!</v>
      </c>
      <c r="E791" s="9" t="e">
        <f>VLOOKUP($B791,#REF!,17,FALSE)</f>
        <v>#REF!</v>
      </c>
      <c r="F791" s="10" t="e">
        <f>VLOOKUP($B791,#REF!,7,FALSE)</f>
        <v>#REF!</v>
      </c>
      <c r="G791" s="10"/>
      <c r="H791" s="10"/>
      <c r="I791" s="11" t="e">
        <f>VLOOKUP($B791,#REF!,19,FALSE)</f>
        <v>#REF!</v>
      </c>
      <c r="J791" s="11" t="e">
        <f>VLOOKUP($B791,#REF!,6,FALSE)</f>
        <v>#REF!</v>
      </c>
      <c r="L791" s="3">
        <v>44654.725694441906</v>
      </c>
      <c r="M791" s="15"/>
    </row>
    <row r="792" spans="2:13">
      <c r="B792" s="7"/>
      <c r="C792" s="8" t="e">
        <f>VLOOKUP($B792,#REF!,5,FALSE)</f>
        <v>#REF!</v>
      </c>
      <c r="D792" s="8" t="e">
        <f>VLOOKUP($B792,#REF!,6,FALSE)</f>
        <v>#REF!</v>
      </c>
      <c r="E792" s="9" t="e">
        <f>VLOOKUP($B792,#REF!,17,FALSE)</f>
        <v>#REF!</v>
      </c>
      <c r="F792" s="10" t="e">
        <f>VLOOKUP($B792,#REF!,7,FALSE)</f>
        <v>#REF!</v>
      </c>
      <c r="G792" s="10"/>
      <c r="H792" s="10"/>
      <c r="I792" s="11" t="e">
        <f>VLOOKUP($B792,#REF!,19,FALSE)</f>
        <v>#REF!</v>
      </c>
      <c r="J792" s="11" t="e">
        <f>VLOOKUP($B792,#REF!,6,FALSE)</f>
        <v>#REF!</v>
      </c>
      <c r="L792" s="3">
        <v>44654.729166664125</v>
      </c>
      <c r="M792" s="15"/>
    </row>
    <row r="793" spans="2:13">
      <c r="B793" s="7"/>
      <c r="C793" s="8" t="e">
        <f>VLOOKUP($B793,#REF!,5,FALSE)</f>
        <v>#REF!</v>
      </c>
      <c r="D793" s="8" t="e">
        <f>VLOOKUP($B793,#REF!,6,FALSE)</f>
        <v>#REF!</v>
      </c>
      <c r="E793" s="9" t="e">
        <f>VLOOKUP($B793,#REF!,17,FALSE)</f>
        <v>#REF!</v>
      </c>
      <c r="F793" s="10" t="e">
        <f>VLOOKUP($B793,#REF!,7,FALSE)</f>
        <v>#REF!</v>
      </c>
      <c r="G793" s="10"/>
      <c r="H793" s="10"/>
      <c r="I793" s="11" t="e">
        <f>VLOOKUP($B793,#REF!,19,FALSE)</f>
        <v>#REF!</v>
      </c>
      <c r="J793" s="11" t="e">
        <f>VLOOKUP($B793,#REF!,6,FALSE)</f>
        <v>#REF!</v>
      </c>
      <c r="L793" s="3">
        <v>44654.732638886344</v>
      </c>
      <c r="M793" s="15"/>
    </row>
    <row r="794" spans="2:13">
      <c r="B794" s="7"/>
      <c r="C794" s="8" t="e">
        <f>VLOOKUP($B794,#REF!,5,FALSE)</f>
        <v>#REF!</v>
      </c>
      <c r="D794" s="8" t="e">
        <f>VLOOKUP($B794,#REF!,6,FALSE)</f>
        <v>#REF!</v>
      </c>
      <c r="E794" s="9" t="e">
        <f>VLOOKUP($B794,#REF!,17,FALSE)</f>
        <v>#REF!</v>
      </c>
      <c r="F794" s="10" t="e">
        <f>VLOOKUP($B794,#REF!,7,FALSE)</f>
        <v>#REF!</v>
      </c>
      <c r="G794" s="10"/>
      <c r="H794" s="10"/>
      <c r="I794" s="11" t="e">
        <f>VLOOKUP($B794,#REF!,19,FALSE)</f>
        <v>#REF!</v>
      </c>
      <c r="J794" s="11" t="e">
        <f>VLOOKUP($B794,#REF!,6,FALSE)</f>
        <v>#REF!</v>
      </c>
      <c r="L794" s="3">
        <v>44654.736111108563</v>
      </c>
      <c r="M794" s="15"/>
    </row>
    <row r="795" spans="2:13">
      <c r="B795" s="7"/>
      <c r="C795" s="8" t="e">
        <f>VLOOKUP($B795,#REF!,5,FALSE)</f>
        <v>#REF!</v>
      </c>
      <c r="D795" s="8" t="e">
        <f>VLOOKUP($B795,#REF!,6,FALSE)</f>
        <v>#REF!</v>
      </c>
      <c r="E795" s="9" t="e">
        <f>VLOOKUP($B795,#REF!,17,FALSE)</f>
        <v>#REF!</v>
      </c>
      <c r="F795" s="10" t="e">
        <f>VLOOKUP($B795,#REF!,7,FALSE)</f>
        <v>#REF!</v>
      </c>
      <c r="G795" s="10"/>
      <c r="H795" s="10"/>
      <c r="I795" s="11" t="e">
        <f>VLOOKUP($B795,#REF!,19,FALSE)</f>
        <v>#REF!</v>
      </c>
      <c r="J795" s="11" t="e">
        <f>VLOOKUP($B795,#REF!,6,FALSE)</f>
        <v>#REF!</v>
      </c>
      <c r="L795" s="3">
        <v>44654.739583330782</v>
      </c>
      <c r="M795" s="15"/>
    </row>
    <row r="796" spans="2:13">
      <c r="B796" s="7"/>
      <c r="C796" s="8" t="e">
        <f>VLOOKUP($B796,#REF!,5,FALSE)</f>
        <v>#REF!</v>
      </c>
      <c r="D796" s="8" t="e">
        <f>VLOOKUP($B796,#REF!,6,FALSE)</f>
        <v>#REF!</v>
      </c>
      <c r="E796" s="9" t="e">
        <f>VLOOKUP($B796,#REF!,17,FALSE)</f>
        <v>#REF!</v>
      </c>
      <c r="F796" s="10" t="e">
        <f>VLOOKUP($B796,#REF!,7,FALSE)</f>
        <v>#REF!</v>
      </c>
      <c r="G796" s="10"/>
      <c r="H796" s="10"/>
      <c r="I796" s="11" t="e">
        <f>VLOOKUP($B796,#REF!,19,FALSE)</f>
        <v>#REF!</v>
      </c>
      <c r="J796" s="11" t="e">
        <f>VLOOKUP($B796,#REF!,6,FALSE)</f>
        <v>#REF!</v>
      </c>
      <c r="L796" s="3">
        <v>44654.743055553001</v>
      </c>
      <c r="M796" s="15"/>
    </row>
    <row r="797" spans="2:13">
      <c r="B797" s="7"/>
      <c r="C797" s="8" t="e">
        <f>VLOOKUP($B797,#REF!,5,FALSE)</f>
        <v>#REF!</v>
      </c>
      <c r="D797" s="8" t="e">
        <f>VLOOKUP($B797,#REF!,6,FALSE)</f>
        <v>#REF!</v>
      </c>
      <c r="E797" s="9" t="e">
        <f>VLOOKUP($B797,#REF!,17,FALSE)</f>
        <v>#REF!</v>
      </c>
      <c r="F797" s="10" t="e">
        <f>VLOOKUP($B797,#REF!,7,FALSE)</f>
        <v>#REF!</v>
      </c>
      <c r="G797" s="10"/>
      <c r="H797" s="10"/>
      <c r="I797" s="11" t="e">
        <f>VLOOKUP($B797,#REF!,19,FALSE)</f>
        <v>#REF!</v>
      </c>
      <c r="J797" s="11" t="e">
        <f>VLOOKUP($B797,#REF!,6,FALSE)</f>
        <v>#REF!</v>
      </c>
      <c r="L797" s="3">
        <v>44654.74652777522</v>
      </c>
      <c r="M797" s="15"/>
    </row>
    <row r="798" spans="2:13">
      <c r="B798" s="7"/>
      <c r="C798" s="8" t="e">
        <f>VLOOKUP($B798,#REF!,5,FALSE)</f>
        <v>#REF!</v>
      </c>
      <c r="D798" s="8" t="e">
        <f>VLOOKUP($B798,#REF!,6,FALSE)</f>
        <v>#REF!</v>
      </c>
      <c r="E798" s="9" t="e">
        <f>VLOOKUP($B798,#REF!,17,FALSE)</f>
        <v>#REF!</v>
      </c>
      <c r="F798" s="10" t="e">
        <f>VLOOKUP($B798,#REF!,7,FALSE)</f>
        <v>#REF!</v>
      </c>
      <c r="G798" s="10"/>
      <c r="H798" s="10"/>
      <c r="I798" s="11" t="e">
        <f>VLOOKUP($B798,#REF!,19,FALSE)</f>
        <v>#REF!</v>
      </c>
      <c r="J798" s="11" t="e">
        <f>VLOOKUP($B798,#REF!,6,FALSE)</f>
        <v>#REF!</v>
      </c>
      <c r="L798" s="3">
        <v>44654.749999997439</v>
      </c>
      <c r="M798" s="15"/>
    </row>
    <row r="799" spans="2:13">
      <c r="B799" s="7"/>
      <c r="C799" s="8" t="e">
        <f>VLOOKUP($B799,#REF!,5,FALSE)</f>
        <v>#REF!</v>
      </c>
      <c r="D799" s="8" t="e">
        <f>VLOOKUP($B799,#REF!,6,FALSE)</f>
        <v>#REF!</v>
      </c>
      <c r="E799" s="9" t="e">
        <f>VLOOKUP($B799,#REF!,17,FALSE)</f>
        <v>#REF!</v>
      </c>
      <c r="F799" s="10" t="e">
        <f>VLOOKUP($B799,#REF!,7,FALSE)</f>
        <v>#REF!</v>
      </c>
      <c r="G799" s="10"/>
      <c r="H799" s="10"/>
      <c r="I799" s="11" t="e">
        <f>VLOOKUP($B799,#REF!,19,FALSE)</f>
        <v>#REF!</v>
      </c>
      <c r="J799" s="11" t="e">
        <f>VLOOKUP($B799,#REF!,6,FALSE)</f>
        <v>#REF!</v>
      </c>
      <c r="L799" s="3">
        <v>44654.753472219658</v>
      </c>
      <c r="M799" s="15"/>
    </row>
    <row r="800" spans="2:13">
      <c r="B800" s="7"/>
      <c r="C800" s="8" t="e">
        <f>VLOOKUP($B800,#REF!,5,FALSE)</f>
        <v>#REF!</v>
      </c>
      <c r="D800" s="8" t="e">
        <f>VLOOKUP($B800,#REF!,6,FALSE)</f>
        <v>#REF!</v>
      </c>
      <c r="E800" s="9" t="e">
        <f>VLOOKUP($B800,#REF!,17,FALSE)</f>
        <v>#REF!</v>
      </c>
      <c r="F800" s="10" t="e">
        <f>VLOOKUP($B800,#REF!,7,FALSE)</f>
        <v>#REF!</v>
      </c>
      <c r="G800" s="10"/>
      <c r="H800" s="10"/>
      <c r="I800" s="11" t="e">
        <f>VLOOKUP($B800,#REF!,19,FALSE)</f>
        <v>#REF!</v>
      </c>
      <c r="J800" s="11" t="e">
        <f>VLOOKUP($B800,#REF!,6,FALSE)</f>
        <v>#REF!</v>
      </c>
      <c r="L800" s="3">
        <v>44654.756944441877</v>
      </c>
      <c r="M800" s="15"/>
    </row>
    <row r="801" spans="2:13">
      <c r="B801" s="7"/>
      <c r="C801" s="8" t="e">
        <f>VLOOKUP($B801,#REF!,5,FALSE)</f>
        <v>#REF!</v>
      </c>
      <c r="D801" s="8" t="e">
        <f>VLOOKUP($B801,#REF!,6,FALSE)</f>
        <v>#REF!</v>
      </c>
      <c r="E801" s="9" t="e">
        <f>VLOOKUP($B801,#REF!,17,FALSE)</f>
        <v>#REF!</v>
      </c>
      <c r="F801" s="10" t="e">
        <f>VLOOKUP($B801,#REF!,7,FALSE)</f>
        <v>#REF!</v>
      </c>
      <c r="G801" s="10"/>
      <c r="H801" s="10"/>
      <c r="I801" s="11" t="e">
        <f>VLOOKUP($B801,#REF!,19,FALSE)</f>
        <v>#REF!</v>
      </c>
      <c r="J801" s="11" t="e">
        <f>VLOOKUP($B801,#REF!,6,FALSE)</f>
        <v>#REF!</v>
      </c>
      <c r="L801" s="3">
        <v>44654.760416664096</v>
      </c>
      <c r="M801" s="15"/>
    </row>
    <row r="802" spans="2:13">
      <c r="B802" s="7"/>
      <c r="C802" s="8" t="e">
        <f>VLOOKUP($B802,#REF!,5,FALSE)</f>
        <v>#REF!</v>
      </c>
      <c r="D802" s="8" t="e">
        <f>VLOOKUP($B802,#REF!,6,FALSE)</f>
        <v>#REF!</v>
      </c>
      <c r="E802" s="9" t="e">
        <f>VLOOKUP($B802,#REF!,17,FALSE)</f>
        <v>#REF!</v>
      </c>
      <c r="F802" s="10" t="e">
        <f>VLOOKUP($B802,#REF!,7,FALSE)</f>
        <v>#REF!</v>
      </c>
      <c r="G802" s="10"/>
      <c r="H802" s="10"/>
      <c r="I802" s="11" t="e">
        <f>VLOOKUP($B802,#REF!,19,FALSE)</f>
        <v>#REF!</v>
      </c>
      <c r="J802" s="11" t="e">
        <f>VLOOKUP($B802,#REF!,6,FALSE)</f>
        <v>#REF!</v>
      </c>
      <c r="L802" s="3">
        <v>44654.763888886315</v>
      </c>
      <c r="M802" s="15"/>
    </row>
    <row r="803" spans="2:13">
      <c r="B803" s="7"/>
      <c r="C803" s="8" t="e">
        <f>VLOOKUP($B803,#REF!,5,FALSE)</f>
        <v>#REF!</v>
      </c>
      <c r="D803" s="8" t="e">
        <f>VLOOKUP($B803,#REF!,6,FALSE)</f>
        <v>#REF!</v>
      </c>
      <c r="E803" s="9" t="e">
        <f>VLOOKUP($B803,#REF!,17,FALSE)</f>
        <v>#REF!</v>
      </c>
      <c r="F803" s="10" t="e">
        <f>VLOOKUP($B803,#REF!,7,FALSE)</f>
        <v>#REF!</v>
      </c>
      <c r="G803" s="10"/>
      <c r="H803" s="10"/>
      <c r="I803" s="11" t="e">
        <f>VLOOKUP($B803,#REF!,19,FALSE)</f>
        <v>#REF!</v>
      </c>
      <c r="J803" s="11" t="e">
        <f>VLOOKUP($B803,#REF!,6,FALSE)</f>
        <v>#REF!</v>
      </c>
      <c r="L803" s="3">
        <v>44654.767361108534</v>
      </c>
      <c r="M803" s="15"/>
    </row>
    <row r="804" spans="2:13">
      <c r="B804" s="7"/>
      <c r="C804" s="8" t="e">
        <f>VLOOKUP($B804,#REF!,5,FALSE)</f>
        <v>#REF!</v>
      </c>
      <c r="D804" s="8" t="e">
        <f>VLOOKUP($B804,#REF!,6,FALSE)</f>
        <v>#REF!</v>
      </c>
      <c r="E804" s="9" t="e">
        <f>VLOOKUP($B804,#REF!,17,FALSE)</f>
        <v>#REF!</v>
      </c>
      <c r="F804" s="10" t="e">
        <f>VLOOKUP($B804,#REF!,7,FALSE)</f>
        <v>#REF!</v>
      </c>
      <c r="G804" s="10"/>
      <c r="H804" s="10"/>
      <c r="I804" s="11" t="e">
        <f>VLOOKUP($B804,#REF!,19,FALSE)</f>
        <v>#REF!</v>
      </c>
      <c r="J804" s="11" t="e">
        <f>VLOOKUP($B804,#REF!,6,FALSE)</f>
        <v>#REF!</v>
      </c>
      <c r="L804" s="3">
        <v>44654.770833330753</v>
      </c>
      <c r="M804" s="15"/>
    </row>
    <row r="805" spans="2:13">
      <c r="B805" s="7"/>
      <c r="C805" s="8" t="e">
        <f>VLOOKUP($B805,#REF!,5,FALSE)</f>
        <v>#REF!</v>
      </c>
      <c r="D805" s="8" t="e">
        <f>VLOOKUP($B805,#REF!,6,FALSE)</f>
        <v>#REF!</v>
      </c>
      <c r="E805" s="9" t="e">
        <f>VLOOKUP($B805,#REF!,17,FALSE)</f>
        <v>#REF!</v>
      </c>
      <c r="F805" s="10" t="e">
        <f>VLOOKUP($B805,#REF!,7,FALSE)</f>
        <v>#REF!</v>
      </c>
      <c r="G805" s="10"/>
      <c r="H805" s="10"/>
      <c r="I805" s="11" t="e">
        <f>VLOOKUP($B805,#REF!,19,FALSE)</f>
        <v>#REF!</v>
      </c>
      <c r="J805" s="11" t="e">
        <f>VLOOKUP($B805,#REF!,6,FALSE)</f>
        <v>#REF!</v>
      </c>
      <c r="L805" s="3">
        <v>44654.774305552972</v>
      </c>
      <c r="M805" s="15"/>
    </row>
    <row r="806" spans="2:13">
      <c r="B806" s="7"/>
      <c r="C806" s="8" t="e">
        <f>VLOOKUP($B806,#REF!,5,FALSE)</f>
        <v>#REF!</v>
      </c>
      <c r="D806" s="8" t="e">
        <f>VLOOKUP($B806,#REF!,6,FALSE)</f>
        <v>#REF!</v>
      </c>
      <c r="E806" s="9" t="e">
        <f>VLOOKUP($B806,#REF!,17,FALSE)</f>
        <v>#REF!</v>
      </c>
      <c r="F806" s="10" t="e">
        <f>VLOOKUP($B806,#REF!,7,FALSE)</f>
        <v>#REF!</v>
      </c>
      <c r="G806" s="10"/>
      <c r="H806" s="10"/>
      <c r="I806" s="11" t="e">
        <f>VLOOKUP($B806,#REF!,19,FALSE)</f>
        <v>#REF!</v>
      </c>
      <c r="J806" s="11" t="e">
        <f>VLOOKUP($B806,#REF!,6,FALSE)</f>
        <v>#REF!</v>
      </c>
      <c r="L806" s="3">
        <v>44654.777777775191</v>
      </c>
      <c r="M806" s="15"/>
    </row>
    <row r="807" spans="2:13">
      <c r="B807" s="7"/>
      <c r="C807" s="8" t="e">
        <f>VLOOKUP($B807,#REF!,5,FALSE)</f>
        <v>#REF!</v>
      </c>
      <c r="D807" s="8" t="e">
        <f>VLOOKUP($B807,#REF!,6,FALSE)</f>
        <v>#REF!</v>
      </c>
      <c r="E807" s="9" t="e">
        <f>VLOOKUP($B807,#REF!,17,FALSE)</f>
        <v>#REF!</v>
      </c>
      <c r="F807" s="10" t="e">
        <f>VLOOKUP($B807,#REF!,7,FALSE)</f>
        <v>#REF!</v>
      </c>
      <c r="G807" s="10"/>
      <c r="H807" s="10"/>
      <c r="I807" s="11" t="e">
        <f>VLOOKUP($B807,#REF!,19,FALSE)</f>
        <v>#REF!</v>
      </c>
      <c r="J807" s="11" t="e">
        <f>VLOOKUP($B807,#REF!,6,FALSE)</f>
        <v>#REF!</v>
      </c>
      <c r="L807" s="3">
        <v>44654.78124999741</v>
      </c>
      <c r="M807" s="15"/>
    </row>
    <row r="808" spans="2:13">
      <c r="B808" s="7"/>
      <c r="C808" s="8" t="e">
        <f>VLOOKUP($B808,#REF!,5,FALSE)</f>
        <v>#REF!</v>
      </c>
      <c r="D808" s="8" t="e">
        <f>VLOOKUP($B808,#REF!,6,FALSE)</f>
        <v>#REF!</v>
      </c>
      <c r="E808" s="9" t="e">
        <f>VLOOKUP($B808,#REF!,17,FALSE)</f>
        <v>#REF!</v>
      </c>
      <c r="F808" s="10" t="e">
        <f>VLOOKUP($B808,#REF!,7,FALSE)</f>
        <v>#REF!</v>
      </c>
      <c r="G808" s="10"/>
      <c r="H808" s="10"/>
      <c r="I808" s="11" t="e">
        <f>VLOOKUP($B808,#REF!,19,FALSE)</f>
        <v>#REF!</v>
      </c>
      <c r="J808" s="11" t="e">
        <f>VLOOKUP($B808,#REF!,6,FALSE)</f>
        <v>#REF!</v>
      </c>
      <c r="L808" s="3">
        <v>44654.784722219629</v>
      </c>
      <c r="M808" s="15"/>
    </row>
    <row r="809" spans="2:13">
      <c r="B809" s="7"/>
      <c r="C809" s="8" t="e">
        <f>VLOOKUP($B809,#REF!,5,FALSE)</f>
        <v>#REF!</v>
      </c>
      <c r="D809" s="8" t="e">
        <f>VLOOKUP($B809,#REF!,6,FALSE)</f>
        <v>#REF!</v>
      </c>
      <c r="E809" s="9" t="e">
        <f>VLOOKUP($B809,#REF!,17,FALSE)</f>
        <v>#REF!</v>
      </c>
      <c r="F809" s="10" t="e">
        <f>VLOOKUP($B809,#REF!,7,FALSE)</f>
        <v>#REF!</v>
      </c>
      <c r="G809" s="10"/>
      <c r="H809" s="10"/>
      <c r="I809" s="11" t="e">
        <f>VLOOKUP($B809,#REF!,19,FALSE)</f>
        <v>#REF!</v>
      </c>
      <c r="J809" s="11" t="e">
        <f>VLOOKUP($B809,#REF!,6,FALSE)</f>
        <v>#REF!</v>
      </c>
      <c r="L809" s="3">
        <v>44654.788194441848</v>
      </c>
      <c r="M809" s="15"/>
    </row>
    <row r="810" spans="2:13">
      <c r="B810" s="7"/>
      <c r="C810" s="8" t="e">
        <f>VLOOKUP($B810,#REF!,5,FALSE)</f>
        <v>#REF!</v>
      </c>
      <c r="D810" s="8" t="e">
        <f>VLOOKUP($B810,#REF!,6,FALSE)</f>
        <v>#REF!</v>
      </c>
      <c r="E810" s="9" t="e">
        <f>VLOOKUP($B810,#REF!,17,FALSE)</f>
        <v>#REF!</v>
      </c>
      <c r="F810" s="10" t="e">
        <f>VLOOKUP($B810,#REF!,7,FALSE)</f>
        <v>#REF!</v>
      </c>
      <c r="G810" s="10"/>
      <c r="H810" s="10"/>
      <c r="I810" s="11" t="e">
        <f>VLOOKUP($B810,#REF!,19,FALSE)</f>
        <v>#REF!</v>
      </c>
      <c r="J810" s="11" t="e">
        <f>VLOOKUP($B810,#REF!,6,FALSE)</f>
        <v>#REF!</v>
      </c>
      <c r="L810" s="3">
        <v>44654.791666664067</v>
      </c>
      <c r="M810" s="15"/>
    </row>
    <row r="811" spans="2:13">
      <c r="B811" s="7"/>
      <c r="C811" s="8" t="e">
        <f>VLOOKUP($B811,#REF!,5,FALSE)</f>
        <v>#REF!</v>
      </c>
      <c r="D811" s="8" t="e">
        <f>VLOOKUP($B811,#REF!,6,FALSE)</f>
        <v>#REF!</v>
      </c>
      <c r="E811" s="9" t="e">
        <f>VLOOKUP($B811,#REF!,17,FALSE)</f>
        <v>#REF!</v>
      </c>
      <c r="F811" s="10" t="e">
        <f>VLOOKUP($B811,#REF!,7,FALSE)</f>
        <v>#REF!</v>
      </c>
      <c r="G811" s="10"/>
      <c r="H811" s="10"/>
      <c r="I811" s="11" t="e">
        <f>VLOOKUP($B811,#REF!,19,FALSE)</f>
        <v>#REF!</v>
      </c>
      <c r="J811" s="11" t="e">
        <f>VLOOKUP($B811,#REF!,6,FALSE)</f>
        <v>#REF!</v>
      </c>
      <c r="L811" s="3">
        <v>44654.795138886286</v>
      </c>
      <c r="M811" s="15"/>
    </row>
    <row r="812" spans="2:13">
      <c r="B812" s="7"/>
      <c r="C812" s="8" t="e">
        <f>VLOOKUP($B812,#REF!,5,FALSE)</f>
        <v>#REF!</v>
      </c>
      <c r="D812" s="8" t="e">
        <f>VLOOKUP($B812,#REF!,6,FALSE)</f>
        <v>#REF!</v>
      </c>
      <c r="E812" s="9" t="e">
        <f>VLOOKUP($B812,#REF!,17,FALSE)</f>
        <v>#REF!</v>
      </c>
      <c r="F812" s="10" t="e">
        <f>VLOOKUP($B812,#REF!,7,FALSE)</f>
        <v>#REF!</v>
      </c>
      <c r="G812" s="10"/>
      <c r="H812" s="10"/>
      <c r="I812" s="11" t="e">
        <f>VLOOKUP($B812,#REF!,19,FALSE)</f>
        <v>#REF!</v>
      </c>
      <c r="J812" s="11" t="e">
        <f>VLOOKUP($B812,#REF!,6,FALSE)</f>
        <v>#REF!</v>
      </c>
      <c r="L812" s="3">
        <v>44654.798611108505</v>
      </c>
      <c r="M812" s="15"/>
    </row>
    <row r="813" spans="2:13">
      <c r="B813" s="7"/>
      <c r="C813" s="8" t="e">
        <f>VLOOKUP($B813,#REF!,5,FALSE)</f>
        <v>#REF!</v>
      </c>
      <c r="D813" s="8" t="e">
        <f>VLOOKUP($B813,#REF!,6,FALSE)</f>
        <v>#REF!</v>
      </c>
      <c r="E813" s="9" t="e">
        <f>VLOOKUP($B813,#REF!,17,FALSE)</f>
        <v>#REF!</v>
      </c>
      <c r="F813" s="10" t="e">
        <f>VLOOKUP($B813,#REF!,7,FALSE)</f>
        <v>#REF!</v>
      </c>
      <c r="G813" s="10"/>
      <c r="H813" s="10"/>
      <c r="I813" s="11" t="e">
        <f>VLOOKUP($B813,#REF!,19,FALSE)</f>
        <v>#REF!</v>
      </c>
      <c r="J813" s="11" t="e">
        <f>VLOOKUP($B813,#REF!,6,FALSE)</f>
        <v>#REF!</v>
      </c>
      <c r="L813" s="3">
        <v>44654.802083330724</v>
      </c>
      <c r="M813" s="15"/>
    </row>
    <row r="814" spans="2:13">
      <c r="B814" s="7"/>
      <c r="C814" s="8" t="e">
        <f>VLOOKUP($B814,#REF!,5,FALSE)</f>
        <v>#REF!</v>
      </c>
      <c r="D814" s="8" t="e">
        <f>VLOOKUP($B814,#REF!,6,FALSE)</f>
        <v>#REF!</v>
      </c>
      <c r="E814" s="9" t="e">
        <f>VLOOKUP($B814,#REF!,17,FALSE)</f>
        <v>#REF!</v>
      </c>
      <c r="F814" s="10" t="e">
        <f>VLOOKUP($B814,#REF!,7,FALSE)</f>
        <v>#REF!</v>
      </c>
      <c r="G814" s="10"/>
      <c r="H814" s="10"/>
      <c r="I814" s="11" t="e">
        <f>VLOOKUP($B814,#REF!,19,FALSE)</f>
        <v>#REF!</v>
      </c>
      <c r="J814" s="11" t="e">
        <f>VLOOKUP($B814,#REF!,6,FALSE)</f>
        <v>#REF!</v>
      </c>
      <c r="L814" s="3">
        <v>44654.805555552943</v>
      </c>
      <c r="M814" s="15"/>
    </row>
    <row r="815" spans="2:13">
      <c r="B815" s="7"/>
      <c r="C815" s="8" t="e">
        <f>VLOOKUP($B815,#REF!,5,FALSE)</f>
        <v>#REF!</v>
      </c>
      <c r="D815" s="8" t="e">
        <f>VLOOKUP($B815,#REF!,6,FALSE)</f>
        <v>#REF!</v>
      </c>
      <c r="E815" s="9" t="e">
        <f>VLOOKUP($B815,#REF!,17,FALSE)</f>
        <v>#REF!</v>
      </c>
      <c r="F815" s="10" t="e">
        <f>VLOOKUP($B815,#REF!,7,FALSE)</f>
        <v>#REF!</v>
      </c>
      <c r="G815" s="10"/>
      <c r="H815" s="10"/>
      <c r="I815" s="11" t="e">
        <f>VLOOKUP($B815,#REF!,19,FALSE)</f>
        <v>#REF!</v>
      </c>
      <c r="J815" s="11" t="e">
        <f>VLOOKUP($B815,#REF!,6,FALSE)</f>
        <v>#REF!</v>
      </c>
      <c r="L815" s="3">
        <v>44654.809027775162</v>
      </c>
      <c r="M815" s="15"/>
    </row>
    <row r="816" spans="2:13">
      <c r="B816" s="7"/>
      <c r="C816" s="8" t="e">
        <f>VLOOKUP($B816,#REF!,5,FALSE)</f>
        <v>#REF!</v>
      </c>
      <c r="D816" s="8" t="e">
        <f>VLOOKUP($B816,#REF!,6,FALSE)</f>
        <v>#REF!</v>
      </c>
      <c r="E816" s="9" t="e">
        <f>VLOOKUP($B816,#REF!,17,FALSE)</f>
        <v>#REF!</v>
      </c>
      <c r="F816" s="10" t="e">
        <f>VLOOKUP($B816,#REF!,7,FALSE)</f>
        <v>#REF!</v>
      </c>
      <c r="G816" s="10"/>
      <c r="H816" s="10"/>
      <c r="I816" s="11" t="e">
        <f>VLOOKUP($B816,#REF!,19,FALSE)</f>
        <v>#REF!</v>
      </c>
      <c r="J816" s="11" t="e">
        <f>VLOOKUP($B816,#REF!,6,FALSE)</f>
        <v>#REF!</v>
      </c>
      <c r="L816" s="3">
        <v>44654.812499997381</v>
      </c>
      <c r="M816" s="15"/>
    </row>
    <row r="817" spans="2:13">
      <c r="B817" s="7"/>
      <c r="C817" s="8" t="e">
        <f>VLOOKUP($B817,#REF!,5,FALSE)</f>
        <v>#REF!</v>
      </c>
      <c r="D817" s="8" t="e">
        <f>VLOOKUP($B817,#REF!,6,FALSE)</f>
        <v>#REF!</v>
      </c>
      <c r="E817" s="9" t="e">
        <f>VLOOKUP($B817,#REF!,17,FALSE)</f>
        <v>#REF!</v>
      </c>
      <c r="F817" s="10" t="e">
        <f>VLOOKUP($B817,#REF!,7,FALSE)</f>
        <v>#REF!</v>
      </c>
      <c r="G817" s="10"/>
      <c r="H817" s="10"/>
      <c r="I817" s="11" t="e">
        <f>VLOOKUP($B817,#REF!,19,FALSE)</f>
        <v>#REF!</v>
      </c>
      <c r="J817" s="11" t="e">
        <f>VLOOKUP($B817,#REF!,6,FALSE)</f>
        <v>#REF!</v>
      </c>
      <c r="L817" s="3">
        <v>44654.8159722196</v>
      </c>
      <c r="M817" s="15"/>
    </row>
    <row r="818" spans="2:13">
      <c r="B818" s="7"/>
      <c r="C818" s="8" t="e">
        <f>VLOOKUP($B818,#REF!,5,FALSE)</f>
        <v>#REF!</v>
      </c>
      <c r="D818" s="8" t="e">
        <f>VLOOKUP($B818,#REF!,6,FALSE)</f>
        <v>#REF!</v>
      </c>
      <c r="E818" s="9" t="e">
        <f>VLOOKUP($B818,#REF!,17,FALSE)</f>
        <v>#REF!</v>
      </c>
      <c r="F818" s="10" t="e">
        <f>VLOOKUP($B818,#REF!,7,FALSE)</f>
        <v>#REF!</v>
      </c>
      <c r="G818" s="10"/>
      <c r="H818" s="10"/>
      <c r="I818" s="11" t="e">
        <f>VLOOKUP($B818,#REF!,19,FALSE)</f>
        <v>#REF!</v>
      </c>
      <c r="J818" s="11" t="e">
        <f>VLOOKUP($B818,#REF!,6,FALSE)</f>
        <v>#REF!</v>
      </c>
      <c r="L818" s="3">
        <v>44654.819444441819</v>
      </c>
      <c r="M818" s="15"/>
    </row>
    <row r="819" spans="2:13">
      <c r="B819" s="7"/>
      <c r="C819" s="8" t="e">
        <f>VLOOKUP($B819,#REF!,5,FALSE)</f>
        <v>#REF!</v>
      </c>
      <c r="D819" s="8" t="e">
        <f>VLOOKUP($B819,#REF!,6,FALSE)</f>
        <v>#REF!</v>
      </c>
      <c r="E819" s="9" t="e">
        <f>VLOOKUP($B819,#REF!,17,FALSE)</f>
        <v>#REF!</v>
      </c>
      <c r="F819" s="10" t="e">
        <f>VLOOKUP($B819,#REF!,7,FALSE)</f>
        <v>#REF!</v>
      </c>
      <c r="G819" s="10"/>
      <c r="H819" s="10"/>
      <c r="I819" s="11" t="e">
        <f>VLOOKUP($B819,#REF!,19,FALSE)</f>
        <v>#REF!</v>
      </c>
      <c r="J819" s="11" t="e">
        <f>VLOOKUP($B819,#REF!,6,FALSE)</f>
        <v>#REF!</v>
      </c>
      <c r="L819" s="3">
        <v>44654.822916664038</v>
      </c>
      <c r="M819" s="15"/>
    </row>
    <row r="820" spans="2:13">
      <c r="B820" s="7"/>
      <c r="C820" s="8" t="e">
        <f>VLOOKUP($B820,#REF!,5,FALSE)</f>
        <v>#REF!</v>
      </c>
      <c r="D820" s="8" t="e">
        <f>VLOOKUP($B820,#REF!,6,FALSE)</f>
        <v>#REF!</v>
      </c>
      <c r="E820" s="9" t="e">
        <f>VLOOKUP($B820,#REF!,17,FALSE)</f>
        <v>#REF!</v>
      </c>
      <c r="F820" s="10" t="e">
        <f>VLOOKUP($B820,#REF!,7,FALSE)</f>
        <v>#REF!</v>
      </c>
      <c r="G820" s="10"/>
      <c r="H820" s="10"/>
      <c r="I820" s="11" t="e">
        <f>VLOOKUP($B820,#REF!,19,FALSE)</f>
        <v>#REF!</v>
      </c>
      <c r="J820" s="11" t="e">
        <f>VLOOKUP($B820,#REF!,6,FALSE)</f>
        <v>#REF!</v>
      </c>
      <c r="L820" s="3">
        <v>44654.826388886257</v>
      </c>
      <c r="M820" s="15"/>
    </row>
    <row r="821" spans="2:13">
      <c r="B821" s="7"/>
      <c r="C821" s="8" t="e">
        <f>VLOOKUP($B821,#REF!,5,FALSE)</f>
        <v>#REF!</v>
      </c>
      <c r="D821" s="8" t="e">
        <f>VLOOKUP($B821,#REF!,6,FALSE)</f>
        <v>#REF!</v>
      </c>
      <c r="E821" s="9" t="e">
        <f>VLOOKUP($B821,#REF!,17,FALSE)</f>
        <v>#REF!</v>
      </c>
      <c r="F821" s="10" t="e">
        <f>VLOOKUP($B821,#REF!,7,FALSE)</f>
        <v>#REF!</v>
      </c>
      <c r="G821" s="10"/>
      <c r="H821" s="10"/>
      <c r="I821" s="11" t="e">
        <f>VLOOKUP($B821,#REF!,19,FALSE)</f>
        <v>#REF!</v>
      </c>
      <c r="J821" s="11" t="e">
        <f>VLOOKUP($B821,#REF!,6,FALSE)</f>
        <v>#REF!</v>
      </c>
      <c r="L821" s="3">
        <v>44654.829861108476</v>
      </c>
      <c r="M821" s="15"/>
    </row>
    <row r="822" spans="2:13">
      <c r="B822" s="7"/>
      <c r="C822" s="8" t="e">
        <f>VLOOKUP($B822,#REF!,5,FALSE)</f>
        <v>#REF!</v>
      </c>
      <c r="D822" s="8" t="e">
        <f>VLOOKUP($B822,#REF!,6,FALSE)</f>
        <v>#REF!</v>
      </c>
      <c r="E822" s="9" t="e">
        <f>VLOOKUP($B822,#REF!,17,FALSE)</f>
        <v>#REF!</v>
      </c>
      <c r="F822" s="10" t="e">
        <f>VLOOKUP($B822,#REF!,7,FALSE)</f>
        <v>#REF!</v>
      </c>
      <c r="G822" s="10"/>
      <c r="H822" s="10"/>
      <c r="I822" s="11" t="e">
        <f>VLOOKUP($B822,#REF!,19,FALSE)</f>
        <v>#REF!</v>
      </c>
      <c r="J822" s="11" t="e">
        <f>VLOOKUP($B822,#REF!,6,FALSE)</f>
        <v>#REF!</v>
      </c>
      <c r="L822" s="3">
        <v>44654.833333330695</v>
      </c>
      <c r="M822" s="15"/>
    </row>
    <row r="823" spans="2:13">
      <c r="B823" s="7"/>
      <c r="C823" s="8" t="e">
        <f>VLOOKUP($B823,#REF!,5,FALSE)</f>
        <v>#REF!</v>
      </c>
      <c r="D823" s="8" t="e">
        <f>VLOOKUP($B823,#REF!,6,FALSE)</f>
        <v>#REF!</v>
      </c>
      <c r="E823" s="9" t="e">
        <f>VLOOKUP($B823,#REF!,17,FALSE)</f>
        <v>#REF!</v>
      </c>
      <c r="F823" s="10" t="e">
        <f>VLOOKUP($B823,#REF!,7,FALSE)</f>
        <v>#REF!</v>
      </c>
      <c r="G823" s="10"/>
      <c r="H823" s="10"/>
      <c r="I823" s="11" t="e">
        <f>VLOOKUP($B823,#REF!,19,FALSE)</f>
        <v>#REF!</v>
      </c>
      <c r="J823" s="11" t="e">
        <f>VLOOKUP($B823,#REF!,6,FALSE)</f>
        <v>#REF!</v>
      </c>
      <c r="L823" s="3">
        <v>44654.836805552914</v>
      </c>
      <c r="M823" s="15"/>
    </row>
    <row r="824" spans="2:13">
      <c r="B824" s="7"/>
      <c r="C824" s="8" t="e">
        <f>VLOOKUP($B824,#REF!,5,FALSE)</f>
        <v>#REF!</v>
      </c>
      <c r="D824" s="8" t="e">
        <f>VLOOKUP($B824,#REF!,6,FALSE)</f>
        <v>#REF!</v>
      </c>
      <c r="E824" s="9" t="e">
        <f>VLOOKUP($B824,#REF!,17,FALSE)</f>
        <v>#REF!</v>
      </c>
      <c r="F824" s="10" t="e">
        <f>VLOOKUP($B824,#REF!,7,FALSE)</f>
        <v>#REF!</v>
      </c>
      <c r="G824" s="10"/>
      <c r="H824" s="10"/>
      <c r="I824" s="11" t="e">
        <f>VLOOKUP($B824,#REF!,19,FALSE)</f>
        <v>#REF!</v>
      </c>
      <c r="J824" s="11" t="e">
        <f>VLOOKUP($B824,#REF!,6,FALSE)</f>
        <v>#REF!</v>
      </c>
      <c r="L824" s="3">
        <v>44654.840277775133</v>
      </c>
      <c r="M824" s="15"/>
    </row>
    <row r="825" spans="2:13">
      <c r="B825" s="7"/>
      <c r="C825" s="8" t="e">
        <f>VLOOKUP($B825,#REF!,5,FALSE)</f>
        <v>#REF!</v>
      </c>
      <c r="D825" s="8" t="e">
        <f>VLOOKUP($B825,#REF!,6,FALSE)</f>
        <v>#REF!</v>
      </c>
      <c r="E825" s="9" t="e">
        <f>VLOOKUP($B825,#REF!,17,FALSE)</f>
        <v>#REF!</v>
      </c>
      <c r="F825" s="10" t="e">
        <f>VLOOKUP($B825,#REF!,7,FALSE)</f>
        <v>#REF!</v>
      </c>
      <c r="G825" s="10"/>
      <c r="H825" s="10"/>
      <c r="I825" s="11" t="e">
        <f>VLOOKUP($B825,#REF!,19,FALSE)</f>
        <v>#REF!</v>
      </c>
      <c r="J825" s="11" t="e">
        <f>VLOOKUP($B825,#REF!,6,FALSE)</f>
        <v>#REF!</v>
      </c>
      <c r="L825" s="3">
        <v>44654.843749997352</v>
      </c>
      <c r="M825" s="15"/>
    </row>
    <row r="826" spans="2:13">
      <c r="B826" s="7"/>
      <c r="C826" s="8" t="e">
        <f>VLOOKUP($B826,#REF!,5,FALSE)</f>
        <v>#REF!</v>
      </c>
      <c r="D826" s="8" t="e">
        <f>VLOOKUP($B826,#REF!,6,FALSE)</f>
        <v>#REF!</v>
      </c>
      <c r="E826" s="9" t="e">
        <f>VLOOKUP($B826,#REF!,17,FALSE)</f>
        <v>#REF!</v>
      </c>
      <c r="F826" s="10" t="e">
        <f>VLOOKUP($B826,#REF!,7,FALSE)</f>
        <v>#REF!</v>
      </c>
      <c r="G826" s="10"/>
      <c r="H826" s="10"/>
      <c r="I826" s="11" t="e">
        <f>VLOOKUP($B826,#REF!,19,FALSE)</f>
        <v>#REF!</v>
      </c>
      <c r="J826" s="11" t="e">
        <f>VLOOKUP($B826,#REF!,6,FALSE)</f>
        <v>#REF!</v>
      </c>
      <c r="L826" s="3">
        <v>44654.847222219571</v>
      </c>
      <c r="M826" s="15"/>
    </row>
    <row r="827" spans="2:13">
      <c r="B827" s="7"/>
      <c r="C827" s="8" t="e">
        <f>VLOOKUP($B827,#REF!,5,FALSE)</f>
        <v>#REF!</v>
      </c>
      <c r="D827" s="8" t="e">
        <f>VLOOKUP($B827,#REF!,6,FALSE)</f>
        <v>#REF!</v>
      </c>
      <c r="E827" s="9" t="e">
        <f>VLOOKUP($B827,#REF!,17,FALSE)</f>
        <v>#REF!</v>
      </c>
      <c r="F827" s="10" t="e">
        <f>VLOOKUP($B827,#REF!,7,FALSE)</f>
        <v>#REF!</v>
      </c>
      <c r="G827" s="10"/>
      <c r="H827" s="10"/>
      <c r="I827" s="11" t="e">
        <f>VLOOKUP($B827,#REF!,19,FALSE)</f>
        <v>#REF!</v>
      </c>
      <c r="J827" s="11" t="e">
        <f>VLOOKUP($B827,#REF!,6,FALSE)</f>
        <v>#REF!</v>
      </c>
      <c r="L827" s="3">
        <v>44654.85069444179</v>
      </c>
      <c r="M827" s="15"/>
    </row>
    <row r="828" spans="2:13">
      <c r="B828" s="7"/>
      <c r="C828" s="8" t="e">
        <f>VLOOKUP($B828,#REF!,5,FALSE)</f>
        <v>#REF!</v>
      </c>
      <c r="D828" s="8" t="e">
        <f>VLOOKUP($B828,#REF!,6,FALSE)</f>
        <v>#REF!</v>
      </c>
      <c r="E828" s="9" t="e">
        <f>VLOOKUP($B828,#REF!,17,FALSE)</f>
        <v>#REF!</v>
      </c>
      <c r="F828" s="10" t="e">
        <f>VLOOKUP($B828,#REF!,7,FALSE)</f>
        <v>#REF!</v>
      </c>
      <c r="G828" s="10"/>
      <c r="H828" s="10"/>
      <c r="I828" s="11" t="e">
        <f>VLOOKUP($B828,#REF!,19,FALSE)</f>
        <v>#REF!</v>
      </c>
      <c r="J828" s="11" t="e">
        <f>VLOOKUP($B828,#REF!,6,FALSE)</f>
        <v>#REF!</v>
      </c>
      <c r="L828" s="3">
        <v>44654.854166664009</v>
      </c>
      <c r="M828" s="15"/>
    </row>
    <row r="829" spans="2:13">
      <c r="B829" s="7"/>
      <c r="C829" s="8" t="e">
        <f>VLOOKUP($B829,#REF!,5,FALSE)</f>
        <v>#REF!</v>
      </c>
      <c r="D829" s="8" t="e">
        <f>VLOOKUP($B829,#REF!,6,FALSE)</f>
        <v>#REF!</v>
      </c>
      <c r="E829" s="9" t="e">
        <f>VLOOKUP($B829,#REF!,17,FALSE)</f>
        <v>#REF!</v>
      </c>
      <c r="F829" s="10" t="e">
        <f>VLOOKUP($B829,#REF!,7,FALSE)</f>
        <v>#REF!</v>
      </c>
      <c r="G829" s="10"/>
      <c r="H829" s="10"/>
      <c r="I829" s="11" t="e">
        <f>VLOOKUP($B829,#REF!,19,FALSE)</f>
        <v>#REF!</v>
      </c>
      <c r="J829" s="11" t="e">
        <f>VLOOKUP($B829,#REF!,6,FALSE)</f>
        <v>#REF!</v>
      </c>
      <c r="L829" s="3">
        <v>44654.857638886228</v>
      </c>
      <c r="M829" s="15"/>
    </row>
    <row r="830" spans="2:13">
      <c r="B830" s="7"/>
      <c r="C830" s="8" t="e">
        <f>VLOOKUP($B830,#REF!,5,FALSE)</f>
        <v>#REF!</v>
      </c>
      <c r="D830" s="8" t="e">
        <f>VLOOKUP($B830,#REF!,6,FALSE)</f>
        <v>#REF!</v>
      </c>
      <c r="E830" s="9" t="e">
        <f>VLOOKUP($B830,#REF!,17,FALSE)</f>
        <v>#REF!</v>
      </c>
      <c r="F830" s="10" t="e">
        <f>VLOOKUP($B830,#REF!,7,FALSE)</f>
        <v>#REF!</v>
      </c>
      <c r="G830" s="10"/>
      <c r="H830" s="10"/>
      <c r="I830" s="11" t="e">
        <f>VLOOKUP($B830,#REF!,19,FALSE)</f>
        <v>#REF!</v>
      </c>
      <c r="J830" s="11" t="e">
        <f>VLOOKUP($B830,#REF!,6,FALSE)</f>
        <v>#REF!</v>
      </c>
      <c r="L830" s="3">
        <v>44654.861111108446</v>
      </c>
      <c r="M830" s="15"/>
    </row>
    <row r="831" spans="2:13">
      <c r="B831" s="7"/>
      <c r="C831" s="8" t="e">
        <f>VLOOKUP($B831,#REF!,5,FALSE)</f>
        <v>#REF!</v>
      </c>
      <c r="D831" s="8" t="e">
        <f>VLOOKUP($B831,#REF!,6,FALSE)</f>
        <v>#REF!</v>
      </c>
      <c r="E831" s="9" t="e">
        <f>VLOOKUP($B831,#REF!,17,FALSE)</f>
        <v>#REF!</v>
      </c>
      <c r="F831" s="10" t="e">
        <f>VLOOKUP($B831,#REF!,7,FALSE)</f>
        <v>#REF!</v>
      </c>
      <c r="G831" s="10"/>
      <c r="H831" s="10"/>
      <c r="I831" s="11" t="e">
        <f>VLOOKUP($B831,#REF!,19,FALSE)</f>
        <v>#REF!</v>
      </c>
      <c r="J831" s="11" t="e">
        <f>VLOOKUP($B831,#REF!,6,FALSE)</f>
        <v>#REF!</v>
      </c>
      <c r="L831" s="3">
        <v>44654.864583330665</v>
      </c>
      <c r="M831" s="15"/>
    </row>
    <row r="832" spans="2:13">
      <c r="B832" s="7"/>
      <c r="C832" s="8" t="e">
        <f>VLOOKUP($B832,#REF!,5,FALSE)</f>
        <v>#REF!</v>
      </c>
      <c r="D832" s="8" t="e">
        <f>VLOOKUP($B832,#REF!,6,FALSE)</f>
        <v>#REF!</v>
      </c>
      <c r="E832" s="9" t="e">
        <f>VLOOKUP($B832,#REF!,17,FALSE)</f>
        <v>#REF!</v>
      </c>
      <c r="F832" s="10" t="e">
        <f>VLOOKUP($B832,#REF!,7,FALSE)</f>
        <v>#REF!</v>
      </c>
      <c r="G832" s="10"/>
      <c r="H832" s="10"/>
      <c r="I832" s="11" t="e">
        <f>VLOOKUP($B832,#REF!,19,FALSE)</f>
        <v>#REF!</v>
      </c>
      <c r="J832" s="11" t="e">
        <f>VLOOKUP($B832,#REF!,6,FALSE)</f>
        <v>#REF!</v>
      </c>
      <c r="L832" s="3">
        <v>44654.868055552884</v>
      </c>
      <c r="M832" s="15"/>
    </row>
    <row r="833" spans="2:13">
      <c r="B833" s="7"/>
      <c r="C833" s="8" t="e">
        <f>VLOOKUP($B833,#REF!,5,FALSE)</f>
        <v>#REF!</v>
      </c>
      <c r="D833" s="8" t="e">
        <f>VLOOKUP($B833,#REF!,6,FALSE)</f>
        <v>#REF!</v>
      </c>
      <c r="E833" s="9" t="e">
        <f>VLOOKUP($B833,#REF!,17,FALSE)</f>
        <v>#REF!</v>
      </c>
      <c r="F833" s="10" t="e">
        <f>VLOOKUP($B833,#REF!,7,FALSE)</f>
        <v>#REF!</v>
      </c>
      <c r="G833" s="10"/>
      <c r="H833" s="10"/>
      <c r="I833" s="11" t="e">
        <f>VLOOKUP($B833,#REF!,19,FALSE)</f>
        <v>#REF!</v>
      </c>
      <c r="J833" s="11" t="e">
        <f>VLOOKUP($B833,#REF!,6,FALSE)</f>
        <v>#REF!</v>
      </c>
      <c r="L833" s="3">
        <v>44654.871527775103</v>
      </c>
      <c r="M833" s="15"/>
    </row>
    <row r="834" spans="2:13">
      <c r="B834" s="7"/>
      <c r="C834" s="8" t="e">
        <f>VLOOKUP($B834,#REF!,5,FALSE)</f>
        <v>#REF!</v>
      </c>
      <c r="D834" s="8" t="e">
        <f>VLOOKUP($B834,#REF!,6,FALSE)</f>
        <v>#REF!</v>
      </c>
      <c r="E834" s="9" t="e">
        <f>VLOOKUP($B834,#REF!,17,FALSE)</f>
        <v>#REF!</v>
      </c>
      <c r="F834" s="10" t="e">
        <f>VLOOKUP($B834,#REF!,7,FALSE)</f>
        <v>#REF!</v>
      </c>
      <c r="G834" s="10"/>
      <c r="H834" s="10"/>
      <c r="I834" s="11" t="e">
        <f>VLOOKUP($B834,#REF!,19,FALSE)</f>
        <v>#REF!</v>
      </c>
      <c r="J834" s="11" t="e">
        <f>VLOOKUP($B834,#REF!,6,FALSE)</f>
        <v>#REF!</v>
      </c>
      <c r="L834" s="3">
        <v>44654.874999997322</v>
      </c>
      <c r="M834" s="15"/>
    </row>
    <row r="835" spans="2:13">
      <c r="B835" s="7"/>
      <c r="C835" s="8" t="e">
        <f>VLOOKUP($B835,#REF!,5,FALSE)</f>
        <v>#REF!</v>
      </c>
      <c r="D835" s="8" t="e">
        <f>VLOOKUP($B835,#REF!,6,FALSE)</f>
        <v>#REF!</v>
      </c>
      <c r="E835" s="9" t="e">
        <f>VLOOKUP($B835,#REF!,17,FALSE)</f>
        <v>#REF!</v>
      </c>
      <c r="F835" s="10" t="e">
        <f>VLOOKUP($B835,#REF!,7,FALSE)</f>
        <v>#REF!</v>
      </c>
      <c r="G835" s="10"/>
      <c r="H835" s="10"/>
      <c r="I835" s="11" t="e">
        <f>VLOOKUP($B835,#REF!,19,FALSE)</f>
        <v>#REF!</v>
      </c>
      <c r="J835" s="11" t="e">
        <f>VLOOKUP($B835,#REF!,6,FALSE)</f>
        <v>#REF!</v>
      </c>
      <c r="L835" s="3">
        <v>44654.878472219541</v>
      </c>
      <c r="M835" s="15"/>
    </row>
    <row r="836" spans="2:13">
      <c r="B836" s="7"/>
      <c r="C836" s="8" t="e">
        <f>VLOOKUP($B836,#REF!,5,FALSE)</f>
        <v>#REF!</v>
      </c>
      <c r="D836" s="8" t="e">
        <f>VLOOKUP($B836,#REF!,6,FALSE)</f>
        <v>#REF!</v>
      </c>
      <c r="E836" s="9" t="e">
        <f>VLOOKUP($B836,#REF!,17,FALSE)</f>
        <v>#REF!</v>
      </c>
      <c r="F836" s="10" t="e">
        <f>VLOOKUP($B836,#REF!,7,FALSE)</f>
        <v>#REF!</v>
      </c>
      <c r="G836" s="10"/>
      <c r="H836" s="10"/>
      <c r="I836" s="11" t="e">
        <f>VLOOKUP($B836,#REF!,19,FALSE)</f>
        <v>#REF!</v>
      </c>
      <c r="J836" s="11" t="e">
        <f>VLOOKUP($B836,#REF!,6,FALSE)</f>
        <v>#REF!</v>
      </c>
      <c r="L836" s="3">
        <v>44654.88194444176</v>
      </c>
      <c r="M836" s="15"/>
    </row>
    <row r="837" spans="2:13">
      <c r="B837" s="7"/>
      <c r="C837" s="8" t="e">
        <f>VLOOKUP($B837,#REF!,5,FALSE)</f>
        <v>#REF!</v>
      </c>
      <c r="D837" s="8" t="e">
        <f>VLOOKUP($B837,#REF!,6,FALSE)</f>
        <v>#REF!</v>
      </c>
      <c r="E837" s="9" t="e">
        <f>VLOOKUP($B837,#REF!,17,FALSE)</f>
        <v>#REF!</v>
      </c>
      <c r="F837" s="10" t="e">
        <f>VLOOKUP($B837,#REF!,7,FALSE)</f>
        <v>#REF!</v>
      </c>
      <c r="G837" s="10"/>
      <c r="H837" s="10"/>
      <c r="I837" s="11" t="e">
        <f>VLOOKUP($B837,#REF!,19,FALSE)</f>
        <v>#REF!</v>
      </c>
      <c r="J837" s="11" t="e">
        <f>VLOOKUP($B837,#REF!,6,FALSE)</f>
        <v>#REF!</v>
      </c>
      <c r="L837" s="3">
        <v>44654.885416663979</v>
      </c>
      <c r="M837" s="15"/>
    </row>
    <row r="838" spans="2:13">
      <c r="B838" s="7"/>
      <c r="C838" s="8" t="e">
        <f>VLOOKUP($B838,#REF!,5,FALSE)</f>
        <v>#REF!</v>
      </c>
      <c r="D838" s="8" t="e">
        <f>VLOOKUP($B838,#REF!,6,FALSE)</f>
        <v>#REF!</v>
      </c>
      <c r="E838" s="9" t="e">
        <f>VLOOKUP($B838,#REF!,17,FALSE)</f>
        <v>#REF!</v>
      </c>
      <c r="F838" s="10" t="e">
        <f>VLOOKUP($B838,#REF!,7,FALSE)</f>
        <v>#REF!</v>
      </c>
      <c r="G838" s="10"/>
      <c r="H838" s="10"/>
      <c r="I838" s="11" t="e">
        <f>VLOOKUP($B838,#REF!,19,FALSE)</f>
        <v>#REF!</v>
      </c>
      <c r="J838" s="11" t="e">
        <f>VLOOKUP($B838,#REF!,6,FALSE)</f>
        <v>#REF!</v>
      </c>
      <c r="L838" s="3">
        <v>44654.888888886198</v>
      </c>
      <c r="M838" s="15"/>
    </row>
    <row r="839" spans="2:13">
      <c r="B839" s="7"/>
      <c r="C839" s="8" t="e">
        <f>VLOOKUP($B839,#REF!,5,FALSE)</f>
        <v>#REF!</v>
      </c>
      <c r="D839" s="8" t="e">
        <f>VLOOKUP($B839,#REF!,6,FALSE)</f>
        <v>#REF!</v>
      </c>
      <c r="E839" s="9" t="e">
        <f>VLOOKUP($B839,#REF!,17,FALSE)</f>
        <v>#REF!</v>
      </c>
      <c r="F839" s="10" t="e">
        <f>VLOOKUP($B839,#REF!,7,FALSE)</f>
        <v>#REF!</v>
      </c>
      <c r="G839" s="10"/>
      <c r="H839" s="10"/>
      <c r="I839" s="11" t="e">
        <f>VLOOKUP($B839,#REF!,19,FALSE)</f>
        <v>#REF!</v>
      </c>
      <c r="J839" s="11" t="e">
        <f>VLOOKUP($B839,#REF!,6,FALSE)</f>
        <v>#REF!</v>
      </c>
      <c r="L839" s="3">
        <v>44654.892361108417</v>
      </c>
      <c r="M839" s="15"/>
    </row>
    <row r="840" spans="2:13">
      <c r="B840" s="7"/>
      <c r="C840" s="8" t="e">
        <f>VLOOKUP($B840,#REF!,5,FALSE)</f>
        <v>#REF!</v>
      </c>
      <c r="D840" s="8" t="e">
        <f>VLOOKUP($B840,#REF!,6,FALSE)</f>
        <v>#REF!</v>
      </c>
      <c r="E840" s="9" t="e">
        <f>VLOOKUP($B840,#REF!,17,FALSE)</f>
        <v>#REF!</v>
      </c>
      <c r="F840" s="10" t="e">
        <f>VLOOKUP($B840,#REF!,7,FALSE)</f>
        <v>#REF!</v>
      </c>
      <c r="G840" s="10"/>
      <c r="H840" s="10"/>
      <c r="I840" s="11" t="e">
        <f>VLOOKUP($B840,#REF!,19,FALSE)</f>
        <v>#REF!</v>
      </c>
      <c r="J840" s="11" t="e">
        <f>VLOOKUP($B840,#REF!,6,FALSE)</f>
        <v>#REF!</v>
      </c>
      <c r="L840" s="3">
        <v>44654.895833330636</v>
      </c>
      <c r="M840" s="15"/>
    </row>
    <row r="841" spans="2:13">
      <c r="B841" s="7"/>
      <c r="C841" s="8" t="e">
        <f>VLOOKUP($B841,#REF!,5,FALSE)</f>
        <v>#REF!</v>
      </c>
      <c r="D841" s="8" t="e">
        <f>VLOOKUP($B841,#REF!,6,FALSE)</f>
        <v>#REF!</v>
      </c>
      <c r="E841" s="9" t="e">
        <f>VLOOKUP($B841,#REF!,17,FALSE)</f>
        <v>#REF!</v>
      </c>
      <c r="F841" s="10" t="e">
        <f>VLOOKUP($B841,#REF!,7,FALSE)</f>
        <v>#REF!</v>
      </c>
      <c r="G841" s="10"/>
      <c r="H841" s="10"/>
      <c r="I841" s="11" t="e">
        <f>VLOOKUP($B841,#REF!,19,FALSE)</f>
        <v>#REF!</v>
      </c>
      <c r="J841" s="11" t="e">
        <f>VLOOKUP($B841,#REF!,6,FALSE)</f>
        <v>#REF!</v>
      </c>
      <c r="L841" s="3">
        <v>44654.899305552855</v>
      </c>
      <c r="M841" s="15"/>
    </row>
    <row r="842" spans="2:13">
      <c r="B842" s="7"/>
      <c r="C842" s="8" t="e">
        <f>VLOOKUP($B842,#REF!,5,FALSE)</f>
        <v>#REF!</v>
      </c>
      <c r="D842" s="8" t="e">
        <f>VLOOKUP($B842,#REF!,6,FALSE)</f>
        <v>#REF!</v>
      </c>
      <c r="E842" s="9" t="e">
        <f>VLOOKUP($B842,#REF!,17,FALSE)</f>
        <v>#REF!</v>
      </c>
      <c r="F842" s="10" t="e">
        <f>VLOOKUP($B842,#REF!,7,FALSE)</f>
        <v>#REF!</v>
      </c>
      <c r="G842" s="10"/>
      <c r="H842" s="10"/>
      <c r="I842" s="11" t="e">
        <f>VLOOKUP($B842,#REF!,19,FALSE)</f>
        <v>#REF!</v>
      </c>
      <c r="J842" s="11" t="e">
        <f>VLOOKUP($B842,#REF!,6,FALSE)</f>
        <v>#REF!</v>
      </c>
      <c r="L842" s="3">
        <v>44654.902777775074</v>
      </c>
      <c r="M842" s="15"/>
    </row>
    <row r="843" spans="2:13">
      <c r="B843" s="7"/>
      <c r="C843" s="8" t="e">
        <f>VLOOKUP($B843,#REF!,5,FALSE)</f>
        <v>#REF!</v>
      </c>
      <c r="D843" s="8" t="e">
        <f>VLOOKUP($B843,#REF!,6,FALSE)</f>
        <v>#REF!</v>
      </c>
      <c r="E843" s="9" t="e">
        <f>VLOOKUP($B843,#REF!,17,FALSE)</f>
        <v>#REF!</v>
      </c>
      <c r="F843" s="10" t="e">
        <f>VLOOKUP($B843,#REF!,7,FALSE)</f>
        <v>#REF!</v>
      </c>
      <c r="G843" s="10"/>
      <c r="H843" s="10"/>
      <c r="I843" s="11" t="e">
        <f>VLOOKUP($B843,#REF!,19,FALSE)</f>
        <v>#REF!</v>
      </c>
      <c r="J843" s="11" t="e">
        <f>VLOOKUP($B843,#REF!,6,FALSE)</f>
        <v>#REF!</v>
      </c>
      <c r="L843" s="3">
        <v>44654.906249997293</v>
      </c>
      <c r="M843" s="15"/>
    </row>
    <row r="844" spans="2:13">
      <c r="B844" s="7"/>
      <c r="C844" s="8" t="e">
        <f>VLOOKUP($B844,#REF!,5,FALSE)</f>
        <v>#REF!</v>
      </c>
      <c r="D844" s="8" t="e">
        <f>VLOOKUP($B844,#REF!,6,FALSE)</f>
        <v>#REF!</v>
      </c>
      <c r="E844" s="9" t="e">
        <f>VLOOKUP($B844,#REF!,17,FALSE)</f>
        <v>#REF!</v>
      </c>
      <c r="F844" s="10" t="e">
        <f>VLOOKUP($B844,#REF!,7,FALSE)</f>
        <v>#REF!</v>
      </c>
      <c r="G844" s="10"/>
      <c r="H844" s="10"/>
      <c r="I844" s="11" t="e">
        <f>VLOOKUP($B844,#REF!,19,FALSE)</f>
        <v>#REF!</v>
      </c>
      <c r="J844" s="11" t="e">
        <f>VLOOKUP($B844,#REF!,6,FALSE)</f>
        <v>#REF!</v>
      </c>
      <c r="L844" s="3">
        <v>44654.909722219512</v>
      </c>
      <c r="M844" s="15"/>
    </row>
    <row r="845" spans="2:13">
      <c r="B845" s="7"/>
      <c r="C845" s="8" t="e">
        <f>VLOOKUP($B845,#REF!,5,FALSE)</f>
        <v>#REF!</v>
      </c>
      <c r="D845" s="8" t="e">
        <f>VLOOKUP($B845,#REF!,6,FALSE)</f>
        <v>#REF!</v>
      </c>
      <c r="E845" s="9" t="e">
        <f>VLOOKUP($B845,#REF!,17,FALSE)</f>
        <v>#REF!</v>
      </c>
      <c r="F845" s="10" t="e">
        <f>VLOOKUP($B845,#REF!,7,FALSE)</f>
        <v>#REF!</v>
      </c>
      <c r="G845" s="10"/>
      <c r="H845" s="10"/>
      <c r="I845" s="11" t="e">
        <f>VLOOKUP($B845,#REF!,19,FALSE)</f>
        <v>#REF!</v>
      </c>
      <c r="J845" s="11" t="e">
        <f>VLOOKUP($B845,#REF!,6,FALSE)</f>
        <v>#REF!</v>
      </c>
      <c r="L845" s="3">
        <v>44654.913194441731</v>
      </c>
      <c r="M845" s="15"/>
    </row>
    <row r="846" spans="2:13">
      <c r="B846" s="7"/>
      <c r="C846" s="8" t="e">
        <f>VLOOKUP($B846,#REF!,5,FALSE)</f>
        <v>#REF!</v>
      </c>
      <c r="D846" s="8" t="e">
        <f>VLOOKUP($B846,#REF!,6,FALSE)</f>
        <v>#REF!</v>
      </c>
      <c r="E846" s="9" t="e">
        <f>VLOOKUP($B846,#REF!,17,FALSE)</f>
        <v>#REF!</v>
      </c>
      <c r="F846" s="10" t="e">
        <f>VLOOKUP($B846,#REF!,7,FALSE)</f>
        <v>#REF!</v>
      </c>
      <c r="G846" s="10"/>
      <c r="H846" s="10"/>
      <c r="I846" s="11" t="e">
        <f>VLOOKUP($B846,#REF!,19,FALSE)</f>
        <v>#REF!</v>
      </c>
      <c r="J846" s="11" t="e">
        <f>VLOOKUP($B846,#REF!,6,FALSE)</f>
        <v>#REF!</v>
      </c>
      <c r="L846" s="3">
        <v>44654.91666666395</v>
      </c>
      <c r="M846" s="15"/>
    </row>
    <row r="847" spans="2:13">
      <c r="B847" s="7"/>
      <c r="C847" s="8" t="e">
        <f>VLOOKUP($B847,#REF!,5,FALSE)</f>
        <v>#REF!</v>
      </c>
      <c r="D847" s="8" t="e">
        <f>VLOOKUP($B847,#REF!,6,FALSE)</f>
        <v>#REF!</v>
      </c>
      <c r="E847" s="9" t="e">
        <f>VLOOKUP($B847,#REF!,17,FALSE)</f>
        <v>#REF!</v>
      </c>
      <c r="F847" s="10" t="e">
        <f>VLOOKUP($B847,#REF!,7,FALSE)</f>
        <v>#REF!</v>
      </c>
      <c r="G847" s="10"/>
      <c r="H847" s="10"/>
      <c r="I847" s="11" t="e">
        <f>VLOOKUP($B847,#REF!,19,FALSE)</f>
        <v>#REF!</v>
      </c>
      <c r="J847" s="11" t="e">
        <f>VLOOKUP($B847,#REF!,6,FALSE)</f>
        <v>#REF!</v>
      </c>
      <c r="L847" s="3">
        <v>44654.920138886169</v>
      </c>
      <c r="M847" s="15"/>
    </row>
    <row r="848" spans="2:13">
      <c r="B848" s="7"/>
      <c r="C848" s="8" t="e">
        <f>VLOOKUP($B848,#REF!,5,FALSE)</f>
        <v>#REF!</v>
      </c>
      <c r="D848" s="8" t="e">
        <f>VLOOKUP($B848,#REF!,6,FALSE)</f>
        <v>#REF!</v>
      </c>
      <c r="E848" s="9" t="e">
        <f>VLOOKUP($B848,#REF!,17,FALSE)</f>
        <v>#REF!</v>
      </c>
      <c r="F848" s="10" t="e">
        <f>VLOOKUP($B848,#REF!,7,FALSE)</f>
        <v>#REF!</v>
      </c>
      <c r="G848" s="10"/>
      <c r="H848" s="10"/>
      <c r="I848" s="11" t="e">
        <f>VLOOKUP($B848,#REF!,19,FALSE)</f>
        <v>#REF!</v>
      </c>
      <c r="J848" s="11" t="e">
        <f>VLOOKUP($B848,#REF!,6,FALSE)</f>
        <v>#REF!</v>
      </c>
      <c r="L848" s="3">
        <v>44654.923611108388</v>
      </c>
      <c r="M848" s="15"/>
    </row>
    <row r="849" spans="2:13">
      <c r="B849" s="7"/>
      <c r="C849" s="8" t="e">
        <f>VLOOKUP($B849,#REF!,5,FALSE)</f>
        <v>#REF!</v>
      </c>
      <c r="D849" s="8" t="e">
        <f>VLOOKUP($B849,#REF!,6,FALSE)</f>
        <v>#REF!</v>
      </c>
      <c r="E849" s="9" t="e">
        <f>VLOOKUP($B849,#REF!,17,FALSE)</f>
        <v>#REF!</v>
      </c>
      <c r="F849" s="10" t="e">
        <f>VLOOKUP($B849,#REF!,7,FALSE)</f>
        <v>#REF!</v>
      </c>
      <c r="G849" s="10"/>
      <c r="H849" s="10"/>
      <c r="I849" s="11" t="e">
        <f>VLOOKUP($B849,#REF!,19,FALSE)</f>
        <v>#REF!</v>
      </c>
      <c r="J849" s="11" t="e">
        <f>VLOOKUP($B849,#REF!,6,FALSE)</f>
        <v>#REF!</v>
      </c>
      <c r="L849" s="3">
        <v>44654.927083330607</v>
      </c>
      <c r="M849" s="15"/>
    </row>
    <row r="850" spans="2:13">
      <c r="B850" s="7"/>
      <c r="C850" s="8" t="e">
        <f>VLOOKUP($B850,#REF!,5,FALSE)</f>
        <v>#REF!</v>
      </c>
      <c r="D850" s="8" t="e">
        <f>VLOOKUP($B850,#REF!,6,FALSE)</f>
        <v>#REF!</v>
      </c>
      <c r="E850" s="9" t="e">
        <f>VLOOKUP($B850,#REF!,17,FALSE)</f>
        <v>#REF!</v>
      </c>
      <c r="F850" s="10" t="e">
        <f>VLOOKUP($B850,#REF!,7,FALSE)</f>
        <v>#REF!</v>
      </c>
      <c r="G850" s="10"/>
      <c r="H850" s="10"/>
      <c r="I850" s="11" t="e">
        <f>VLOOKUP($B850,#REF!,19,FALSE)</f>
        <v>#REF!</v>
      </c>
      <c r="J850" s="11" t="e">
        <f>VLOOKUP($B850,#REF!,6,FALSE)</f>
        <v>#REF!</v>
      </c>
      <c r="L850" s="3">
        <v>44654.930555552826</v>
      </c>
      <c r="M850" s="15"/>
    </row>
    <row r="851" spans="2:13">
      <c r="B851" s="7"/>
      <c r="C851" s="8" t="e">
        <f>VLOOKUP($B851,#REF!,5,FALSE)</f>
        <v>#REF!</v>
      </c>
      <c r="D851" s="8" t="e">
        <f>VLOOKUP($B851,#REF!,6,FALSE)</f>
        <v>#REF!</v>
      </c>
      <c r="E851" s="9" t="e">
        <f>VLOOKUP($B851,#REF!,17,FALSE)</f>
        <v>#REF!</v>
      </c>
      <c r="F851" s="10" t="e">
        <f>VLOOKUP($B851,#REF!,7,FALSE)</f>
        <v>#REF!</v>
      </c>
      <c r="G851" s="10"/>
      <c r="H851" s="10"/>
      <c r="I851" s="11" t="e">
        <f>VLOOKUP($B851,#REF!,19,FALSE)</f>
        <v>#REF!</v>
      </c>
      <c r="J851" s="11" t="e">
        <f>VLOOKUP($B851,#REF!,6,FALSE)</f>
        <v>#REF!</v>
      </c>
      <c r="L851" s="3">
        <v>44654.934027775045</v>
      </c>
      <c r="M851" s="15"/>
    </row>
    <row r="852" spans="2:13">
      <c r="B852" s="7"/>
      <c r="C852" s="8" t="e">
        <f>VLOOKUP($B852,#REF!,5,FALSE)</f>
        <v>#REF!</v>
      </c>
      <c r="D852" s="8" t="e">
        <f>VLOOKUP($B852,#REF!,6,FALSE)</f>
        <v>#REF!</v>
      </c>
      <c r="E852" s="9" t="e">
        <f>VLOOKUP($B852,#REF!,17,FALSE)</f>
        <v>#REF!</v>
      </c>
      <c r="F852" s="10" t="e">
        <f>VLOOKUP($B852,#REF!,7,FALSE)</f>
        <v>#REF!</v>
      </c>
      <c r="G852" s="10"/>
      <c r="H852" s="10"/>
      <c r="I852" s="11" t="e">
        <f>VLOOKUP($B852,#REF!,19,FALSE)</f>
        <v>#REF!</v>
      </c>
      <c r="J852" s="11" t="e">
        <f>VLOOKUP($B852,#REF!,6,FALSE)</f>
        <v>#REF!</v>
      </c>
      <c r="L852" s="3">
        <v>44654.937499997264</v>
      </c>
      <c r="M852" s="15"/>
    </row>
    <row r="853" spans="2:13">
      <c r="B853" s="7"/>
      <c r="C853" s="8" t="e">
        <f>VLOOKUP($B853,#REF!,5,FALSE)</f>
        <v>#REF!</v>
      </c>
      <c r="D853" s="8" t="e">
        <f>VLOOKUP($B853,#REF!,6,FALSE)</f>
        <v>#REF!</v>
      </c>
      <c r="E853" s="9" t="e">
        <f>VLOOKUP($B853,#REF!,17,FALSE)</f>
        <v>#REF!</v>
      </c>
      <c r="F853" s="10" t="e">
        <f>VLOOKUP($B853,#REF!,7,FALSE)</f>
        <v>#REF!</v>
      </c>
      <c r="G853" s="10"/>
      <c r="H853" s="10"/>
      <c r="I853" s="11" t="e">
        <f>VLOOKUP($B853,#REF!,19,FALSE)</f>
        <v>#REF!</v>
      </c>
      <c r="J853" s="11" t="e">
        <f>VLOOKUP($B853,#REF!,6,FALSE)</f>
        <v>#REF!</v>
      </c>
      <c r="L853" s="3">
        <v>44654.940972219483</v>
      </c>
      <c r="M853" s="15"/>
    </row>
    <row r="854" spans="2:13">
      <c r="B854" s="7"/>
      <c r="C854" s="8" t="e">
        <f>VLOOKUP($B854,#REF!,5,FALSE)</f>
        <v>#REF!</v>
      </c>
      <c r="D854" s="8" t="e">
        <f>VLOOKUP($B854,#REF!,6,FALSE)</f>
        <v>#REF!</v>
      </c>
      <c r="E854" s="9" t="e">
        <f>VLOOKUP($B854,#REF!,17,FALSE)</f>
        <v>#REF!</v>
      </c>
      <c r="F854" s="10" t="e">
        <f>VLOOKUP($B854,#REF!,7,FALSE)</f>
        <v>#REF!</v>
      </c>
      <c r="G854" s="10"/>
      <c r="H854" s="10"/>
      <c r="I854" s="11" t="e">
        <f>VLOOKUP($B854,#REF!,19,FALSE)</f>
        <v>#REF!</v>
      </c>
      <c r="J854" s="11" t="e">
        <f>VLOOKUP($B854,#REF!,6,FALSE)</f>
        <v>#REF!</v>
      </c>
      <c r="L854" s="3">
        <v>44654.944444441702</v>
      </c>
      <c r="M854" s="15"/>
    </row>
    <row r="855" spans="2:13">
      <c r="B855" s="7"/>
      <c r="C855" s="8" t="e">
        <f>VLOOKUP($B855,#REF!,5,FALSE)</f>
        <v>#REF!</v>
      </c>
      <c r="D855" s="8" t="e">
        <f>VLOOKUP($B855,#REF!,6,FALSE)</f>
        <v>#REF!</v>
      </c>
      <c r="E855" s="9" t="e">
        <f>VLOOKUP($B855,#REF!,17,FALSE)</f>
        <v>#REF!</v>
      </c>
      <c r="F855" s="10" t="e">
        <f>VLOOKUP($B855,#REF!,7,FALSE)</f>
        <v>#REF!</v>
      </c>
      <c r="G855" s="10"/>
      <c r="H855" s="10"/>
      <c r="I855" s="11" t="e">
        <f>VLOOKUP($B855,#REF!,19,FALSE)</f>
        <v>#REF!</v>
      </c>
      <c r="J855" s="11" t="e">
        <f>VLOOKUP($B855,#REF!,6,FALSE)</f>
        <v>#REF!</v>
      </c>
      <c r="L855" s="3">
        <v>44654.947916663921</v>
      </c>
      <c r="M855" s="15"/>
    </row>
    <row r="856" spans="2:13">
      <c r="B856" s="7"/>
      <c r="C856" s="8" t="e">
        <f>VLOOKUP($B856,#REF!,5,FALSE)</f>
        <v>#REF!</v>
      </c>
      <c r="D856" s="8" t="e">
        <f>VLOOKUP($B856,#REF!,6,FALSE)</f>
        <v>#REF!</v>
      </c>
      <c r="E856" s="9" t="e">
        <f>VLOOKUP($B856,#REF!,17,FALSE)</f>
        <v>#REF!</v>
      </c>
      <c r="F856" s="10" t="e">
        <f>VLOOKUP($B856,#REF!,7,FALSE)</f>
        <v>#REF!</v>
      </c>
      <c r="G856" s="10"/>
      <c r="H856" s="10"/>
      <c r="I856" s="11" t="e">
        <f>VLOOKUP($B856,#REF!,19,FALSE)</f>
        <v>#REF!</v>
      </c>
      <c r="J856" s="11" t="e">
        <f>VLOOKUP($B856,#REF!,6,FALSE)</f>
        <v>#REF!</v>
      </c>
      <c r="L856" s="3">
        <v>44654.95138888614</v>
      </c>
      <c r="M856" s="15"/>
    </row>
    <row r="857" spans="2:13">
      <c r="B857" s="7"/>
      <c r="C857" s="8" t="e">
        <f>VLOOKUP($B857,#REF!,5,FALSE)</f>
        <v>#REF!</v>
      </c>
      <c r="D857" s="8" t="e">
        <f>VLOOKUP($B857,#REF!,6,FALSE)</f>
        <v>#REF!</v>
      </c>
      <c r="E857" s="9" t="e">
        <f>VLOOKUP($B857,#REF!,17,FALSE)</f>
        <v>#REF!</v>
      </c>
      <c r="F857" s="10" t="e">
        <f>VLOOKUP($B857,#REF!,7,FALSE)</f>
        <v>#REF!</v>
      </c>
      <c r="G857" s="10"/>
      <c r="H857" s="10"/>
      <c r="I857" s="11" t="e">
        <f>VLOOKUP($B857,#REF!,19,FALSE)</f>
        <v>#REF!</v>
      </c>
      <c r="J857" s="11" t="e">
        <f>VLOOKUP($B857,#REF!,6,FALSE)</f>
        <v>#REF!</v>
      </c>
      <c r="L857" s="3">
        <v>44654.954861108359</v>
      </c>
      <c r="M857" s="15"/>
    </row>
    <row r="858" spans="2:13">
      <c r="B858" s="7"/>
      <c r="C858" s="8" t="e">
        <f>VLOOKUP($B858,#REF!,5,FALSE)</f>
        <v>#REF!</v>
      </c>
      <c r="D858" s="8" t="e">
        <f>VLOOKUP($B858,#REF!,6,FALSE)</f>
        <v>#REF!</v>
      </c>
      <c r="E858" s="9" t="e">
        <f>VLOOKUP($B858,#REF!,17,FALSE)</f>
        <v>#REF!</v>
      </c>
      <c r="F858" s="10" t="e">
        <f>VLOOKUP($B858,#REF!,7,FALSE)</f>
        <v>#REF!</v>
      </c>
      <c r="G858" s="10"/>
      <c r="H858" s="10"/>
      <c r="I858" s="11" t="e">
        <f>VLOOKUP($B858,#REF!,19,FALSE)</f>
        <v>#REF!</v>
      </c>
      <c r="J858" s="11" t="e">
        <f>VLOOKUP($B858,#REF!,6,FALSE)</f>
        <v>#REF!</v>
      </c>
      <c r="L858" s="3">
        <v>44654.958333330578</v>
      </c>
      <c r="M858" s="15"/>
    </row>
    <row r="859" spans="2:13">
      <c r="B859" s="7"/>
      <c r="C859" s="8" t="e">
        <f>VLOOKUP($B859,#REF!,5,FALSE)</f>
        <v>#REF!</v>
      </c>
      <c r="D859" s="8" t="e">
        <f>VLOOKUP($B859,#REF!,6,FALSE)</f>
        <v>#REF!</v>
      </c>
      <c r="E859" s="9" t="e">
        <f>VLOOKUP($B859,#REF!,17,FALSE)</f>
        <v>#REF!</v>
      </c>
      <c r="F859" s="10" t="e">
        <f>VLOOKUP($B859,#REF!,7,FALSE)</f>
        <v>#REF!</v>
      </c>
      <c r="G859" s="10"/>
      <c r="H859" s="10"/>
      <c r="I859" s="11" t="e">
        <f>VLOOKUP($B859,#REF!,19,FALSE)</f>
        <v>#REF!</v>
      </c>
      <c r="J859" s="11" t="e">
        <f>VLOOKUP($B859,#REF!,6,FALSE)</f>
        <v>#REF!</v>
      </c>
      <c r="L859" s="3">
        <v>44654.961805552797</v>
      </c>
      <c r="M859" s="15"/>
    </row>
    <row r="860" spans="2:13">
      <c r="B860" s="7"/>
      <c r="C860" s="8" t="e">
        <f>VLOOKUP($B860,#REF!,5,FALSE)</f>
        <v>#REF!</v>
      </c>
      <c r="D860" s="8" t="e">
        <f>VLOOKUP($B860,#REF!,6,FALSE)</f>
        <v>#REF!</v>
      </c>
      <c r="E860" s="9" t="e">
        <f>VLOOKUP($B860,#REF!,17,FALSE)</f>
        <v>#REF!</v>
      </c>
      <c r="F860" s="10" t="e">
        <f>VLOOKUP($B860,#REF!,7,FALSE)</f>
        <v>#REF!</v>
      </c>
      <c r="G860" s="10"/>
      <c r="H860" s="10"/>
      <c r="I860" s="11" t="e">
        <f>VLOOKUP($B860,#REF!,19,FALSE)</f>
        <v>#REF!</v>
      </c>
      <c r="J860" s="11" t="e">
        <f>VLOOKUP($B860,#REF!,6,FALSE)</f>
        <v>#REF!</v>
      </c>
      <c r="L860" s="3">
        <v>44654.965277775016</v>
      </c>
      <c r="M860" s="15"/>
    </row>
    <row r="861" spans="2:13">
      <c r="B861" s="7"/>
      <c r="C861" s="8" t="e">
        <f>VLOOKUP($B861,#REF!,5,FALSE)</f>
        <v>#REF!</v>
      </c>
      <c r="D861" s="8" t="e">
        <f>VLOOKUP($B861,#REF!,6,FALSE)</f>
        <v>#REF!</v>
      </c>
      <c r="E861" s="9" t="e">
        <f>VLOOKUP($B861,#REF!,17,FALSE)</f>
        <v>#REF!</v>
      </c>
      <c r="F861" s="10" t="e">
        <f>VLOOKUP($B861,#REF!,7,FALSE)</f>
        <v>#REF!</v>
      </c>
      <c r="G861" s="10"/>
      <c r="H861" s="10"/>
      <c r="I861" s="11" t="e">
        <f>VLOOKUP($B861,#REF!,19,FALSE)</f>
        <v>#REF!</v>
      </c>
      <c r="J861" s="11" t="e">
        <f>VLOOKUP($B861,#REF!,6,FALSE)</f>
        <v>#REF!</v>
      </c>
      <c r="L861" s="3">
        <v>44654.968749997235</v>
      </c>
      <c r="M861" s="15"/>
    </row>
    <row r="862" spans="2:13">
      <c r="B862" s="7"/>
      <c r="C862" s="8" t="e">
        <f>VLOOKUP($B862,#REF!,5,FALSE)</f>
        <v>#REF!</v>
      </c>
      <c r="D862" s="8" t="e">
        <f>VLOOKUP($B862,#REF!,6,FALSE)</f>
        <v>#REF!</v>
      </c>
      <c r="E862" s="9" t="e">
        <f>VLOOKUP($B862,#REF!,17,FALSE)</f>
        <v>#REF!</v>
      </c>
      <c r="F862" s="10" t="e">
        <f>VLOOKUP($B862,#REF!,7,FALSE)</f>
        <v>#REF!</v>
      </c>
      <c r="G862" s="10"/>
      <c r="H862" s="10"/>
      <c r="I862" s="11" t="e">
        <f>VLOOKUP($B862,#REF!,19,FALSE)</f>
        <v>#REF!</v>
      </c>
      <c r="J862" s="11" t="e">
        <f>VLOOKUP($B862,#REF!,6,FALSE)</f>
        <v>#REF!</v>
      </c>
      <c r="L862" s="3">
        <v>44654.972222219454</v>
      </c>
      <c r="M862" s="15"/>
    </row>
    <row r="863" spans="2:13">
      <c r="B863" s="7"/>
      <c r="C863" s="8" t="e">
        <f>VLOOKUP($B863,#REF!,5,FALSE)</f>
        <v>#REF!</v>
      </c>
      <c r="D863" s="8" t="e">
        <f>VLOOKUP($B863,#REF!,6,FALSE)</f>
        <v>#REF!</v>
      </c>
      <c r="E863" s="9" t="e">
        <f>VLOOKUP($B863,#REF!,17,FALSE)</f>
        <v>#REF!</v>
      </c>
      <c r="F863" s="10" t="e">
        <f>VLOOKUP($B863,#REF!,7,FALSE)</f>
        <v>#REF!</v>
      </c>
      <c r="G863" s="10"/>
      <c r="H863" s="10"/>
      <c r="I863" s="11" t="e">
        <f>VLOOKUP($B863,#REF!,19,FALSE)</f>
        <v>#REF!</v>
      </c>
      <c r="J863" s="11" t="e">
        <f>VLOOKUP($B863,#REF!,6,FALSE)</f>
        <v>#REF!</v>
      </c>
      <c r="L863" s="3">
        <v>44654.975694441673</v>
      </c>
      <c r="M863" s="15"/>
    </row>
    <row r="864" spans="2:13">
      <c r="B864" s="7"/>
      <c r="C864" s="8" t="e">
        <f>VLOOKUP($B864,#REF!,5,FALSE)</f>
        <v>#REF!</v>
      </c>
      <c r="D864" s="8" t="e">
        <f>VLOOKUP($B864,#REF!,6,FALSE)</f>
        <v>#REF!</v>
      </c>
      <c r="E864" s="9" t="e">
        <f>VLOOKUP($B864,#REF!,17,FALSE)</f>
        <v>#REF!</v>
      </c>
      <c r="F864" s="10" t="e">
        <f>VLOOKUP($B864,#REF!,7,FALSE)</f>
        <v>#REF!</v>
      </c>
      <c r="G864" s="10"/>
      <c r="H864" s="10"/>
      <c r="I864" s="11" t="e">
        <f>VLOOKUP($B864,#REF!,19,FALSE)</f>
        <v>#REF!</v>
      </c>
      <c r="J864" s="11" t="e">
        <f>VLOOKUP($B864,#REF!,6,FALSE)</f>
        <v>#REF!</v>
      </c>
      <c r="L864" s="3">
        <v>44654.979166663892</v>
      </c>
      <c r="M864" s="15"/>
    </row>
    <row r="865" spans="2:13">
      <c r="B865" s="7"/>
      <c r="C865" s="8" t="e">
        <f>VLOOKUP($B865,#REF!,5,FALSE)</f>
        <v>#REF!</v>
      </c>
      <c r="D865" s="8" t="e">
        <f>VLOOKUP($B865,#REF!,6,FALSE)</f>
        <v>#REF!</v>
      </c>
      <c r="E865" s="9" t="e">
        <f>VLOOKUP($B865,#REF!,17,FALSE)</f>
        <v>#REF!</v>
      </c>
      <c r="F865" s="10" t="e">
        <f>VLOOKUP($B865,#REF!,7,FALSE)</f>
        <v>#REF!</v>
      </c>
      <c r="G865" s="10"/>
      <c r="H865" s="10"/>
      <c r="I865" s="11" t="e">
        <f>VLOOKUP($B865,#REF!,19,FALSE)</f>
        <v>#REF!</v>
      </c>
      <c r="J865" s="11" t="e">
        <f>VLOOKUP($B865,#REF!,6,FALSE)</f>
        <v>#REF!</v>
      </c>
      <c r="L865" s="3">
        <v>44654.982638886111</v>
      </c>
      <c r="M865" s="15"/>
    </row>
    <row r="866" spans="2:13">
      <c r="B866" s="7"/>
      <c r="C866" s="8" t="e">
        <f>VLOOKUP($B866,#REF!,5,FALSE)</f>
        <v>#REF!</v>
      </c>
      <c r="D866" s="8" t="e">
        <f>VLOOKUP($B866,#REF!,6,FALSE)</f>
        <v>#REF!</v>
      </c>
      <c r="E866" s="9" t="e">
        <f>VLOOKUP($B866,#REF!,17,FALSE)</f>
        <v>#REF!</v>
      </c>
      <c r="F866" s="10" t="e">
        <f>VLOOKUP($B866,#REF!,7,FALSE)</f>
        <v>#REF!</v>
      </c>
      <c r="G866" s="10"/>
      <c r="H866" s="10"/>
      <c r="I866" s="11" t="e">
        <f>VLOOKUP($B866,#REF!,19,FALSE)</f>
        <v>#REF!</v>
      </c>
      <c r="J866" s="11" t="e">
        <f>VLOOKUP($B866,#REF!,6,FALSE)</f>
        <v>#REF!</v>
      </c>
      <c r="L866" s="3">
        <v>44654.98611110833</v>
      </c>
      <c r="M866" s="15"/>
    </row>
    <row r="867" spans="2:13">
      <c r="B867" s="7"/>
      <c r="C867" s="8" t="e">
        <f>VLOOKUP($B867,#REF!,5,FALSE)</f>
        <v>#REF!</v>
      </c>
      <c r="D867" s="8" t="e">
        <f>VLOOKUP($B867,#REF!,6,FALSE)</f>
        <v>#REF!</v>
      </c>
      <c r="E867" s="9" t="e">
        <f>VLOOKUP($B867,#REF!,17,FALSE)</f>
        <v>#REF!</v>
      </c>
      <c r="F867" s="10" t="e">
        <f>VLOOKUP($B867,#REF!,7,FALSE)</f>
        <v>#REF!</v>
      </c>
      <c r="G867" s="10"/>
      <c r="H867" s="10"/>
      <c r="I867" s="11" t="e">
        <f>VLOOKUP($B867,#REF!,19,FALSE)</f>
        <v>#REF!</v>
      </c>
      <c r="J867" s="11" t="e">
        <f>VLOOKUP($B867,#REF!,6,FALSE)</f>
        <v>#REF!</v>
      </c>
      <c r="L867" s="3">
        <v>44654.989583330549</v>
      </c>
      <c r="M867" s="15"/>
    </row>
    <row r="868" spans="2:13">
      <c r="B868" s="7"/>
      <c r="C868" s="8" t="e">
        <f>VLOOKUP($B868,#REF!,5,FALSE)</f>
        <v>#REF!</v>
      </c>
      <c r="D868" s="8" t="e">
        <f>VLOOKUP($B868,#REF!,6,FALSE)</f>
        <v>#REF!</v>
      </c>
      <c r="E868" s="9" t="e">
        <f>VLOOKUP($B868,#REF!,17,FALSE)</f>
        <v>#REF!</v>
      </c>
      <c r="F868" s="10" t="e">
        <f>VLOOKUP($B868,#REF!,7,FALSE)</f>
        <v>#REF!</v>
      </c>
      <c r="G868" s="10"/>
      <c r="H868" s="10"/>
      <c r="I868" s="11" t="e">
        <f>VLOOKUP($B868,#REF!,19,FALSE)</f>
        <v>#REF!</v>
      </c>
      <c r="J868" s="11" t="e">
        <f>VLOOKUP($B868,#REF!,6,FALSE)</f>
        <v>#REF!</v>
      </c>
      <c r="L868" s="3">
        <v>44654.993055552768</v>
      </c>
      <c r="M868" s="15"/>
    </row>
    <row r="869" spans="2:13">
      <c r="B869" s="7"/>
      <c r="C869" s="8" t="e">
        <f>VLOOKUP($B869,#REF!,5,FALSE)</f>
        <v>#REF!</v>
      </c>
      <c r="D869" s="8" t="e">
        <f>VLOOKUP($B869,#REF!,6,FALSE)</f>
        <v>#REF!</v>
      </c>
      <c r="E869" s="9" t="e">
        <f>VLOOKUP($B869,#REF!,17,FALSE)</f>
        <v>#REF!</v>
      </c>
      <c r="F869" s="10" t="e">
        <f>VLOOKUP($B869,#REF!,7,FALSE)</f>
        <v>#REF!</v>
      </c>
      <c r="G869" s="10"/>
      <c r="H869" s="10"/>
      <c r="I869" s="11" t="e">
        <f>VLOOKUP($B869,#REF!,19,FALSE)</f>
        <v>#REF!</v>
      </c>
      <c r="J869" s="11" t="e">
        <f>VLOOKUP($B869,#REF!,6,FALSE)</f>
        <v>#REF!</v>
      </c>
      <c r="L869" s="3">
        <v>44654.996527774987</v>
      </c>
      <c r="M869" s="15"/>
    </row>
    <row r="870" spans="2:13">
      <c r="B870" s="7"/>
      <c r="C870" s="8" t="e">
        <f>VLOOKUP($B870,#REF!,5,FALSE)</f>
        <v>#REF!</v>
      </c>
      <c r="D870" s="8" t="e">
        <f>VLOOKUP($B870,#REF!,6,FALSE)</f>
        <v>#REF!</v>
      </c>
      <c r="E870" s="9" t="e">
        <f>VLOOKUP($B870,#REF!,17,FALSE)</f>
        <v>#REF!</v>
      </c>
      <c r="F870" s="10" t="e">
        <f>VLOOKUP($B870,#REF!,7,FALSE)</f>
        <v>#REF!</v>
      </c>
      <c r="G870" s="10"/>
      <c r="H870" s="10"/>
      <c r="I870" s="11" t="e">
        <f>VLOOKUP($B870,#REF!,19,FALSE)</f>
        <v>#REF!</v>
      </c>
      <c r="J870" s="11" t="e">
        <f>VLOOKUP($B870,#REF!,6,FALSE)</f>
        <v>#REF!</v>
      </c>
      <c r="L870" s="3">
        <v>44654.999999997206</v>
      </c>
      <c r="M870" s="15"/>
    </row>
    <row r="871" spans="2:13">
      <c r="B871" s="7"/>
      <c r="C871" s="8" t="e">
        <f>VLOOKUP($B871,#REF!,5,FALSE)</f>
        <v>#REF!</v>
      </c>
      <c r="D871" s="8" t="e">
        <f>VLOOKUP($B871,#REF!,6,FALSE)</f>
        <v>#REF!</v>
      </c>
      <c r="E871" s="9" t="e">
        <f>VLOOKUP($B871,#REF!,17,FALSE)</f>
        <v>#REF!</v>
      </c>
      <c r="F871" s="10" t="e">
        <f>VLOOKUP($B871,#REF!,7,FALSE)</f>
        <v>#REF!</v>
      </c>
      <c r="G871" s="10"/>
      <c r="H871" s="10"/>
      <c r="I871" s="11" t="e">
        <f>VLOOKUP($B871,#REF!,19,FALSE)</f>
        <v>#REF!</v>
      </c>
      <c r="J871" s="11" t="e">
        <f>VLOOKUP($B871,#REF!,6,FALSE)</f>
        <v>#REF!</v>
      </c>
      <c r="L871" s="3">
        <v>44655.003472219425</v>
      </c>
      <c r="M871" s="15"/>
    </row>
    <row r="872" spans="2:13">
      <c r="B872" s="7"/>
      <c r="C872" s="8" t="e">
        <f>VLOOKUP($B872,#REF!,5,FALSE)</f>
        <v>#REF!</v>
      </c>
      <c r="D872" s="8" t="e">
        <f>VLOOKUP($B872,#REF!,6,FALSE)</f>
        <v>#REF!</v>
      </c>
      <c r="E872" s="9" t="e">
        <f>VLOOKUP($B872,#REF!,17,FALSE)</f>
        <v>#REF!</v>
      </c>
      <c r="F872" s="10" t="e">
        <f>VLOOKUP($B872,#REF!,7,FALSE)</f>
        <v>#REF!</v>
      </c>
      <c r="G872" s="10"/>
      <c r="H872" s="10"/>
      <c r="I872" s="11" t="e">
        <f>VLOOKUP($B872,#REF!,19,FALSE)</f>
        <v>#REF!</v>
      </c>
      <c r="J872" s="11" t="e">
        <f>VLOOKUP($B872,#REF!,6,FALSE)</f>
        <v>#REF!</v>
      </c>
      <c r="L872" s="3">
        <v>44655.006944441644</v>
      </c>
      <c r="M872" s="15"/>
    </row>
    <row r="873" spans="2:13">
      <c r="B873" s="7"/>
      <c r="C873" s="8" t="e">
        <f>VLOOKUP($B873,#REF!,5,FALSE)</f>
        <v>#REF!</v>
      </c>
      <c r="D873" s="8" t="e">
        <f>VLOOKUP($B873,#REF!,6,FALSE)</f>
        <v>#REF!</v>
      </c>
      <c r="E873" s="9" t="e">
        <f>VLOOKUP($B873,#REF!,17,FALSE)</f>
        <v>#REF!</v>
      </c>
      <c r="F873" s="10" t="e">
        <f>VLOOKUP($B873,#REF!,7,FALSE)</f>
        <v>#REF!</v>
      </c>
      <c r="G873" s="10"/>
      <c r="H873" s="10"/>
      <c r="I873" s="11" t="e">
        <f>VLOOKUP($B873,#REF!,19,FALSE)</f>
        <v>#REF!</v>
      </c>
      <c r="J873" s="11" t="e">
        <f>VLOOKUP($B873,#REF!,6,FALSE)</f>
        <v>#REF!</v>
      </c>
      <c r="L873" s="3">
        <v>44655.010416663863</v>
      </c>
      <c r="M873" s="15"/>
    </row>
    <row r="874" spans="2:13">
      <c r="B874" s="7"/>
      <c r="C874" s="8" t="e">
        <f>VLOOKUP($B874,#REF!,5,FALSE)</f>
        <v>#REF!</v>
      </c>
      <c r="D874" s="8" t="e">
        <f>VLOOKUP($B874,#REF!,6,FALSE)</f>
        <v>#REF!</v>
      </c>
      <c r="E874" s="9" t="e">
        <f>VLOOKUP($B874,#REF!,17,FALSE)</f>
        <v>#REF!</v>
      </c>
      <c r="F874" s="10" t="e">
        <f>VLOOKUP($B874,#REF!,7,FALSE)</f>
        <v>#REF!</v>
      </c>
      <c r="G874" s="10"/>
      <c r="H874" s="10"/>
      <c r="I874" s="11" t="e">
        <f>VLOOKUP($B874,#REF!,19,FALSE)</f>
        <v>#REF!</v>
      </c>
      <c r="J874" s="11" t="e">
        <f>VLOOKUP($B874,#REF!,6,FALSE)</f>
        <v>#REF!</v>
      </c>
      <c r="L874" s="3">
        <v>44655.013888886082</v>
      </c>
      <c r="M874" s="15"/>
    </row>
    <row r="875" spans="2:13">
      <c r="B875" s="7"/>
      <c r="C875" s="8" t="e">
        <f>VLOOKUP($B875,#REF!,5,FALSE)</f>
        <v>#REF!</v>
      </c>
      <c r="D875" s="8" t="e">
        <f>VLOOKUP($B875,#REF!,6,FALSE)</f>
        <v>#REF!</v>
      </c>
      <c r="E875" s="9" t="e">
        <f>VLOOKUP($B875,#REF!,17,FALSE)</f>
        <v>#REF!</v>
      </c>
      <c r="F875" s="10" t="e">
        <f>VLOOKUP($B875,#REF!,7,FALSE)</f>
        <v>#REF!</v>
      </c>
      <c r="G875" s="10"/>
      <c r="H875" s="10"/>
      <c r="I875" s="11" t="e">
        <f>VLOOKUP($B875,#REF!,19,FALSE)</f>
        <v>#REF!</v>
      </c>
      <c r="J875" s="11" t="e">
        <f>VLOOKUP($B875,#REF!,6,FALSE)</f>
        <v>#REF!</v>
      </c>
      <c r="L875" s="3">
        <v>44655.017361108301</v>
      </c>
      <c r="M875" s="15"/>
    </row>
    <row r="876" spans="2:13">
      <c r="B876" s="7"/>
      <c r="C876" s="8" t="e">
        <f>VLOOKUP($B876,#REF!,5,FALSE)</f>
        <v>#REF!</v>
      </c>
      <c r="D876" s="8" t="e">
        <f>VLOOKUP($B876,#REF!,6,FALSE)</f>
        <v>#REF!</v>
      </c>
      <c r="E876" s="9" t="e">
        <f>VLOOKUP($B876,#REF!,17,FALSE)</f>
        <v>#REF!</v>
      </c>
      <c r="F876" s="10" t="e">
        <f>VLOOKUP($B876,#REF!,7,FALSE)</f>
        <v>#REF!</v>
      </c>
      <c r="G876" s="10"/>
      <c r="H876" s="10"/>
      <c r="I876" s="11" t="e">
        <f>VLOOKUP($B876,#REF!,19,FALSE)</f>
        <v>#REF!</v>
      </c>
      <c r="J876" s="11" t="e">
        <f>VLOOKUP($B876,#REF!,6,FALSE)</f>
        <v>#REF!</v>
      </c>
      <c r="L876" s="3">
        <v>44655.02083333052</v>
      </c>
      <c r="M876" s="15"/>
    </row>
    <row r="877" spans="2:13">
      <c r="B877" s="7"/>
      <c r="C877" s="8" t="e">
        <f>VLOOKUP($B877,#REF!,5,FALSE)</f>
        <v>#REF!</v>
      </c>
      <c r="D877" s="8" t="e">
        <f>VLOOKUP($B877,#REF!,6,FALSE)</f>
        <v>#REF!</v>
      </c>
      <c r="E877" s="9" t="e">
        <f>VLOOKUP($B877,#REF!,17,FALSE)</f>
        <v>#REF!</v>
      </c>
      <c r="F877" s="10" t="e">
        <f>VLOOKUP($B877,#REF!,7,FALSE)</f>
        <v>#REF!</v>
      </c>
      <c r="G877" s="10"/>
      <c r="H877" s="10"/>
      <c r="I877" s="11" t="e">
        <f>VLOOKUP($B877,#REF!,19,FALSE)</f>
        <v>#REF!</v>
      </c>
      <c r="J877" s="11" t="e">
        <f>VLOOKUP($B877,#REF!,6,FALSE)</f>
        <v>#REF!</v>
      </c>
      <c r="L877" s="3">
        <v>44655.024305552739</v>
      </c>
      <c r="M877" s="15"/>
    </row>
    <row r="878" spans="2:13">
      <c r="B878" s="7"/>
      <c r="C878" s="8" t="e">
        <f>VLOOKUP($B878,#REF!,5,FALSE)</f>
        <v>#REF!</v>
      </c>
      <c r="D878" s="8" t="e">
        <f>VLOOKUP($B878,#REF!,6,FALSE)</f>
        <v>#REF!</v>
      </c>
      <c r="E878" s="9" t="e">
        <f>VLOOKUP($B878,#REF!,17,FALSE)</f>
        <v>#REF!</v>
      </c>
      <c r="F878" s="10" t="e">
        <f>VLOOKUP($B878,#REF!,7,FALSE)</f>
        <v>#REF!</v>
      </c>
      <c r="G878" s="10"/>
      <c r="H878" s="10"/>
      <c r="I878" s="11" t="e">
        <f>VLOOKUP($B878,#REF!,19,FALSE)</f>
        <v>#REF!</v>
      </c>
      <c r="J878" s="11" t="e">
        <f>VLOOKUP($B878,#REF!,6,FALSE)</f>
        <v>#REF!</v>
      </c>
      <c r="L878" s="3">
        <v>44655.027777774958</v>
      </c>
      <c r="M878" s="15"/>
    </row>
    <row r="879" spans="2:13">
      <c r="B879" s="7"/>
      <c r="C879" s="8" t="e">
        <f>VLOOKUP($B879,#REF!,5,FALSE)</f>
        <v>#REF!</v>
      </c>
      <c r="D879" s="8" t="e">
        <f>VLOOKUP($B879,#REF!,6,FALSE)</f>
        <v>#REF!</v>
      </c>
      <c r="E879" s="9" t="e">
        <f>VLOOKUP($B879,#REF!,17,FALSE)</f>
        <v>#REF!</v>
      </c>
      <c r="F879" s="10" t="e">
        <f>VLOOKUP($B879,#REF!,7,FALSE)</f>
        <v>#REF!</v>
      </c>
      <c r="G879" s="10"/>
      <c r="H879" s="10"/>
      <c r="I879" s="11" t="e">
        <f>VLOOKUP($B879,#REF!,19,FALSE)</f>
        <v>#REF!</v>
      </c>
      <c r="J879" s="11" t="e">
        <f>VLOOKUP($B879,#REF!,6,FALSE)</f>
        <v>#REF!</v>
      </c>
      <c r="L879" s="3">
        <v>44655.031249997177</v>
      </c>
      <c r="M879" s="15"/>
    </row>
    <row r="880" spans="2:13">
      <c r="B880" s="7"/>
      <c r="C880" s="8" t="e">
        <f>VLOOKUP($B880,#REF!,5,FALSE)</f>
        <v>#REF!</v>
      </c>
      <c r="D880" s="8" t="e">
        <f>VLOOKUP($B880,#REF!,6,FALSE)</f>
        <v>#REF!</v>
      </c>
      <c r="E880" s="9" t="e">
        <f>VLOOKUP($B880,#REF!,17,FALSE)</f>
        <v>#REF!</v>
      </c>
      <c r="F880" s="10" t="e">
        <f>VLOOKUP($B880,#REF!,7,FALSE)</f>
        <v>#REF!</v>
      </c>
      <c r="G880" s="10"/>
      <c r="H880" s="10"/>
      <c r="I880" s="11" t="e">
        <f>VLOOKUP($B880,#REF!,19,FALSE)</f>
        <v>#REF!</v>
      </c>
      <c r="J880" s="11" t="e">
        <f>VLOOKUP($B880,#REF!,6,FALSE)</f>
        <v>#REF!</v>
      </c>
      <c r="L880" s="3">
        <v>44655.034722219396</v>
      </c>
      <c r="M880" s="15"/>
    </row>
    <row r="881" spans="2:13">
      <c r="B881" s="7"/>
      <c r="C881" s="8" t="e">
        <f>VLOOKUP($B881,#REF!,5,FALSE)</f>
        <v>#REF!</v>
      </c>
      <c r="D881" s="8" t="e">
        <f>VLOOKUP($B881,#REF!,6,FALSE)</f>
        <v>#REF!</v>
      </c>
      <c r="E881" s="9" t="e">
        <f>VLOOKUP($B881,#REF!,17,FALSE)</f>
        <v>#REF!</v>
      </c>
      <c r="F881" s="10" t="e">
        <f>VLOOKUP($B881,#REF!,7,FALSE)</f>
        <v>#REF!</v>
      </c>
      <c r="G881" s="10"/>
      <c r="H881" s="10"/>
      <c r="I881" s="11" t="e">
        <f>VLOOKUP($B881,#REF!,19,FALSE)</f>
        <v>#REF!</v>
      </c>
      <c r="J881" s="11" t="e">
        <f>VLOOKUP($B881,#REF!,6,FALSE)</f>
        <v>#REF!</v>
      </c>
      <c r="L881" s="3">
        <v>44655.038194441615</v>
      </c>
      <c r="M881" s="15"/>
    </row>
    <row r="882" spans="2:13">
      <c r="B882" s="7"/>
      <c r="C882" s="8" t="e">
        <f>VLOOKUP($B882,#REF!,5,FALSE)</f>
        <v>#REF!</v>
      </c>
      <c r="D882" s="8" t="e">
        <f>VLOOKUP($B882,#REF!,6,FALSE)</f>
        <v>#REF!</v>
      </c>
      <c r="E882" s="9" t="e">
        <f>VLOOKUP($B882,#REF!,17,FALSE)</f>
        <v>#REF!</v>
      </c>
      <c r="F882" s="10" t="e">
        <f>VLOOKUP($B882,#REF!,7,FALSE)</f>
        <v>#REF!</v>
      </c>
      <c r="G882" s="10"/>
      <c r="H882" s="10"/>
      <c r="I882" s="11" t="e">
        <f>VLOOKUP($B882,#REF!,19,FALSE)</f>
        <v>#REF!</v>
      </c>
      <c r="J882" s="11" t="e">
        <f>VLOOKUP($B882,#REF!,6,FALSE)</f>
        <v>#REF!</v>
      </c>
      <c r="L882" s="3">
        <v>44655.041666663834</v>
      </c>
      <c r="M882" s="15"/>
    </row>
    <row r="883" spans="2:13">
      <c r="B883" s="7"/>
      <c r="C883" s="8" t="e">
        <f>VLOOKUP($B883,#REF!,5,FALSE)</f>
        <v>#REF!</v>
      </c>
      <c r="D883" s="8" t="e">
        <f>VLOOKUP($B883,#REF!,6,FALSE)</f>
        <v>#REF!</v>
      </c>
      <c r="E883" s="9" t="e">
        <f>VLOOKUP($B883,#REF!,17,FALSE)</f>
        <v>#REF!</v>
      </c>
      <c r="F883" s="10" t="e">
        <f>VLOOKUP($B883,#REF!,7,FALSE)</f>
        <v>#REF!</v>
      </c>
      <c r="G883" s="10"/>
      <c r="H883" s="10"/>
      <c r="I883" s="11" t="e">
        <f>VLOOKUP($B883,#REF!,19,FALSE)</f>
        <v>#REF!</v>
      </c>
      <c r="J883" s="11" t="e">
        <f>VLOOKUP($B883,#REF!,6,FALSE)</f>
        <v>#REF!</v>
      </c>
      <c r="L883" s="3">
        <v>44655.045138886053</v>
      </c>
      <c r="M883" s="15"/>
    </row>
    <row r="884" spans="2:13">
      <c r="B884" s="7"/>
      <c r="C884" s="8" t="e">
        <f>VLOOKUP($B884,#REF!,5,FALSE)</f>
        <v>#REF!</v>
      </c>
      <c r="D884" s="8" t="e">
        <f>VLOOKUP($B884,#REF!,6,FALSE)</f>
        <v>#REF!</v>
      </c>
      <c r="E884" s="9" t="e">
        <f>VLOOKUP($B884,#REF!,17,FALSE)</f>
        <v>#REF!</v>
      </c>
      <c r="F884" s="10" t="e">
        <f>VLOOKUP($B884,#REF!,7,FALSE)</f>
        <v>#REF!</v>
      </c>
      <c r="G884" s="10"/>
      <c r="H884" s="10"/>
      <c r="I884" s="11" t="e">
        <f>VLOOKUP($B884,#REF!,19,FALSE)</f>
        <v>#REF!</v>
      </c>
      <c r="J884" s="11" t="e">
        <f>VLOOKUP($B884,#REF!,6,FALSE)</f>
        <v>#REF!</v>
      </c>
      <c r="L884" s="3">
        <v>44655.048611108272</v>
      </c>
      <c r="M884" s="15"/>
    </row>
    <row r="885" spans="2:13">
      <c r="B885" s="7"/>
      <c r="C885" s="8" t="e">
        <f>VLOOKUP($B885,#REF!,5,FALSE)</f>
        <v>#REF!</v>
      </c>
      <c r="D885" s="8" t="e">
        <f>VLOOKUP($B885,#REF!,6,FALSE)</f>
        <v>#REF!</v>
      </c>
      <c r="E885" s="9" t="e">
        <f>VLOOKUP($B885,#REF!,17,FALSE)</f>
        <v>#REF!</v>
      </c>
      <c r="F885" s="10" t="e">
        <f>VLOOKUP($B885,#REF!,7,FALSE)</f>
        <v>#REF!</v>
      </c>
      <c r="G885" s="10"/>
      <c r="H885" s="10"/>
      <c r="I885" s="11" t="e">
        <f>VLOOKUP($B885,#REF!,19,FALSE)</f>
        <v>#REF!</v>
      </c>
      <c r="J885" s="11" t="e">
        <f>VLOOKUP($B885,#REF!,6,FALSE)</f>
        <v>#REF!</v>
      </c>
      <c r="L885" s="3">
        <v>44655.052083330491</v>
      </c>
      <c r="M885" s="15"/>
    </row>
    <row r="886" spans="2:13">
      <c r="B886" s="7"/>
      <c r="C886" s="8" t="e">
        <f>VLOOKUP($B886,#REF!,5,FALSE)</f>
        <v>#REF!</v>
      </c>
      <c r="D886" s="8" t="e">
        <f>VLOOKUP($B886,#REF!,6,FALSE)</f>
        <v>#REF!</v>
      </c>
      <c r="E886" s="9" t="e">
        <f>VLOOKUP($B886,#REF!,17,FALSE)</f>
        <v>#REF!</v>
      </c>
      <c r="F886" s="10" t="e">
        <f>VLOOKUP($B886,#REF!,7,FALSE)</f>
        <v>#REF!</v>
      </c>
      <c r="G886" s="10"/>
      <c r="H886" s="10"/>
      <c r="I886" s="11" t="e">
        <f>VLOOKUP($B886,#REF!,19,FALSE)</f>
        <v>#REF!</v>
      </c>
      <c r="J886" s="11" t="e">
        <f>VLOOKUP($B886,#REF!,6,FALSE)</f>
        <v>#REF!</v>
      </c>
      <c r="L886" s="3">
        <v>44655.05555555271</v>
      </c>
      <c r="M886" s="15"/>
    </row>
    <row r="887" spans="2:13">
      <c r="B887" s="7"/>
      <c r="C887" s="8" t="e">
        <f>VLOOKUP($B887,#REF!,5,FALSE)</f>
        <v>#REF!</v>
      </c>
      <c r="D887" s="8" t="e">
        <f>VLOOKUP($B887,#REF!,6,FALSE)</f>
        <v>#REF!</v>
      </c>
      <c r="E887" s="9" t="e">
        <f>VLOOKUP($B887,#REF!,17,FALSE)</f>
        <v>#REF!</v>
      </c>
      <c r="F887" s="10" t="e">
        <f>VLOOKUP($B887,#REF!,7,FALSE)</f>
        <v>#REF!</v>
      </c>
      <c r="G887" s="10"/>
      <c r="H887" s="10"/>
      <c r="I887" s="11" t="e">
        <f>VLOOKUP($B887,#REF!,19,FALSE)</f>
        <v>#REF!</v>
      </c>
      <c r="J887" s="11" t="e">
        <f>VLOOKUP($B887,#REF!,6,FALSE)</f>
        <v>#REF!</v>
      </c>
      <c r="L887" s="3">
        <v>44655.059027774929</v>
      </c>
      <c r="M887" s="15"/>
    </row>
    <row r="888" spans="2:13">
      <c r="B888" s="7"/>
      <c r="C888" s="8" t="e">
        <f>VLOOKUP($B888,#REF!,5,FALSE)</f>
        <v>#REF!</v>
      </c>
      <c r="D888" s="8" t="e">
        <f>VLOOKUP($B888,#REF!,6,FALSE)</f>
        <v>#REF!</v>
      </c>
      <c r="E888" s="9" t="e">
        <f>VLOOKUP($B888,#REF!,17,FALSE)</f>
        <v>#REF!</v>
      </c>
      <c r="F888" s="10" t="e">
        <f>VLOOKUP($B888,#REF!,7,FALSE)</f>
        <v>#REF!</v>
      </c>
      <c r="G888" s="10"/>
      <c r="H888" s="10"/>
      <c r="I888" s="11" t="e">
        <f>VLOOKUP($B888,#REF!,19,FALSE)</f>
        <v>#REF!</v>
      </c>
      <c r="J888" s="11" t="e">
        <f>VLOOKUP($B888,#REF!,6,FALSE)</f>
        <v>#REF!</v>
      </c>
      <c r="L888" s="3">
        <v>44655.062499997148</v>
      </c>
      <c r="M888" s="15"/>
    </row>
    <row r="889" spans="2:13">
      <c r="B889" s="7"/>
      <c r="C889" s="8" t="e">
        <f>VLOOKUP($B889,#REF!,5,FALSE)</f>
        <v>#REF!</v>
      </c>
      <c r="D889" s="8" t="e">
        <f>VLOOKUP($B889,#REF!,6,FALSE)</f>
        <v>#REF!</v>
      </c>
      <c r="E889" s="9" t="e">
        <f>VLOOKUP($B889,#REF!,17,FALSE)</f>
        <v>#REF!</v>
      </c>
      <c r="F889" s="10" t="e">
        <f>VLOOKUP($B889,#REF!,7,FALSE)</f>
        <v>#REF!</v>
      </c>
      <c r="G889" s="10"/>
      <c r="H889" s="10"/>
      <c r="I889" s="11" t="e">
        <f>VLOOKUP($B889,#REF!,19,FALSE)</f>
        <v>#REF!</v>
      </c>
      <c r="J889" s="11" t="e">
        <f>VLOOKUP($B889,#REF!,6,FALSE)</f>
        <v>#REF!</v>
      </c>
      <c r="L889" s="3">
        <v>44655.065972219367</v>
      </c>
      <c r="M889" s="15"/>
    </row>
    <row r="890" spans="2:13">
      <c r="B890" s="7"/>
      <c r="C890" s="8" t="e">
        <f>VLOOKUP($B890,#REF!,5,FALSE)</f>
        <v>#REF!</v>
      </c>
      <c r="D890" s="8" t="e">
        <f>VLOOKUP($B890,#REF!,6,FALSE)</f>
        <v>#REF!</v>
      </c>
      <c r="E890" s="9" t="e">
        <f>VLOOKUP($B890,#REF!,17,FALSE)</f>
        <v>#REF!</v>
      </c>
      <c r="F890" s="10" t="e">
        <f>VLOOKUP($B890,#REF!,7,FALSE)</f>
        <v>#REF!</v>
      </c>
      <c r="G890" s="10"/>
      <c r="H890" s="10"/>
      <c r="I890" s="11" t="e">
        <f>VLOOKUP($B890,#REF!,19,FALSE)</f>
        <v>#REF!</v>
      </c>
      <c r="J890" s="11" t="e">
        <f>VLOOKUP($B890,#REF!,6,FALSE)</f>
        <v>#REF!</v>
      </c>
      <c r="L890" s="3">
        <v>44655.069444441586</v>
      </c>
      <c r="M890" s="15"/>
    </row>
    <row r="891" spans="2:13">
      <c r="B891" s="7"/>
      <c r="C891" s="8" t="e">
        <f>VLOOKUP($B891,#REF!,5,FALSE)</f>
        <v>#REF!</v>
      </c>
      <c r="D891" s="8" t="e">
        <f>VLOOKUP($B891,#REF!,6,FALSE)</f>
        <v>#REF!</v>
      </c>
      <c r="E891" s="9" t="e">
        <f>VLOOKUP($B891,#REF!,17,FALSE)</f>
        <v>#REF!</v>
      </c>
      <c r="F891" s="10" t="e">
        <f>VLOOKUP($B891,#REF!,7,FALSE)</f>
        <v>#REF!</v>
      </c>
      <c r="G891" s="10"/>
      <c r="H891" s="10"/>
      <c r="I891" s="11" t="e">
        <f>VLOOKUP($B891,#REF!,19,FALSE)</f>
        <v>#REF!</v>
      </c>
      <c r="J891" s="11" t="e">
        <f>VLOOKUP($B891,#REF!,6,FALSE)</f>
        <v>#REF!</v>
      </c>
      <c r="L891" s="3">
        <v>44655.072916663805</v>
      </c>
      <c r="M891" s="15"/>
    </row>
    <row r="892" spans="2:13">
      <c r="B892" s="7"/>
      <c r="C892" s="8" t="e">
        <f>VLOOKUP($B892,#REF!,5,FALSE)</f>
        <v>#REF!</v>
      </c>
      <c r="D892" s="8" t="e">
        <f>VLOOKUP($B892,#REF!,6,FALSE)</f>
        <v>#REF!</v>
      </c>
      <c r="E892" s="9" t="e">
        <f>VLOOKUP($B892,#REF!,17,FALSE)</f>
        <v>#REF!</v>
      </c>
      <c r="F892" s="10" t="e">
        <f>VLOOKUP($B892,#REF!,7,FALSE)</f>
        <v>#REF!</v>
      </c>
      <c r="G892" s="10"/>
      <c r="H892" s="10"/>
      <c r="I892" s="11" t="e">
        <f>VLOOKUP($B892,#REF!,19,FALSE)</f>
        <v>#REF!</v>
      </c>
      <c r="J892" s="11" t="e">
        <f>VLOOKUP($B892,#REF!,6,FALSE)</f>
        <v>#REF!</v>
      </c>
      <c r="L892" s="3">
        <v>44655.076388886024</v>
      </c>
      <c r="M892" s="15"/>
    </row>
    <row r="893" spans="2:13">
      <c r="B893" s="7"/>
      <c r="C893" s="8" t="e">
        <f>VLOOKUP($B893,#REF!,5,FALSE)</f>
        <v>#REF!</v>
      </c>
      <c r="D893" s="8" t="e">
        <f>VLOOKUP($B893,#REF!,6,FALSE)</f>
        <v>#REF!</v>
      </c>
      <c r="E893" s="9" t="e">
        <f>VLOOKUP($B893,#REF!,17,FALSE)</f>
        <v>#REF!</v>
      </c>
      <c r="F893" s="10" t="e">
        <f>VLOOKUP($B893,#REF!,7,FALSE)</f>
        <v>#REF!</v>
      </c>
      <c r="G893" s="10"/>
      <c r="H893" s="10"/>
      <c r="I893" s="11" t="e">
        <f>VLOOKUP($B893,#REF!,19,FALSE)</f>
        <v>#REF!</v>
      </c>
      <c r="J893" s="11" t="e">
        <f>VLOOKUP($B893,#REF!,6,FALSE)</f>
        <v>#REF!</v>
      </c>
      <c r="L893" s="3">
        <v>44655.079861108243</v>
      </c>
      <c r="M893" s="15"/>
    </row>
    <row r="894" spans="2:13">
      <c r="B894" s="7"/>
      <c r="C894" s="8" t="e">
        <f>VLOOKUP($B894,#REF!,5,FALSE)</f>
        <v>#REF!</v>
      </c>
      <c r="D894" s="8" t="e">
        <f>VLOOKUP($B894,#REF!,6,FALSE)</f>
        <v>#REF!</v>
      </c>
      <c r="E894" s="9" t="e">
        <f>VLOOKUP($B894,#REF!,17,FALSE)</f>
        <v>#REF!</v>
      </c>
      <c r="F894" s="10" t="e">
        <f>VLOOKUP($B894,#REF!,7,FALSE)</f>
        <v>#REF!</v>
      </c>
      <c r="G894" s="10"/>
      <c r="H894" s="10"/>
      <c r="I894" s="11" t="e">
        <f>VLOOKUP($B894,#REF!,19,FALSE)</f>
        <v>#REF!</v>
      </c>
      <c r="J894" s="11" t="e">
        <f>VLOOKUP($B894,#REF!,6,FALSE)</f>
        <v>#REF!</v>
      </c>
      <c r="L894" s="3">
        <v>44655.083333330462</v>
      </c>
      <c r="M894" s="15"/>
    </row>
    <row r="895" spans="2:13">
      <c r="B895" s="7"/>
      <c r="C895" s="8" t="e">
        <f>VLOOKUP($B895,#REF!,5,FALSE)</f>
        <v>#REF!</v>
      </c>
      <c r="D895" s="8" t="e">
        <f>VLOOKUP($B895,#REF!,6,FALSE)</f>
        <v>#REF!</v>
      </c>
      <c r="E895" s="9" t="e">
        <f>VLOOKUP($B895,#REF!,17,FALSE)</f>
        <v>#REF!</v>
      </c>
      <c r="F895" s="10" t="e">
        <f>VLOOKUP($B895,#REF!,7,FALSE)</f>
        <v>#REF!</v>
      </c>
      <c r="G895" s="10"/>
      <c r="H895" s="10"/>
      <c r="I895" s="11" t="e">
        <f>VLOOKUP($B895,#REF!,19,FALSE)</f>
        <v>#REF!</v>
      </c>
      <c r="J895" s="11" t="e">
        <f>VLOOKUP($B895,#REF!,6,FALSE)</f>
        <v>#REF!</v>
      </c>
      <c r="L895" s="3">
        <v>44655.086805552681</v>
      </c>
      <c r="M895" s="15"/>
    </row>
    <row r="896" spans="2:13">
      <c r="B896" s="7"/>
      <c r="C896" s="8" t="e">
        <f>VLOOKUP($B896,#REF!,5,FALSE)</f>
        <v>#REF!</v>
      </c>
      <c r="D896" s="8" t="e">
        <f>VLOOKUP($B896,#REF!,6,FALSE)</f>
        <v>#REF!</v>
      </c>
      <c r="E896" s="9" t="e">
        <f>VLOOKUP($B896,#REF!,17,FALSE)</f>
        <v>#REF!</v>
      </c>
      <c r="F896" s="10" t="e">
        <f>VLOOKUP($B896,#REF!,7,FALSE)</f>
        <v>#REF!</v>
      </c>
      <c r="G896" s="10"/>
      <c r="H896" s="10"/>
      <c r="I896" s="11" t="e">
        <f>VLOOKUP($B896,#REF!,19,FALSE)</f>
        <v>#REF!</v>
      </c>
      <c r="J896" s="11" t="e">
        <f>VLOOKUP($B896,#REF!,6,FALSE)</f>
        <v>#REF!</v>
      </c>
      <c r="L896" s="3">
        <v>44655.0902777749</v>
      </c>
      <c r="M896" s="15"/>
    </row>
    <row r="897" spans="2:13">
      <c r="B897" s="7"/>
      <c r="C897" s="8" t="e">
        <f>VLOOKUP($B897,#REF!,5,FALSE)</f>
        <v>#REF!</v>
      </c>
      <c r="D897" s="8" t="e">
        <f>VLOOKUP($B897,#REF!,6,FALSE)</f>
        <v>#REF!</v>
      </c>
      <c r="E897" s="9" t="e">
        <f>VLOOKUP($B897,#REF!,17,FALSE)</f>
        <v>#REF!</v>
      </c>
      <c r="F897" s="10" t="e">
        <f>VLOOKUP($B897,#REF!,7,FALSE)</f>
        <v>#REF!</v>
      </c>
      <c r="G897" s="10"/>
      <c r="H897" s="10"/>
      <c r="I897" s="11" t="e">
        <f>VLOOKUP($B897,#REF!,19,FALSE)</f>
        <v>#REF!</v>
      </c>
      <c r="J897" s="11" t="e">
        <f>VLOOKUP($B897,#REF!,6,FALSE)</f>
        <v>#REF!</v>
      </c>
      <c r="L897" s="3">
        <v>44655.093749997119</v>
      </c>
      <c r="M897" s="15"/>
    </row>
    <row r="898" spans="2:13">
      <c r="B898" s="7"/>
      <c r="C898" s="8" t="e">
        <f>VLOOKUP($B898,#REF!,5,FALSE)</f>
        <v>#REF!</v>
      </c>
      <c r="D898" s="8" t="e">
        <f>VLOOKUP($B898,#REF!,6,FALSE)</f>
        <v>#REF!</v>
      </c>
      <c r="E898" s="9" t="e">
        <f>VLOOKUP($B898,#REF!,17,FALSE)</f>
        <v>#REF!</v>
      </c>
      <c r="F898" s="10" t="e">
        <f>VLOOKUP($B898,#REF!,7,FALSE)</f>
        <v>#REF!</v>
      </c>
      <c r="G898" s="10"/>
      <c r="H898" s="10"/>
      <c r="I898" s="11" t="e">
        <f>VLOOKUP($B898,#REF!,19,FALSE)</f>
        <v>#REF!</v>
      </c>
      <c r="J898" s="11" t="e">
        <f>VLOOKUP($B898,#REF!,6,FALSE)</f>
        <v>#REF!</v>
      </c>
      <c r="L898" s="3">
        <v>44655.097222219338</v>
      </c>
      <c r="M898" s="15"/>
    </row>
    <row r="899" spans="2:13">
      <c r="B899" s="7"/>
      <c r="C899" s="8" t="e">
        <f>VLOOKUP($B899,#REF!,5,FALSE)</f>
        <v>#REF!</v>
      </c>
      <c r="D899" s="8" t="e">
        <f>VLOOKUP($B899,#REF!,6,FALSE)</f>
        <v>#REF!</v>
      </c>
      <c r="E899" s="9" t="e">
        <f>VLOOKUP($B899,#REF!,17,FALSE)</f>
        <v>#REF!</v>
      </c>
      <c r="F899" s="10" t="e">
        <f>VLOOKUP($B899,#REF!,7,FALSE)</f>
        <v>#REF!</v>
      </c>
      <c r="G899" s="10"/>
      <c r="H899" s="10"/>
      <c r="I899" s="11" t="e">
        <f>VLOOKUP($B899,#REF!,19,FALSE)</f>
        <v>#REF!</v>
      </c>
      <c r="J899" s="11" t="e">
        <f>VLOOKUP($B899,#REF!,6,FALSE)</f>
        <v>#REF!</v>
      </c>
      <c r="L899" s="3">
        <v>44655.100694441557</v>
      </c>
      <c r="M899" s="15"/>
    </row>
    <row r="900" spans="2:13">
      <c r="B900" s="7"/>
      <c r="C900" s="8" t="e">
        <f>VLOOKUP($B900,#REF!,5,FALSE)</f>
        <v>#REF!</v>
      </c>
      <c r="D900" s="8" t="e">
        <f>VLOOKUP($B900,#REF!,6,FALSE)</f>
        <v>#REF!</v>
      </c>
      <c r="E900" s="9" t="e">
        <f>VLOOKUP($B900,#REF!,17,FALSE)</f>
        <v>#REF!</v>
      </c>
      <c r="F900" s="10" t="e">
        <f>VLOOKUP($B900,#REF!,7,FALSE)</f>
        <v>#REF!</v>
      </c>
      <c r="G900" s="10"/>
      <c r="H900" s="10"/>
      <c r="I900" s="11" t="e">
        <f>VLOOKUP($B900,#REF!,19,FALSE)</f>
        <v>#REF!</v>
      </c>
      <c r="J900" s="11" t="e">
        <f>VLOOKUP($B900,#REF!,6,FALSE)</f>
        <v>#REF!</v>
      </c>
      <c r="L900" s="3">
        <v>44655.104166663776</v>
      </c>
      <c r="M900" s="15"/>
    </row>
    <row r="901" spans="2:13">
      <c r="B901" s="7"/>
      <c r="C901" s="8" t="e">
        <f>VLOOKUP($B901,#REF!,5,FALSE)</f>
        <v>#REF!</v>
      </c>
      <c r="D901" s="8" t="e">
        <f>VLOOKUP($B901,#REF!,6,FALSE)</f>
        <v>#REF!</v>
      </c>
      <c r="E901" s="9" t="e">
        <f>VLOOKUP($B901,#REF!,17,FALSE)</f>
        <v>#REF!</v>
      </c>
      <c r="F901" s="10" t="e">
        <f>VLOOKUP($B901,#REF!,7,FALSE)</f>
        <v>#REF!</v>
      </c>
      <c r="G901" s="10"/>
      <c r="H901" s="10"/>
      <c r="I901" s="11" t="e">
        <f>VLOOKUP($B901,#REF!,19,FALSE)</f>
        <v>#REF!</v>
      </c>
      <c r="J901" s="11" t="e">
        <f>VLOOKUP($B901,#REF!,6,FALSE)</f>
        <v>#REF!</v>
      </c>
      <c r="L901" s="3">
        <v>44655.107638885995</v>
      </c>
      <c r="M901" s="15"/>
    </row>
    <row r="902" spans="2:13">
      <c r="B902" s="7"/>
      <c r="C902" s="8" t="e">
        <f>VLOOKUP($B902,#REF!,5,FALSE)</f>
        <v>#REF!</v>
      </c>
      <c r="D902" s="8" t="e">
        <f>VLOOKUP($B902,#REF!,6,FALSE)</f>
        <v>#REF!</v>
      </c>
      <c r="E902" s="9" t="e">
        <f>VLOOKUP($B902,#REF!,17,FALSE)</f>
        <v>#REF!</v>
      </c>
      <c r="F902" s="10" t="e">
        <f>VLOOKUP($B902,#REF!,7,FALSE)</f>
        <v>#REF!</v>
      </c>
      <c r="G902" s="10"/>
      <c r="H902" s="10"/>
      <c r="I902" s="11" t="e">
        <f>VLOOKUP($B902,#REF!,19,FALSE)</f>
        <v>#REF!</v>
      </c>
      <c r="J902" s="11" t="e">
        <f>VLOOKUP($B902,#REF!,6,FALSE)</f>
        <v>#REF!</v>
      </c>
      <c r="L902" s="3">
        <v>44655.111111108214</v>
      </c>
      <c r="M902" s="15"/>
    </row>
    <row r="903" spans="2:13">
      <c r="B903" s="7"/>
      <c r="C903" s="8" t="e">
        <f>VLOOKUP($B903,#REF!,5,FALSE)</f>
        <v>#REF!</v>
      </c>
      <c r="D903" s="8" t="e">
        <f>VLOOKUP($B903,#REF!,6,FALSE)</f>
        <v>#REF!</v>
      </c>
      <c r="E903" s="9" t="e">
        <f>VLOOKUP($B903,#REF!,17,FALSE)</f>
        <v>#REF!</v>
      </c>
      <c r="F903" s="10" t="e">
        <f>VLOOKUP($B903,#REF!,7,FALSE)</f>
        <v>#REF!</v>
      </c>
      <c r="G903" s="10"/>
      <c r="H903" s="10"/>
      <c r="I903" s="11" t="e">
        <f>VLOOKUP($B903,#REF!,19,FALSE)</f>
        <v>#REF!</v>
      </c>
      <c r="J903" s="11" t="e">
        <f>VLOOKUP($B903,#REF!,6,FALSE)</f>
        <v>#REF!</v>
      </c>
      <c r="L903" s="3">
        <v>44655.114583330433</v>
      </c>
      <c r="M903" s="15"/>
    </row>
    <row r="904" spans="2:13">
      <c r="B904" s="7"/>
      <c r="C904" s="8" t="e">
        <f>VLOOKUP($B904,#REF!,5,FALSE)</f>
        <v>#REF!</v>
      </c>
      <c r="D904" s="8" t="e">
        <f>VLOOKUP($B904,#REF!,6,FALSE)</f>
        <v>#REF!</v>
      </c>
      <c r="E904" s="9" t="e">
        <f>VLOOKUP($B904,#REF!,17,FALSE)</f>
        <v>#REF!</v>
      </c>
      <c r="F904" s="10" t="e">
        <f>VLOOKUP($B904,#REF!,7,FALSE)</f>
        <v>#REF!</v>
      </c>
      <c r="G904" s="10"/>
      <c r="H904" s="10"/>
      <c r="I904" s="11" t="e">
        <f>VLOOKUP($B904,#REF!,19,FALSE)</f>
        <v>#REF!</v>
      </c>
      <c r="J904" s="11" t="e">
        <f>VLOOKUP($B904,#REF!,6,FALSE)</f>
        <v>#REF!</v>
      </c>
      <c r="L904" s="3">
        <v>44655.118055552652</v>
      </c>
      <c r="M904" s="15"/>
    </row>
    <row r="905" spans="2:13">
      <c r="B905" s="7"/>
      <c r="C905" s="8" t="e">
        <f>VLOOKUP($B905,#REF!,5,FALSE)</f>
        <v>#REF!</v>
      </c>
      <c r="D905" s="8" t="e">
        <f>VLOOKUP($B905,#REF!,6,FALSE)</f>
        <v>#REF!</v>
      </c>
      <c r="E905" s="9" t="e">
        <f>VLOOKUP($B905,#REF!,17,FALSE)</f>
        <v>#REF!</v>
      </c>
      <c r="F905" s="10" t="e">
        <f>VLOOKUP($B905,#REF!,7,FALSE)</f>
        <v>#REF!</v>
      </c>
      <c r="G905" s="10"/>
      <c r="H905" s="10"/>
      <c r="I905" s="11" t="e">
        <f>VLOOKUP($B905,#REF!,19,FALSE)</f>
        <v>#REF!</v>
      </c>
      <c r="J905" s="11" t="e">
        <f>VLOOKUP($B905,#REF!,6,FALSE)</f>
        <v>#REF!</v>
      </c>
      <c r="L905" s="3">
        <v>44655.121527774871</v>
      </c>
      <c r="M905" s="15"/>
    </row>
    <row r="906" spans="2:13">
      <c r="B906" s="7"/>
      <c r="C906" s="8" t="e">
        <f>VLOOKUP($B906,#REF!,5,FALSE)</f>
        <v>#REF!</v>
      </c>
      <c r="D906" s="8" t="e">
        <f>VLOOKUP($B906,#REF!,6,FALSE)</f>
        <v>#REF!</v>
      </c>
      <c r="E906" s="9" t="e">
        <f>VLOOKUP($B906,#REF!,17,FALSE)</f>
        <v>#REF!</v>
      </c>
      <c r="F906" s="10" t="e">
        <f>VLOOKUP($B906,#REF!,7,FALSE)</f>
        <v>#REF!</v>
      </c>
      <c r="G906" s="10"/>
      <c r="H906" s="10"/>
      <c r="I906" s="11" t="e">
        <f>VLOOKUP($B906,#REF!,19,FALSE)</f>
        <v>#REF!</v>
      </c>
      <c r="J906" s="11" t="e">
        <f>VLOOKUP($B906,#REF!,6,FALSE)</f>
        <v>#REF!</v>
      </c>
      <c r="L906" s="3">
        <v>44655.12499999709</v>
      </c>
      <c r="M906" s="15"/>
    </row>
    <row r="907" spans="2:13">
      <c r="B907" s="7"/>
      <c r="C907" s="8" t="e">
        <f>VLOOKUP($B907,#REF!,5,FALSE)</f>
        <v>#REF!</v>
      </c>
      <c r="D907" s="8" t="e">
        <f>VLOOKUP($B907,#REF!,6,FALSE)</f>
        <v>#REF!</v>
      </c>
      <c r="E907" s="9" t="e">
        <f>VLOOKUP($B907,#REF!,17,FALSE)</f>
        <v>#REF!</v>
      </c>
      <c r="F907" s="10" t="e">
        <f>VLOOKUP($B907,#REF!,7,FALSE)</f>
        <v>#REF!</v>
      </c>
      <c r="G907" s="10"/>
      <c r="H907" s="10"/>
      <c r="I907" s="11" t="e">
        <f>VLOOKUP($B907,#REF!,19,FALSE)</f>
        <v>#REF!</v>
      </c>
      <c r="J907" s="11" t="e">
        <f>VLOOKUP($B907,#REF!,6,FALSE)</f>
        <v>#REF!</v>
      </c>
      <c r="L907" s="3">
        <v>44655.128472219309</v>
      </c>
      <c r="M907" s="15"/>
    </row>
    <row r="908" spans="2:13">
      <c r="B908" s="7"/>
      <c r="C908" s="8" t="e">
        <f>VLOOKUP($B908,#REF!,5,FALSE)</f>
        <v>#REF!</v>
      </c>
      <c r="D908" s="8" t="e">
        <f>VLOOKUP($B908,#REF!,6,FALSE)</f>
        <v>#REF!</v>
      </c>
      <c r="E908" s="9" t="e">
        <f>VLOOKUP($B908,#REF!,17,FALSE)</f>
        <v>#REF!</v>
      </c>
      <c r="F908" s="10" t="e">
        <f>VLOOKUP($B908,#REF!,7,FALSE)</f>
        <v>#REF!</v>
      </c>
      <c r="G908" s="10"/>
      <c r="H908" s="10"/>
      <c r="I908" s="11" t="e">
        <f>VLOOKUP($B908,#REF!,19,FALSE)</f>
        <v>#REF!</v>
      </c>
      <c r="J908" s="11" t="e">
        <f>VLOOKUP($B908,#REF!,6,FALSE)</f>
        <v>#REF!</v>
      </c>
      <c r="L908" s="3">
        <v>44655.131944441528</v>
      </c>
      <c r="M908" s="15"/>
    </row>
    <row r="909" spans="2:13">
      <c r="B909" s="7"/>
      <c r="C909" s="8" t="e">
        <f>VLOOKUP($B909,#REF!,5,FALSE)</f>
        <v>#REF!</v>
      </c>
      <c r="D909" s="8" t="e">
        <f>VLOOKUP($B909,#REF!,6,FALSE)</f>
        <v>#REF!</v>
      </c>
      <c r="E909" s="9" t="e">
        <f>VLOOKUP($B909,#REF!,17,FALSE)</f>
        <v>#REF!</v>
      </c>
      <c r="F909" s="10" t="e">
        <f>VLOOKUP($B909,#REF!,7,FALSE)</f>
        <v>#REF!</v>
      </c>
      <c r="G909" s="10"/>
      <c r="H909" s="10"/>
      <c r="I909" s="11" t="e">
        <f>VLOOKUP($B909,#REF!,19,FALSE)</f>
        <v>#REF!</v>
      </c>
      <c r="J909" s="11" t="e">
        <f>VLOOKUP($B909,#REF!,6,FALSE)</f>
        <v>#REF!</v>
      </c>
      <c r="L909" s="3">
        <v>44655.135416663747</v>
      </c>
      <c r="M909" s="15"/>
    </row>
    <row r="910" spans="2:13">
      <c r="B910" s="7"/>
      <c r="C910" s="8" t="e">
        <f>VLOOKUP($B910,#REF!,5,FALSE)</f>
        <v>#REF!</v>
      </c>
      <c r="D910" s="8" t="e">
        <f>VLOOKUP($B910,#REF!,6,FALSE)</f>
        <v>#REF!</v>
      </c>
      <c r="E910" s="9" t="e">
        <f>VLOOKUP($B910,#REF!,17,FALSE)</f>
        <v>#REF!</v>
      </c>
      <c r="F910" s="10" t="e">
        <f>VLOOKUP($B910,#REF!,7,FALSE)</f>
        <v>#REF!</v>
      </c>
      <c r="G910" s="10"/>
      <c r="H910" s="10"/>
      <c r="I910" s="11" t="e">
        <f>VLOOKUP($B910,#REF!,19,FALSE)</f>
        <v>#REF!</v>
      </c>
      <c r="J910" s="11" t="e">
        <f>VLOOKUP($B910,#REF!,6,FALSE)</f>
        <v>#REF!</v>
      </c>
      <c r="L910" s="3">
        <v>44655.138888885966</v>
      </c>
      <c r="M910" s="15"/>
    </row>
    <row r="911" spans="2:13">
      <c r="B911" s="7"/>
      <c r="C911" s="8" t="e">
        <f>VLOOKUP($B911,#REF!,5,FALSE)</f>
        <v>#REF!</v>
      </c>
      <c r="D911" s="8" t="e">
        <f>VLOOKUP($B911,#REF!,6,FALSE)</f>
        <v>#REF!</v>
      </c>
      <c r="E911" s="9" t="e">
        <f>VLOOKUP($B911,#REF!,17,FALSE)</f>
        <v>#REF!</v>
      </c>
      <c r="F911" s="10" t="e">
        <f>VLOOKUP($B911,#REF!,7,FALSE)</f>
        <v>#REF!</v>
      </c>
      <c r="G911" s="10"/>
      <c r="H911" s="10"/>
      <c r="I911" s="11" t="e">
        <f>VLOOKUP($B911,#REF!,19,FALSE)</f>
        <v>#REF!</v>
      </c>
      <c r="J911" s="11" t="e">
        <f>VLOOKUP($B911,#REF!,6,FALSE)</f>
        <v>#REF!</v>
      </c>
      <c r="L911" s="3">
        <v>44655.142361108185</v>
      </c>
      <c r="M911" s="15"/>
    </row>
    <row r="912" spans="2:13">
      <c r="B912" s="7"/>
      <c r="C912" s="8" t="e">
        <f>VLOOKUP($B912,#REF!,5,FALSE)</f>
        <v>#REF!</v>
      </c>
      <c r="D912" s="8" t="e">
        <f>VLOOKUP($B912,#REF!,6,FALSE)</f>
        <v>#REF!</v>
      </c>
      <c r="E912" s="9" t="e">
        <f>VLOOKUP($B912,#REF!,17,FALSE)</f>
        <v>#REF!</v>
      </c>
      <c r="F912" s="10" t="e">
        <f>VLOOKUP($B912,#REF!,7,FALSE)</f>
        <v>#REF!</v>
      </c>
      <c r="G912" s="10"/>
      <c r="H912" s="10"/>
      <c r="I912" s="11" t="e">
        <f>VLOOKUP($B912,#REF!,19,FALSE)</f>
        <v>#REF!</v>
      </c>
      <c r="J912" s="11" t="e">
        <f>VLOOKUP($B912,#REF!,6,FALSE)</f>
        <v>#REF!</v>
      </c>
      <c r="L912" s="3">
        <v>44655.145833330404</v>
      </c>
      <c r="M912" s="15"/>
    </row>
    <row r="913" spans="2:13">
      <c r="B913" s="7"/>
      <c r="C913" s="8" t="e">
        <f>VLOOKUP($B913,#REF!,5,FALSE)</f>
        <v>#REF!</v>
      </c>
      <c r="D913" s="8" t="e">
        <f>VLOOKUP($B913,#REF!,6,FALSE)</f>
        <v>#REF!</v>
      </c>
      <c r="E913" s="9" t="e">
        <f>VLOOKUP($B913,#REF!,17,FALSE)</f>
        <v>#REF!</v>
      </c>
      <c r="F913" s="10" t="e">
        <f>VLOOKUP($B913,#REF!,7,FALSE)</f>
        <v>#REF!</v>
      </c>
      <c r="G913" s="10"/>
      <c r="H913" s="10"/>
      <c r="I913" s="11" t="e">
        <f>VLOOKUP($B913,#REF!,19,FALSE)</f>
        <v>#REF!</v>
      </c>
      <c r="J913" s="11" t="e">
        <f>VLOOKUP($B913,#REF!,6,FALSE)</f>
        <v>#REF!</v>
      </c>
      <c r="L913" s="3">
        <v>44655.149305552623</v>
      </c>
      <c r="M913" s="15"/>
    </row>
    <row r="914" spans="2:13">
      <c r="B914" s="7"/>
      <c r="C914" s="8" t="e">
        <f>VLOOKUP($B914,#REF!,5,FALSE)</f>
        <v>#REF!</v>
      </c>
      <c r="D914" s="8" t="e">
        <f>VLOOKUP($B914,#REF!,6,FALSE)</f>
        <v>#REF!</v>
      </c>
      <c r="E914" s="9" t="e">
        <f>VLOOKUP($B914,#REF!,17,FALSE)</f>
        <v>#REF!</v>
      </c>
      <c r="F914" s="10" t="e">
        <f>VLOOKUP($B914,#REF!,7,FALSE)</f>
        <v>#REF!</v>
      </c>
      <c r="G914" s="10"/>
      <c r="H914" s="10"/>
      <c r="I914" s="11" t="e">
        <f>VLOOKUP($B914,#REF!,19,FALSE)</f>
        <v>#REF!</v>
      </c>
      <c r="J914" s="11" t="e">
        <f>VLOOKUP($B914,#REF!,6,FALSE)</f>
        <v>#REF!</v>
      </c>
      <c r="L914" s="3">
        <v>44655.152777774842</v>
      </c>
      <c r="M914" s="15"/>
    </row>
    <row r="915" spans="2:13">
      <c r="B915" s="7"/>
      <c r="C915" s="8" t="e">
        <f>VLOOKUP($B915,#REF!,5,FALSE)</f>
        <v>#REF!</v>
      </c>
      <c r="D915" s="8" t="e">
        <f>VLOOKUP($B915,#REF!,6,FALSE)</f>
        <v>#REF!</v>
      </c>
      <c r="E915" s="9" t="e">
        <f>VLOOKUP($B915,#REF!,17,FALSE)</f>
        <v>#REF!</v>
      </c>
      <c r="F915" s="10" t="e">
        <f>VLOOKUP($B915,#REF!,7,FALSE)</f>
        <v>#REF!</v>
      </c>
      <c r="G915" s="10"/>
      <c r="H915" s="10"/>
      <c r="I915" s="11" t="e">
        <f>VLOOKUP($B915,#REF!,19,FALSE)</f>
        <v>#REF!</v>
      </c>
      <c r="J915" s="11" t="e">
        <f>VLOOKUP($B915,#REF!,6,FALSE)</f>
        <v>#REF!</v>
      </c>
      <c r="L915" s="3">
        <v>44655.156249997061</v>
      </c>
      <c r="M915" s="15"/>
    </row>
    <row r="916" spans="2:13">
      <c r="B916" s="7"/>
      <c r="C916" s="8" t="e">
        <f>VLOOKUP($B916,#REF!,5,FALSE)</f>
        <v>#REF!</v>
      </c>
      <c r="D916" s="8" t="e">
        <f>VLOOKUP($B916,#REF!,6,FALSE)</f>
        <v>#REF!</v>
      </c>
      <c r="E916" s="9" t="e">
        <f>VLOOKUP($B916,#REF!,17,FALSE)</f>
        <v>#REF!</v>
      </c>
      <c r="F916" s="10" t="e">
        <f>VLOOKUP($B916,#REF!,7,FALSE)</f>
        <v>#REF!</v>
      </c>
      <c r="G916" s="10"/>
      <c r="H916" s="10"/>
      <c r="I916" s="11" t="e">
        <f>VLOOKUP($B916,#REF!,19,FALSE)</f>
        <v>#REF!</v>
      </c>
      <c r="J916" s="11" t="e">
        <f>VLOOKUP($B916,#REF!,6,FALSE)</f>
        <v>#REF!</v>
      </c>
      <c r="L916" s="3">
        <v>44655.15972221928</v>
      </c>
      <c r="M916" s="15"/>
    </row>
    <row r="917" spans="2:13">
      <c r="B917" s="7"/>
      <c r="C917" s="8" t="e">
        <f>VLOOKUP($B917,#REF!,5,FALSE)</f>
        <v>#REF!</v>
      </c>
      <c r="D917" s="8" t="e">
        <f>VLOOKUP($B917,#REF!,6,FALSE)</f>
        <v>#REF!</v>
      </c>
      <c r="E917" s="9" t="e">
        <f>VLOOKUP($B917,#REF!,17,FALSE)</f>
        <v>#REF!</v>
      </c>
      <c r="F917" s="10" t="e">
        <f>VLOOKUP($B917,#REF!,7,FALSE)</f>
        <v>#REF!</v>
      </c>
      <c r="G917" s="10"/>
      <c r="H917" s="10"/>
      <c r="I917" s="11" t="e">
        <f>VLOOKUP($B917,#REF!,19,FALSE)</f>
        <v>#REF!</v>
      </c>
      <c r="J917" s="11" t="e">
        <f>VLOOKUP($B917,#REF!,6,FALSE)</f>
        <v>#REF!</v>
      </c>
      <c r="L917" s="3">
        <v>44655.163194441498</v>
      </c>
      <c r="M917" s="15"/>
    </row>
    <row r="918" spans="2:13">
      <c r="B918" s="7"/>
      <c r="C918" s="8" t="e">
        <f>VLOOKUP($B918,#REF!,5,FALSE)</f>
        <v>#REF!</v>
      </c>
      <c r="D918" s="8" t="e">
        <f>VLOOKUP($B918,#REF!,6,FALSE)</f>
        <v>#REF!</v>
      </c>
      <c r="E918" s="9" t="e">
        <f>VLOOKUP($B918,#REF!,17,FALSE)</f>
        <v>#REF!</v>
      </c>
      <c r="F918" s="10" t="e">
        <f>VLOOKUP($B918,#REF!,7,FALSE)</f>
        <v>#REF!</v>
      </c>
      <c r="G918" s="10"/>
      <c r="H918" s="10"/>
      <c r="I918" s="11" t="e">
        <f>VLOOKUP($B918,#REF!,19,FALSE)</f>
        <v>#REF!</v>
      </c>
      <c r="J918" s="11" t="e">
        <f>VLOOKUP($B918,#REF!,6,FALSE)</f>
        <v>#REF!</v>
      </c>
      <c r="L918" s="3">
        <v>44655.166666663717</v>
      </c>
      <c r="M918" s="15"/>
    </row>
    <row r="919" spans="2:13">
      <c r="B919" s="7"/>
      <c r="C919" s="8" t="e">
        <f>VLOOKUP($B919,#REF!,5,FALSE)</f>
        <v>#REF!</v>
      </c>
      <c r="D919" s="8" t="e">
        <f>VLOOKUP($B919,#REF!,6,FALSE)</f>
        <v>#REF!</v>
      </c>
      <c r="E919" s="9" t="e">
        <f>VLOOKUP($B919,#REF!,17,FALSE)</f>
        <v>#REF!</v>
      </c>
      <c r="F919" s="10" t="e">
        <f>VLOOKUP($B919,#REF!,7,FALSE)</f>
        <v>#REF!</v>
      </c>
      <c r="G919" s="10"/>
      <c r="H919" s="10"/>
      <c r="I919" s="11" t="e">
        <f>VLOOKUP($B919,#REF!,19,FALSE)</f>
        <v>#REF!</v>
      </c>
      <c r="J919" s="11" t="e">
        <f>VLOOKUP($B919,#REF!,6,FALSE)</f>
        <v>#REF!</v>
      </c>
      <c r="L919" s="3">
        <v>44655.170138885936</v>
      </c>
      <c r="M919" s="15"/>
    </row>
    <row r="920" spans="2:13">
      <c r="B920" s="7"/>
      <c r="C920" s="8" t="e">
        <f>VLOOKUP($B920,#REF!,5,FALSE)</f>
        <v>#REF!</v>
      </c>
      <c r="D920" s="8" t="e">
        <f>VLOOKUP($B920,#REF!,6,FALSE)</f>
        <v>#REF!</v>
      </c>
      <c r="E920" s="9" t="e">
        <f>VLOOKUP($B920,#REF!,17,FALSE)</f>
        <v>#REF!</v>
      </c>
      <c r="F920" s="10" t="e">
        <f>VLOOKUP($B920,#REF!,7,FALSE)</f>
        <v>#REF!</v>
      </c>
      <c r="G920" s="10"/>
      <c r="H920" s="10"/>
      <c r="I920" s="11" t="e">
        <f>VLOOKUP($B920,#REF!,19,FALSE)</f>
        <v>#REF!</v>
      </c>
      <c r="J920" s="11" t="e">
        <f>VLOOKUP($B920,#REF!,6,FALSE)</f>
        <v>#REF!</v>
      </c>
      <c r="L920" s="3">
        <v>44655.173611108155</v>
      </c>
      <c r="M920" s="15"/>
    </row>
    <row r="921" spans="2:13">
      <c r="B921" s="7"/>
      <c r="C921" s="8" t="e">
        <f>VLOOKUP($B921,#REF!,5,FALSE)</f>
        <v>#REF!</v>
      </c>
      <c r="D921" s="8" t="e">
        <f>VLOOKUP($B921,#REF!,6,FALSE)</f>
        <v>#REF!</v>
      </c>
      <c r="E921" s="9" t="e">
        <f>VLOOKUP($B921,#REF!,17,FALSE)</f>
        <v>#REF!</v>
      </c>
      <c r="F921" s="10" t="e">
        <f>VLOOKUP($B921,#REF!,7,FALSE)</f>
        <v>#REF!</v>
      </c>
      <c r="G921" s="10"/>
      <c r="H921" s="10"/>
      <c r="I921" s="11" t="e">
        <f>VLOOKUP($B921,#REF!,19,FALSE)</f>
        <v>#REF!</v>
      </c>
      <c r="J921" s="11" t="e">
        <f>VLOOKUP($B921,#REF!,6,FALSE)</f>
        <v>#REF!</v>
      </c>
      <c r="L921" s="3">
        <v>44655.177083330374</v>
      </c>
      <c r="M921" s="15"/>
    </row>
    <row r="922" spans="2:13">
      <c r="B922" s="7"/>
      <c r="C922" s="8" t="e">
        <f>VLOOKUP($B922,#REF!,5,FALSE)</f>
        <v>#REF!</v>
      </c>
      <c r="D922" s="8" t="e">
        <f>VLOOKUP($B922,#REF!,6,FALSE)</f>
        <v>#REF!</v>
      </c>
      <c r="E922" s="9" t="e">
        <f>VLOOKUP($B922,#REF!,17,FALSE)</f>
        <v>#REF!</v>
      </c>
      <c r="F922" s="10" t="e">
        <f>VLOOKUP($B922,#REF!,7,FALSE)</f>
        <v>#REF!</v>
      </c>
      <c r="G922" s="10"/>
      <c r="H922" s="10"/>
      <c r="I922" s="11" t="e">
        <f>VLOOKUP($B922,#REF!,19,FALSE)</f>
        <v>#REF!</v>
      </c>
      <c r="J922" s="11" t="e">
        <f>VLOOKUP($B922,#REF!,6,FALSE)</f>
        <v>#REF!</v>
      </c>
      <c r="L922" s="3">
        <v>44655.180555552593</v>
      </c>
      <c r="M922" s="15"/>
    </row>
    <row r="923" spans="2:13">
      <c r="B923" s="7"/>
      <c r="C923" s="8" t="e">
        <f>VLOOKUP($B923,#REF!,5,FALSE)</f>
        <v>#REF!</v>
      </c>
      <c r="D923" s="8" t="e">
        <f>VLOOKUP($B923,#REF!,6,FALSE)</f>
        <v>#REF!</v>
      </c>
      <c r="E923" s="9" t="e">
        <f>VLOOKUP($B923,#REF!,17,FALSE)</f>
        <v>#REF!</v>
      </c>
      <c r="F923" s="10" t="e">
        <f>VLOOKUP($B923,#REF!,7,FALSE)</f>
        <v>#REF!</v>
      </c>
      <c r="G923" s="10"/>
      <c r="H923" s="10"/>
      <c r="I923" s="11" t="e">
        <f>VLOOKUP($B923,#REF!,19,FALSE)</f>
        <v>#REF!</v>
      </c>
      <c r="J923" s="11" t="e">
        <f>VLOOKUP($B923,#REF!,6,FALSE)</f>
        <v>#REF!</v>
      </c>
      <c r="L923" s="3">
        <v>44655.184027774812</v>
      </c>
      <c r="M923" s="15"/>
    </row>
    <row r="924" spans="2:13">
      <c r="B924" s="7"/>
      <c r="C924" s="8" t="e">
        <f>VLOOKUP($B924,#REF!,5,FALSE)</f>
        <v>#REF!</v>
      </c>
      <c r="D924" s="8" t="e">
        <f>VLOOKUP($B924,#REF!,6,FALSE)</f>
        <v>#REF!</v>
      </c>
      <c r="E924" s="9" t="e">
        <f>VLOOKUP($B924,#REF!,17,FALSE)</f>
        <v>#REF!</v>
      </c>
      <c r="F924" s="10" t="e">
        <f>VLOOKUP($B924,#REF!,7,FALSE)</f>
        <v>#REF!</v>
      </c>
      <c r="G924" s="10"/>
      <c r="H924" s="10"/>
      <c r="I924" s="11" t="e">
        <f>VLOOKUP($B924,#REF!,19,FALSE)</f>
        <v>#REF!</v>
      </c>
      <c r="J924" s="11" t="e">
        <f>VLOOKUP($B924,#REF!,6,FALSE)</f>
        <v>#REF!</v>
      </c>
      <c r="L924" s="3">
        <v>44655.187499997031</v>
      </c>
      <c r="M924" s="15"/>
    </row>
    <row r="925" spans="2:13">
      <c r="B925" s="7"/>
      <c r="C925" s="8" t="e">
        <f>VLOOKUP($B925,#REF!,5,FALSE)</f>
        <v>#REF!</v>
      </c>
      <c r="D925" s="8" t="e">
        <f>VLOOKUP($B925,#REF!,6,FALSE)</f>
        <v>#REF!</v>
      </c>
      <c r="E925" s="9" t="e">
        <f>VLOOKUP($B925,#REF!,17,FALSE)</f>
        <v>#REF!</v>
      </c>
      <c r="F925" s="10" t="e">
        <f>VLOOKUP($B925,#REF!,7,FALSE)</f>
        <v>#REF!</v>
      </c>
      <c r="G925" s="10"/>
      <c r="H925" s="10"/>
      <c r="I925" s="11" t="e">
        <f>VLOOKUP($B925,#REF!,19,FALSE)</f>
        <v>#REF!</v>
      </c>
      <c r="J925" s="11" t="e">
        <f>VLOOKUP($B925,#REF!,6,FALSE)</f>
        <v>#REF!</v>
      </c>
      <c r="L925" s="3">
        <v>44655.19097221925</v>
      </c>
      <c r="M925" s="15"/>
    </row>
    <row r="926" spans="2:13">
      <c r="B926" s="7"/>
      <c r="C926" s="8" t="e">
        <f>VLOOKUP($B926,#REF!,5,FALSE)</f>
        <v>#REF!</v>
      </c>
      <c r="D926" s="8" t="e">
        <f>VLOOKUP($B926,#REF!,6,FALSE)</f>
        <v>#REF!</v>
      </c>
      <c r="E926" s="9" t="e">
        <f>VLOOKUP($B926,#REF!,17,FALSE)</f>
        <v>#REF!</v>
      </c>
      <c r="F926" s="10" t="e">
        <f>VLOOKUP($B926,#REF!,7,FALSE)</f>
        <v>#REF!</v>
      </c>
      <c r="G926" s="10"/>
      <c r="H926" s="10"/>
      <c r="I926" s="11" t="e">
        <f>VLOOKUP($B926,#REF!,19,FALSE)</f>
        <v>#REF!</v>
      </c>
      <c r="J926" s="11" t="e">
        <f>VLOOKUP($B926,#REF!,6,FALSE)</f>
        <v>#REF!</v>
      </c>
      <c r="L926" s="3">
        <v>44655.194444441469</v>
      </c>
      <c r="M926" s="15"/>
    </row>
    <row r="927" spans="2:13">
      <c r="B927" s="7"/>
      <c r="C927" s="8" t="e">
        <f>VLOOKUP($B927,#REF!,5,FALSE)</f>
        <v>#REF!</v>
      </c>
      <c r="D927" s="8" t="e">
        <f>VLOOKUP($B927,#REF!,6,FALSE)</f>
        <v>#REF!</v>
      </c>
      <c r="E927" s="9" t="e">
        <f>VLOOKUP($B927,#REF!,17,FALSE)</f>
        <v>#REF!</v>
      </c>
      <c r="F927" s="10" t="e">
        <f>VLOOKUP($B927,#REF!,7,FALSE)</f>
        <v>#REF!</v>
      </c>
      <c r="G927" s="10"/>
      <c r="H927" s="10"/>
      <c r="I927" s="11" t="e">
        <f>VLOOKUP($B927,#REF!,19,FALSE)</f>
        <v>#REF!</v>
      </c>
      <c r="J927" s="11" t="e">
        <f>VLOOKUP($B927,#REF!,6,FALSE)</f>
        <v>#REF!</v>
      </c>
      <c r="L927" s="3">
        <v>44655.197916663688</v>
      </c>
      <c r="M927" s="15"/>
    </row>
    <row r="928" spans="2:13">
      <c r="B928" s="7"/>
      <c r="C928" s="8" t="e">
        <f>VLOOKUP($B928,#REF!,5,FALSE)</f>
        <v>#REF!</v>
      </c>
      <c r="D928" s="8" t="e">
        <f>VLOOKUP($B928,#REF!,6,FALSE)</f>
        <v>#REF!</v>
      </c>
      <c r="E928" s="9" t="e">
        <f>VLOOKUP($B928,#REF!,17,FALSE)</f>
        <v>#REF!</v>
      </c>
      <c r="F928" s="10" t="e">
        <f>VLOOKUP($B928,#REF!,7,FALSE)</f>
        <v>#REF!</v>
      </c>
      <c r="G928" s="10"/>
      <c r="H928" s="10"/>
      <c r="I928" s="11" t="e">
        <f>VLOOKUP($B928,#REF!,19,FALSE)</f>
        <v>#REF!</v>
      </c>
      <c r="J928" s="11" t="e">
        <f>VLOOKUP($B928,#REF!,6,FALSE)</f>
        <v>#REF!</v>
      </c>
      <c r="L928" s="3">
        <v>44655.201388885907</v>
      </c>
      <c r="M928" s="15"/>
    </row>
    <row r="929" spans="2:13">
      <c r="B929" s="7"/>
      <c r="C929" s="8" t="e">
        <f>VLOOKUP($B929,#REF!,5,FALSE)</f>
        <v>#REF!</v>
      </c>
      <c r="D929" s="8" t="e">
        <f>VLOOKUP($B929,#REF!,6,FALSE)</f>
        <v>#REF!</v>
      </c>
      <c r="E929" s="9" t="e">
        <f>VLOOKUP($B929,#REF!,17,FALSE)</f>
        <v>#REF!</v>
      </c>
      <c r="F929" s="10" t="e">
        <f>VLOOKUP($B929,#REF!,7,FALSE)</f>
        <v>#REF!</v>
      </c>
      <c r="G929" s="10"/>
      <c r="H929" s="10"/>
      <c r="I929" s="11" t="e">
        <f>VLOOKUP($B929,#REF!,19,FALSE)</f>
        <v>#REF!</v>
      </c>
      <c r="J929" s="11" t="e">
        <f>VLOOKUP($B929,#REF!,6,FALSE)</f>
        <v>#REF!</v>
      </c>
      <c r="L929" s="3">
        <v>44655.204861108126</v>
      </c>
      <c r="M929" s="15"/>
    </row>
    <row r="930" spans="2:13">
      <c r="B930" s="7"/>
      <c r="C930" s="8" t="e">
        <f>VLOOKUP($B930,#REF!,5,FALSE)</f>
        <v>#REF!</v>
      </c>
      <c r="D930" s="8" t="e">
        <f>VLOOKUP($B930,#REF!,6,FALSE)</f>
        <v>#REF!</v>
      </c>
      <c r="E930" s="9" t="e">
        <f>VLOOKUP($B930,#REF!,17,FALSE)</f>
        <v>#REF!</v>
      </c>
      <c r="F930" s="10" t="e">
        <f>VLOOKUP($B930,#REF!,7,FALSE)</f>
        <v>#REF!</v>
      </c>
      <c r="G930" s="10"/>
      <c r="H930" s="10"/>
      <c r="I930" s="11" t="e">
        <f>VLOOKUP($B930,#REF!,19,FALSE)</f>
        <v>#REF!</v>
      </c>
      <c r="J930" s="11" t="e">
        <f>VLOOKUP($B930,#REF!,6,FALSE)</f>
        <v>#REF!</v>
      </c>
      <c r="L930" s="3">
        <v>44655.208333330345</v>
      </c>
      <c r="M930" s="15"/>
    </row>
    <row r="931" spans="2:13">
      <c r="B931" s="7"/>
      <c r="C931" s="8" t="e">
        <f>VLOOKUP($B931,#REF!,5,FALSE)</f>
        <v>#REF!</v>
      </c>
      <c r="D931" s="8" t="e">
        <f>VLOOKUP($B931,#REF!,6,FALSE)</f>
        <v>#REF!</v>
      </c>
      <c r="E931" s="9" t="e">
        <f>VLOOKUP($B931,#REF!,17,FALSE)</f>
        <v>#REF!</v>
      </c>
      <c r="F931" s="10" t="e">
        <f>VLOOKUP($B931,#REF!,7,FALSE)</f>
        <v>#REF!</v>
      </c>
      <c r="G931" s="10"/>
      <c r="H931" s="10"/>
      <c r="I931" s="11" t="e">
        <f>VLOOKUP($B931,#REF!,19,FALSE)</f>
        <v>#REF!</v>
      </c>
      <c r="J931" s="11" t="e">
        <f>VLOOKUP($B931,#REF!,6,FALSE)</f>
        <v>#REF!</v>
      </c>
      <c r="L931" s="3">
        <v>44655.211805552564</v>
      </c>
      <c r="M931" s="15"/>
    </row>
    <row r="932" spans="2:13">
      <c r="B932" s="7"/>
      <c r="C932" s="8" t="e">
        <f>VLOOKUP($B932,#REF!,5,FALSE)</f>
        <v>#REF!</v>
      </c>
      <c r="D932" s="8" t="e">
        <f>VLOOKUP($B932,#REF!,6,FALSE)</f>
        <v>#REF!</v>
      </c>
      <c r="E932" s="9" t="e">
        <f>VLOOKUP($B932,#REF!,17,FALSE)</f>
        <v>#REF!</v>
      </c>
      <c r="F932" s="10" t="e">
        <f>VLOOKUP($B932,#REF!,7,FALSE)</f>
        <v>#REF!</v>
      </c>
      <c r="G932" s="10"/>
      <c r="H932" s="10"/>
      <c r="I932" s="11" t="e">
        <f>VLOOKUP($B932,#REF!,19,FALSE)</f>
        <v>#REF!</v>
      </c>
      <c r="J932" s="11" t="e">
        <f>VLOOKUP($B932,#REF!,6,FALSE)</f>
        <v>#REF!</v>
      </c>
      <c r="L932" s="3">
        <v>44655.215277774783</v>
      </c>
      <c r="M932" s="15"/>
    </row>
    <row r="933" spans="2:13">
      <c r="B933" s="7"/>
      <c r="C933" s="8" t="e">
        <f>VLOOKUP($B933,#REF!,5,FALSE)</f>
        <v>#REF!</v>
      </c>
      <c r="D933" s="8" t="e">
        <f>VLOOKUP($B933,#REF!,6,FALSE)</f>
        <v>#REF!</v>
      </c>
      <c r="E933" s="9" t="e">
        <f>VLOOKUP($B933,#REF!,17,FALSE)</f>
        <v>#REF!</v>
      </c>
      <c r="F933" s="10" t="e">
        <f>VLOOKUP($B933,#REF!,7,FALSE)</f>
        <v>#REF!</v>
      </c>
      <c r="G933" s="10"/>
      <c r="H933" s="10"/>
      <c r="I933" s="11" t="e">
        <f>VLOOKUP($B933,#REF!,19,FALSE)</f>
        <v>#REF!</v>
      </c>
      <c r="J933" s="11" t="e">
        <f>VLOOKUP($B933,#REF!,6,FALSE)</f>
        <v>#REF!</v>
      </c>
      <c r="L933" s="3">
        <v>44655.218749997002</v>
      </c>
      <c r="M933" s="15"/>
    </row>
    <row r="934" spans="2:13">
      <c r="B934" s="7"/>
      <c r="C934" s="8" t="e">
        <f>VLOOKUP($B934,#REF!,5,FALSE)</f>
        <v>#REF!</v>
      </c>
      <c r="D934" s="8" t="e">
        <f>VLOOKUP($B934,#REF!,6,FALSE)</f>
        <v>#REF!</v>
      </c>
      <c r="E934" s="9" t="e">
        <f>VLOOKUP($B934,#REF!,17,FALSE)</f>
        <v>#REF!</v>
      </c>
      <c r="F934" s="10" t="e">
        <f>VLOOKUP($B934,#REF!,7,FALSE)</f>
        <v>#REF!</v>
      </c>
      <c r="G934" s="10"/>
      <c r="H934" s="10"/>
      <c r="I934" s="11" t="e">
        <f>VLOOKUP($B934,#REF!,19,FALSE)</f>
        <v>#REF!</v>
      </c>
      <c r="J934" s="11" t="e">
        <f>VLOOKUP($B934,#REF!,6,FALSE)</f>
        <v>#REF!</v>
      </c>
      <c r="L934" s="3">
        <v>44655.222222219221</v>
      </c>
      <c r="M934" s="15"/>
    </row>
    <row r="935" spans="2:13">
      <c r="B935" s="7"/>
      <c r="C935" s="8" t="e">
        <f>VLOOKUP($B935,#REF!,5,FALSE)</f>
        <v>#REF!</v>
      </c>
      <c r="D935" s="8" t="e">
        <f>VLOOKUP($B935,#REF!,6,FALSE)</f>
        <v>#REF!</v>
      </c>
      <c r="E935" s="9" t="e">
        <f>VLOOKUP($B935,#REF!,17,FALSE)</f>
        <v>#REF!</v>
      </c>
      <c r="F935" s="10" t="e">
        <f>VLOOKUP($B935,#REF!,7,FALSE)</f>
        <v>#REF!</v>
      </c>
      <c r="G935" s="10"/>
      <c r="H935" s="10"/>
      <c r="I935" s="11" t="e">
        <f>VLOOKUP($B935,#REF!,19,FALSE)</f>
        <v>#REF!</v>
      </c>
      <c r="J935" s="11" t="e">
        <f>VLOOKUP($B935,#REF!,6,FALSE)</f>
        <v>#REF!</v>
      </c>
      <c r="L935" s="3">
        <v>44655.22569444144</v>
      </c>
      <c r="M935" s="15"/>
    </row>
    <row r="936" spans="2:13">
      <c r="B936" s="7"/>
      <c r="C936" s="8" t="e">
        <f>VLOOKUP($B936,#REF!,5,FALSE)</f>
        <v>#REF!</v>
      </c>
      <c r="D936" s="8" t="e">
        <f>VLOOKUP($B936,#REF!,6,FALSE)</f>
        <v>#REF!</v>
      </c>
      <c r="E936" s="9" t="e">
        <f>VLOOKUP($B936,#REF!,17,FALSE)</f>
        <v>#REF!</v>
      </c>
      <c r="F936" s="10" t="e">
        <f>VLOOKUP($B936,#REF!,7,FALSE)</f>
        <v>#REF!</v>
      </c>
      <c r="G936" s="10"/>
      <c r="H936" s="10"/>
      <c r="I936" s="11" t="e">
        <f>VLOOKUP($B936,#REF!,19,FALSE)</f>
        <v>#REF!</v>
      </c>
      <c r="J936" s="11" t="e">
        <f>VLOOKUP($B936,#REF!,6,FALSE)</f>
        <v>#REF!</v>
      </c>
      <c r="L936" s="3">
        <v>44655.229166663659</v>
      </c>
      <c r="M936" s="15"/>
    </row>
    <row r="937" spans="2:13">
      <c r="B937" s="7"/>
      <c r="C937" s="8" t="e">
        <f>VLOOKUP($B937,#REF!,5,FALSE)</f>
        <v>#REF!</v>
      </c>
      <c r="D937" s="8" t="e">
        <f>VLOOKUP($B937,#REF!,6,FALSE)</f>
        <v>#REF!</v>
      </c>
      <c r="E937" s="9" t="e">
        <f>VLOOKUP($B937,#REF!,17,FALSE)</f>
        <v>#REF!</v>
      </c>
      <c r="F937" s="10" t="e">
        <f>VLOOKUP($B937,#REF!,7,FALSE)</f>
        <v>#REF!</v>
      </c>
      <c r="G937" s="10"/>
      <c r="H937" s="10"/>
      <c r="I937" s="11" t="e">
        <f>VLOOKUP($B937,#REF!,19,FALSE)</f>
        <v>#REF!</v>
      </c>
      <c r="J937" s="11" t="e">
        <f>VLOOKUP($B937,#REF!,6,FALSE)</f>
        <v>#REF!</v>
      </c>
      <c r="L937" s="3">
        <v>44655.232638885878</v>
      </c>
      <c r="M937" s="15"/>
    </row>
    <row r="938" spans="2:13">
      <c r="B938" s="7"/>
      <c r="C938" s="8" t="e">
        <f>VLOOKUP($B938,#REF!,5,FALSE)</f>
        <v>#REF!</v>
      </c>
      <c r="D938" s="8" t="e">
        <f>VLOOKUP($B938,#REF!,6,FALSE)</f>
        <v>#REF!</v>
      </c>
      <c r="E938" s="9" t="e">
        <f>VLOOKUP($B938,#REF!,17,FALSE)</f>
        <v>#REF!</v>
      </c>
      <c r="F938" s="10" t="e">
        <f>VLOOKUP($B938,#REF!,7,FALSE)</f>
        <v>#REF!</v>
      </c>
      <c r="G938" s="10"/>
      <c r="H938" s="10"/>
      <c r="I938" s="11" t="e">
        <f>VLOOKUP($B938,#REF!,19,FALSE)</f>
        <v>#REF!</v>
      </c>
      <c r="J938" s="11" t="e">
        <f>VLOOKUP($B938,#REF!,6,FALSE)</f>
        <v>#REF!</v>
      </c>
      <c r="L938" s="3">
        <v>44655.236111108097</v>
      </c>
      <c r="M938" s="15"/>
    </row>
    <row r="939" spans="2:13">
      <c r="B939" s="7"/>
      <c r="C939" s="8" t="e">
        <f>VLOOKUP($B939,#REF!,5,FALSE)</f>
        <v>#REF!</v>
      </c>
      <c r="D939" s="8" t="e">
        <f>VLOOKUP($B939,#REF!,6,FALSE)</f>
        <v>#REF!</v>
      </c>
      <c r="E939" s="9" t="e">
        <f>VLOOKUP($B939,#REF!,17,FALSE)</f>
        <v>#REF!</v>
      </c>
      <c r="F939" s="10" t="e">
        <f>VLOOKUP($B939,#REF!,7,FALSE)</f>
        <v>#REF!</v>
      </c>
      <c r="G939" s="10"/>
      <c r="H939" s="10"/>
      <c r="I939" s="11" t="e">
        <f>VLOOKUP($B939,#REF!,19,FALSE)</f>
        <v>#REF!</v>
      </c>
      <c r="J939" s="11" t="e">
        <f>VLOOKUP($B939,#REF!,6,FALSE)</f>
        <v>#REF!</v>
      </c>
      <c r="L939" s="3">
        <v>44655.239583330316</v>
      </c>
      <c r="M939" s="15"/>
    </row>
    <row r="940" spans="2:13">
      <c r="B940" s="7"/>
      <c r="C940" s="8" t="e">
        <f>VLOOKUP($B940,#REF!,5,FALSE)</f>
        <v>#REF!</v>
      </c>
      <c r="D940" s="8" t="e">
        <f>VLOOKUP($B940,#REF!,6,FALSE)</f>
        <v>#REF!</v>
      </c>
      <c r="E940" s="9" t="e">
        <f>VLOOKUP($B940,#REF!,17,FALSE)</f>
        <v>#REF!</v>
      </c>
      <c r="F940" s="10" t="e">
        <f>VLOOKUP($B940,#REF!,7,FALSE)</f>
        <v>#REF!</v>
      </c>
      <c r="G940" s="10"/>
      <c r="H940" s="10"/>
      <c r="I940" s="11" t="e">
        <f>VLOOKUP($B940,#REF!,19,FALSE)</f>
        <v>#REF!</v>
      </c>
      <c r="J940" s="11" t="e">
        <f>VLOOKUP($B940,#REF!,6,FALSE)</f>
        <v>#REF!</v>
      </c>
      <c r="L940" s="3">
        <v>44655.243055552535</v>
      </c>
      <c r="M940" s="15"/>
    </row>
    <row r="941" spans="2:13">
      <c r="B941" s="7"/>
      <c r="C941" s="8" t="e">
        <f>VLOOKUP($B941,#REF!,5,FALSE)</f>
        <v>#REF!</v>
      </c>
      <c r="D941" s="8" t="e">
        <f>VLOOKUP($B941,#REF!,6,FALSE)</f>
        <v>#REF!</v>
      </c>
      <c r="E941" s="9" t="e">
        <f>VLOOKUP($B941,#REF!,17,FALSE)</f>
        <v>#REF!</v>
      </c>
      <c r="F941" s="10" t="e">
        <f>VLOOKUP($B941,#REF!,7,FALSE)</f>
        <v>#REF!</v>
      </c>
      <c r="G941" s="10"/>
      <c r="H941" s="10"/>
      <c r="I941" s="11" t="e">
        <f>VLOOKUP($B941,#REF!,19,FALSE)</f>
        <v>#REF!</v>
      </c>
      <c r="J941" s="11" t="e">
        <f>VLOOKUP($B941,#REF!,6,FALSE)</f>
        <v>#REF!</v>
      </c>
      <c r="L941" s="3">
        <v>44655.246527774754</v>
      </c>
      <c r="M941" s="15"/>
    </row>
    <row r="942" spans="2:13">
      <c r="B942" s="7"/>
      <c r="C942" s="8" t="e">
        <f>VLOOKUP($B942,#REF!,5,FALSE)</f>
        <v>#REF!</v>
      </c>
      <c r="D942" s="8" t="e">
        <f>VLOOKUP($B942,#REF!,6,FALSE)</f>
        <v>#REF!</v>
      </c>
      <c r="E942" s="9" t="e">
        <f>VLOOKUP($B942,#REF!,17,FALSE)</f>
        <v>#REF!</v>
      </c>
      <c r="F942" s="10" t="e">
        <f>VLOOKUP($B942,#REF!,7,FALSE)</f>
        <v>#REF!</v>
      </c>
      <c r="G942" s="10"/>
      <c r="H942" s="10"/>
      <c r="I942" s="11" t="e">
        <f>VLOOKUP($B942,#REF!,19,FALSE)</f>
        <v>#REF!</v>
      </c>
      <c r="J942" s="11" t="e">
        <f>VLOOKUP($B942,#REF!,6,FALSE)</f>
        <v>#REF!</v>
      </c>
      <c r="L942" s="3">
        <v>44655.249999996973</v>
      </c>
      <c r="M942" s="15"/>
    </row>
    <row r="943" spans="2:13">
      <c r="B943" s="7"/>
      <c r="C943" s="8" t="e">
        <f>VLOOKUP($B943,#REF!,5,FALSE)</f>
        <v>#REF!</v>
      </c>
      <c r="D943" s="8" t="e">
        <f>VLOOKUP($B943,#REF!,6,FALSE)</f>
        <v>#REF!</v>
      </c>
      <c r="E943" s="9" t="e">
        <f>VLOOKUP($B943,#REF!,17,FALSE)</f>
        <v>#REF!</v>
      </c>
      <c r="F943" s="10" t="e">
        <f>VLOOKUP($B943,#REF!,7,FALSE)</f>
        <v>#REF!</v>
      </c>
      <c r="G943" s="10"/>
      <c r="H943" s="10"/>
      <c r="I943" s="11" t="e">
        <f>VLOOKUP($B943,#REF!,19,FALSE)</f>
        <v>#REF!</v>
      </c>
      <c r="J943" s="11" t="e">
        <f>VLOOKUP($B943,#REF!,6,FALSE)</f>
        <v>#REF!</v>
      </c>
      <c r="L943" s="3">
        <v>44655.253472219192</v>
      </c>
      <c r="M943" s="15"/>
    </row>
    <row r="944" spans="2:13">
      <c r="B944" s="7"/>
      <c r="C944" s="8" t="e">
        <f>VLOOKUP($B944,#REF!,5,FALSE)</f>
        <v>#REF!</v>
      </c>
      <c r="D944" s="8" t="e">
        <f>VLOOKUP($B944,#REF!,6,FALSE)</f>
        <v>#REF!</v>
      </c>
      <c r="E944" s="9" t="e">
        <f>VLOOKUP($B944,#REF!,17,FALSE)</f>
        <v>#REF!</v>
      </c>
      <c r="F944" s="10" t="e">
        <f>VLOOKUP($B944,#REF!,7,FALSE)</f>
        <v>#REF!</v>
      </c>
      <c r="G944" s="10"/>
      <c r="H944" s="10"/>
      <c r="I944" s="11" t="e">
        <f>VLOOKUP($B944,#REF!,19,FALSE)</f>
        <v>#REF!</v>
      </c>
      <c r="J944" s="11" t="e">
        <f>VLOOKUP($B944,#REF!,6,FALSE)</f>
        <v>#REF!</v>
      </c>
      <c r="L944" s="3">
        <v>44655.256944441411</v>
      </c>
      <c r="M944" s="15"/>
    </row>
    <row r="945" spans="2:13">
      <c r="B945" s="7"/>
      <c r="C945" s="8" t="e">
        <f>VLOOKUP($B945,#REF!,5,FALSE)</f>
        <v>#REF!</v>
      </c>
      <c r="D945" s="8" t="e">
        <f>VLOOKUP($B945,#REF!,6,FALSE)</f>
        <v>#REF!</v>
      </c>
      <c r="E945" s="9" t="e">
        <f>VLOOKUP($B945,#REF!,17,FALSE)</f>
        <v>#REF!</v>
      </c>
      <c r="F945" s="10" t="e">
        <f>VLOOKUP($B945,#REF!,7,FALSE)</f>
        <v>#REF!</v>
      </c>
      <c r="G945" s="10"/>
      <c r="H945" s="10"/>
      <c r="I945" s="11" t="e">
        <f>VLOOKUP($B945,#REF!,19,FALSE)</f>
        <v>#REF!</v>
      </c>
      <c r="J945" s="11" t="e">
        <f>VLOOKUP($B945,#REF!,6,FALSE)</f>
        <v>#REF!</v>
      </c>
      <c r="L945" s="3">
        <v>44655.26041666363</v>
      </c>
      <c r="M945" s="15"/>
    </row>
    <row r="946" spans="2:13">
      <c r="B946" s="7"/>
      <c r="C946" s="8" t="e">
        <f>VLOOKUP($B946,#REF!,5,FALSE)</f>
        <v>#REF!</v>
      </c>
      <c r="D946" s="8" t="e">
        <f>VLOOKUP($B946,#REF!,6,FALSE)</f>
        <v>#REF!</v>
      </c>
      <c r="E946" s="9" t="e">
        <f>VLOOKUP($B946,#REF!,17,FALSE)</f>
        <v>#REF!</v>
      </c>
      <c r="F946" s="10" t="e">
        <f>VLOOKUP($B946,#REF!,7,FALSE)</f>
        <v>#REF!</v>
      </c>
      <c r="G946" s="10"/>
      <c r="H946" s="10"/>
      <c r="I946" s="11" t="e">
        <f>VLOOKUP($B946,#REF!,19,FALSE)</f>
        <v>#REF!</v>
      </c>
      <c r="J946" s="11" t="e">
        <f>VLOOKUP($B946,#REF!,6,FALSE)</f>
        <v>#REF!</v>
      </c>
      <c r="L946" s="3">
        <v>44655.263888885849</v>
      </c>
      <c r="M946" s="15"/>
    </row>
    <row r="947" spans="2:13">
      <c r="B947" s="7"/>
      <c r="C947" s="8" t="e">
        <f>VLOOKUP($B947,#REF!,5,FALSE)</f>
        <v>#REF!</v>
      </c>
      <c r="D947" s="8" t="e">
        <f>VLOOKUP($B947,#REF!,6,FALSE)</f>
        <v>#REF!</v>
      </c>
      <c r="E947" s="9" t="e">
        <f>VLOOKUP($B947,#REF!,17,FALSE)</f>
        <v>#REF!</v>
      </c>
      <c r="F947" s="10" t="e">
        <f>VLOOKUP($B947,#REF!,7,FALSE)</f>
        <v>#REF!</v>
      </c>
      <c r="G947" s="10"/>
      <c r="H947" s="10"/>
      <c r="I947" s="11" t="e">
        <f>VLOOKUP($B947,#REF!,19,FALSE)</f>
        <v>#REF!</v>
      </c>
      <c r="J947" s="11" t="e">
        <f>VLOOKUP($B947,#REF!,6,FALSE)</f>
        <v>#REF!</v>
      </c>
      <c r="L947" s="3">
        <v>44655.267361108068</v>
      </c>
      <c r="M947" s="15"/>
    </row>
    <row r="948" spans="2:13">
      <c r="B948" s="7"/>
      <c r="C948" s="8" t="e">
        <f>VLOOKUP($B948,#REF!,5,FALSE)</f>
        <v>#REF!</v>
      </c>
      <c r="D948" s="8" t="e">
        <f>VLOOKUP($B948,#REF!,6,FALSE)</f>
        <v>#REF!</v>
      </c>
      <c r="E948" s="9" t="e">
        <f>VLOOKUP($B948,#REF!,17,FALSE)</f>
        <v>#REF!</v>
      </c>
      <c r="F948" s="10" t="e">
        <f>VLOOKUP($B948,#REF!,7,FALSE)</f>
        <v>#REF!</v>
      </c>
      <c r="G948" s="10"/>
      <c r="H948" s="10"/>
      <c r="I948" s="11" t="e">
        <f>VLOOKUP($B948,#REF!,19,FALSE)</f>
        <v>#REF!</v>
      </c>
      <c r="J948" s="11" t="e">
        <f>VLOOKUP($B948,#REF!,6,FALSE)</f>
        <v>#REF!</v>
      </c>
      <c r="L948" s="3">
        <v>44655.270833330287</v>
      </c>
      <c r="M948" s="15"/>
    </row>
    <row r="949" spans="2:13">
      <c r="B949" s="7"/>
      <c r="C949" s="8" t="e">
        <f>VLOOKUP($B949,#REF!,5,FALSE)</f>
        <v>#REF!</v>
      </c>
      <c r="D949" s="8" t="e">
        <f>VLOOKUP($B949,#REF!,6,FALSE)</f>
        <v>#REF!</v>
      </c>
      <c r="E949" s="9" t="e">
        <f>VLOOKUP($B949,#REF!,17,FALSE)</f>
        <v>#REF!</v>
      </c>
      <c r="F949" s="10" t="e">
        <f>VLOOKUP($B949,#REF!,7,FALSE)</f>
        <v>#REF!</v>
      </c>
      <c r="G949" s="10"/>
      <c r="H949" s="10"/>
      <c r="I949" s="11" t="e">
        <f>VLOOKUP($B949,#REF!,19,FALSE)</f>
        <v>#REF!</v>
      </c>
      <c r="J949" s="11" t="e">
        <f>VLOOKUP($B949,#REF!,6,FALSE)</f>
        <v>#REF!</v>
      </c>
      <c r="L949" s="3">
        <v>44655.274305552506</v>
      </c>
      <c r="M949" s="15"/>
    </row>
    <row r="950" spans="2:13">
      <c r="B950" s="7"/>
      <c r="C950" s="8" t="e">
        <f>VLOOKUP($B950,#REF!,5,FALSE)</f>
        <v>#REF!</v>
      </c>
      <c r="D950" s="8" t="e">
        <f>VLOOKUP($B950,#REF!,6,FALSE)</f>
        <v>#REF!</v>
      </c>
      <c r="E950" s="9" t="e">
        <f>VLOOKUP($B950,#REF!,17,FALSE)</f>
        <v>#REF!</v>
      </c>
      <c r="F950" s="10" t="e">
        <f>VLOOKUP($B950,#REF!,7,FALSE)</f>
        <v>#REF!</v>
      </c>
      <c r="G950" s="10"/>
      <c r="H950" s="10"/>
      <c r="I950" s="11" t="e">
        <f>VLOOKUP($B950,#REF!,19,FALSE)</f>
        <v>#REF!</v>
      </c>
      <c r="J950" s="11" t="e">
        <f>VLOOKUP($B950,#REF!,6,FALSE)</f>
        <v>#REF!</v>
      </c>
      <c r="L950" s="3">
        <v>44655.277777774725</v>
      </c>
      <c r="M950" s="15"/>
    </row>
    <row r="951" spans="2:13">
      <c r="B951" s="7"/>
      <c r="C951" s="8" t="e">
        <f>VLOOKUP($B951,#REF!,5,FALSE)</f>
        <v>#REF!</v>
      </c>
      <c r="D951" s="8" t="e">
        <f>VLOOKUP($B951,#REF!,6,FALSE)</f>
        <v>#REF!</v>
      </c>
      <c r="E951" s="9" t="e">
        <f>VLOOKUP($B951,#REF!,17,FALSE)</f>
        <v>#REF!</v>
      </c>
      <c r="F951" s="10" t="e">
        <f>VLOOKUP($B951,#REF!,7,FALSE)</f>
        <v>#REF!</v>
      </c>
      <c r="G951" s="10"/>
      <c r="H951" s="10"/>
      <c r="I951" s="11" t="e">
        <f>VLOOKUP($B951,#REF!,19,FALSE)</f>
        <v>#REF!</v>
      </c>
      <c r="J951" s="11" t="e">
        <f>VLOOKUP($B951,#REF!,6,FALSE)</f>
        <v>#REF!</v>
      </c>
      <c r="L951" s="3">
        <v>44655.281249996944</v>
      </c>
      <c r="M951" s="15"/>
    </row>
    <row r="952" spans="2:13">
      <c r="B952" s="7"/>
      <c r="C952" s="8" t="e">
        <f>VLOOKUP($B952,#REF!,5,FALSE)</f>
        <v>#REF!</v>
      </c>
      <c r="D952" s="8" t="e">
        <f>VLOOKUP($B952,#REF!,6,FALSE)</f>
        <v>#REF!</v>
      </c>
      <c r="E952" s="9" t="e">
        <f>VLOOKUP($B952,#REF!,17,FALSE)</f>
        <v>#REF!</v>
      </c>
      <c r="F952" s="10" t="e">
        <f>VLOOKUP($B952,#REF!,7,FALSE)</f>
        <v>#REF!</v>
      </c>
      <c r="G952" s="10"/>
      <c r="H952" s="10"/>
      <c r="I952" s="11" t="e">
        <f>VLOOKUP($B952,#REF!,19,FALSE)</f>
        <v>#REF!</v>
      </c>
      <c r="J952" s="11" t="e">
        <f>VLOOKUP($B952,#REF!,6,FALSE)</f>
        <v>#REF!</v>
      </c>
      <c r="L952" s="3">
        <v>44655.284722219163</v>
      </c>
      <c r="M952" s="15"/>
    </row>
    <row r="953" spans="2:13">
      <c r="B953" s="7"/>
      <c r="C953" s="8" t="e">
        <f>VLOOKUP($B953,#REF!,5,FALSE)</f>
        <v>#REF!</v>
      </c>
      <c r="D953" s="8" t="e">
        <f>VLOOKUP($B953,#REF!,6,FALSE)</f>
        <v>#REF!</v>
      </c>
      <c r="E953" s="9" t="e">
        <f>VLOOKUP($B953,#REF!,17,FALSE)</f>
        <v>#REF!</v>
      </c>
      <c r="F953" s="10" t="e">
        <f>VLOOKUP($B953,#REF!,7,FALSE)</f>
        <v>#REF!</v>
      </c>
      <c r="G953" s="10"/>
      <c r="H953" s="10"/>
      <c r="I953" s="11" t="e">
        <f>VLOOKUP($B953,#REF!,19,FALSE)</f>
        <v>#REF!</v>
      </c>
      <c r="J953" s="11" t="e">
        <f>VLOOKUP($B953,#REF!,6,FALSE)</f>
        <v>#REF!</v>
      </c>
      <c r="L953" s="3">
        <v>44655.288194441382</v>
      </c>
      <c r="M953" s="15"/>
    </row>
    <row r="954" spans="2:13">
      <c r="B954" s="7"/>
      <c r="C954" s="8" t="e">
        <f>VLOOKUP($B954,#REF!,5,FALSE)</f>
        <v>#REF!</v>
      </c>
      <c r="D954" s="8" t="e">
        <f>VLOOKUP($B954,#REF!,6,FALSE)</f>
        <v>#REF!</v>
      </c>
      <c r="E954" s="9" t="e">
        <f>VLOOKUP($B954,#REF!,17,FALSE)</f>
        <v>#REF!</v>
      </c>
      <c r="F954" s="10" t="e">
        <f>VLOOKUP($B954,#REF!,7,FALSE)</f>
        <v>#REF!</v>
      </c>
      <c r="G954" s="10"/>
      <c r="H954" s="10"/>
      <c r="I954" s="11" t="e">
        <f>VLOOKUP($B954,#REF!,19,FALSE)</f>
        <v>#REF!</v>
      </c>
      <c r="J954" s="11" t="e">
        <f>VLOOKUP($B954,#REF!,6,FALSE)</f>
        <v>#REF!</v>
      </c>
      <c r="L954" s="3">
        <v>44655.291666663601</v>
      </c>
      <c r="M954" s="15"/>
    </row>
    <row r="955" spans="2:13">
      <c r="B955" s="7"/>
      <c r="C955" s="8" t="e">
        <f>VLOOKUP($B955,#REF!,5,FALSE)</f>
        <v>#REF!</v>
      </c>
      <c r="D955" s="8" t="e">
        <f>VLOOKUP($B955,#REF!,6,FALSE)</f>
        <v>#REF!</v>
      </c>
      <c r="E955" s="9" t="e">
        <f>VLOOKUP($B955,#REF!,17,FALSE)</f>
        <v>#REF!</v>
      </c>
      <c r="F955" s="10" t="e">
        <f>VLOOKUP($B955,#REF!,7,FALSE)</f>
        <v>#REF!</v>
      </c>
      <c r="G955" s="10"/>
      <c r="H955" s="10"/>
      <c r="I955" s="11" t="e">
        <f>VLOOKUP($B955,#REF!,19,FALSE)</f>
        <v>#REF!</v>
      </c>
      <c r="J955" s="11" t="e">
        <f>VLOOKUP($B955,#REF!,6,FALSE)</f>
        <v>#REF!</v>
      </c>
      <c r="L955" s="3">
        <v>44655.29513888582</v>
      </c>
      <c r="M955" s="15"/>
    </row>
    <row r="956" spans="2:13">
      <c r="B956" s="7"/>
      <c r="C956" s="8" t="e">
        <f>VLOOKUP($B956,#REF!,5,FALSE)</f>
        <v>#REF!</v>
      </c>
      <c r="D956" s="8" t="e">
        <f>VLOOKUP($B956,#REF!,6,FALSE)</f>
        <v>#REF!</v>
      </c>
      <c r="E956" s="9" t="e">
        <f>VLOOKUP($B956,#REF!,17,FALSE)</f>
        <v>#REF!</v>
      </c>
      <c r="F956" s="10" t="e">
        <f>VLOOKUP($B956,#REF!,7,FALSE)</f>
        <v>#REF!</v>
      </c>
      <c r="G956" s="10"/>
      <c r="H956" s="10"/>
      <c r="I956" s="11" t="e">
        <f>VLOOKUP($B956,#REF!,19,FALSE)</f>
        <v>#REF!</v>
      </c>
      <c r="J956" s="11" t="e">
        <f>VLOOKUP($B956,#REF!,6,FALSE)</f>
        <v>#REF!</v>
      </c>
      <c r="L956" s="3">
        <v>44655.298611108039</v>
      </c>
      <c r="M956" s="15"/>
    </row>
    <row r="957" spans="2:13">
      <c r="B957" s="7"/>
      <c r="C957" s="8" t="e">
        <f>VLOOKUP($B957,#REF!,5,FALSE)</f>
        <v>#REF!</v>
      </c>
      <c r="D957" s="8" t="e">
        <f>VLOOKUP($B957,#REF!,6,FALSE)</f>
        <v>#REF!</v>
      </c>
      <c r="E957" s="9" t="e">
        <f>VLOOKUP($B957,#REF!,17,FALSE)</f>
        <v>#REF!</v>
      </c>
      <c r="F957" s="10" t="e">
        <f>VLOOKUP($B957,#REF!,7,FALSE)</f>
        <v>#REF!</v>
      </c>
      <c r="G957" s="10"/>
      <c r="H957" s="10"/>
      <c r="I957" s="11" t="e">
        <f>VLOOKUP($B957,#REF!,19,FALSE)</f>
        <v>#REF!</v>
      </c>
      <c r="J957" s="11" t="e">
        <f>VLOOKUP($B957,#REF!,6,FALSE)</f>
        <v>#REF!</v>
      </c>
      <c r="L957" s="3">
        <v>44655.302083330258</v>
      </c>
      <c r="M957" s="15"/>
    </row>
    <row r="958" spans="2:13">
      <c r="B958" s="7"/>
      <c r="C958" s="8" t="e">
        <f>VLOOKUP($B958,#REF!,5,FALSE)</f>
        <v>#REF!</v>
      </c>
      <c r="D958" s="8" t="e">
        <f>VLOOKUP($B958,#REF!,6,FALSE)</f>
        <v>#REF!</v>
      </c>
      <c r="E958" s="9" t="e">
        <f>VLOOKUP($B958,#REF!,17,FALSE)</f>
        <v>#REF!</v>
      </c>
      <c r="F958" s="10" t="e">
        <f>VLOOKUP($B958,#REF!,7,FALSE)</f>
        <v>#REF!</v>
      </c>
      <c r="G958" s="10"/>
      <c r="H958" s="10"/>
      <c r="I958" s="11" t="e">
        <f>VLOOKUP($B958,#REF!,19,FALSE)</f>
        <v>#REF!</v>
      </c>
      <c r="J958" s="11" t="e">
        <f>VLOOKUP($B958,#REF!,6,FALSE)</f>
        <v>#REF!</v>
      </c>
      <c r="L958" s="3">
        <v>44655.305555552477</v>
      </c>
      <c r="M958" s="15"/>
    </row>
    <row r="959" spans="2:13">
      <c r="B959" s="7"/>
      <c r="C959" s="8" t="e">
        <f>VLOOKUP($B959,#REF!,5,FALSE)</f>
        <v>#REF!</v>
      </c>
      <c r="D959" s="8" t="e">
        <f>VLOOKUP($B959,#REF!,6,FALSE)</f>
        <v>#REF!</v>
      </c>
      <c r="E959" s="9" t="e">
        <f>VLOOKUP($B959,#REF!,17,FALSE)</f>
        <v>#REF!</v>
      </c>
      <c r="F959" s="10" t="e">
        <f>VLOOKUP($B959,#REF!,7,FALSE)</f>
        <v>#REF!</v>
      </c>
      <c r="G959" s="10"/>
      <c r="H959" s="10"/>
      <c r="I959" s="11" t="e">
        <f>VLOOKUP($B959,#REF!,19,FALSE)</f>
        <v>#REF!</v>
      </c>
      <c r="J959" s="11" t="e">
        <f>VLOOKUP($B959,#REF!,6,FALSE)</f>
        <v>#REF!</v>
      </c>
      <c r="L959" s="3">
        <v>44655.309027774696</v>
      </c>
      <c r="M959" s="15"/>
    </row>
    <row r="960" spans="2:13">
      <c r="B960" s="7"/>
      <c r="C960" s="8" t="e">
        <f>VLOOKUP($B960,#REF!,5,FALSE)</f>
        <v>#REF!</v>
      </c>
      <c r="D960" s="8" t="e">
        <f>VLOOKUP($B960,#REF!,6,FALSE)</f>
        <v>#REF!</v>
      </c>
      <c r="E960" s="9" t="e">
        <f>VLOOKUP($B960,#REF!,17,FALSE)</f>
        <v>#REF!</v>
      </c>
      <c r="F960" s="10" t="e">
        <f>VLOOKUP($B960,#REF!,7,FALSE)</f>
        <v>#REF!</v>
      </c>
      <c r="G960" s="10"/>
      <c r="H960" s="10"/>
      <c r="I960" s="11" t="e">
        <f>VLOOKUP($B960,#REF!,19,FALSE)</f>
        <v>#REF!</v>
      </c>
      <c r="J960" s="11" t="e">
        <f>VLOOKUP($B960,#REF!,6,FALSE)</f>
        <v>#REF!</v>
      </c>
      <c r="L960" s="3">
        <v>44655.312499996915</v>
      </c>
      <c r="M960" s="15"/>
    </row>
    <row r="961" spans="2:13">
      <c r="B961" s="7"/>
      <c r="C961" s="8" t="e">
        <f>VLOOKUP($B961,#REF!,5,FALSE)</f>
        <v>#REF!</v>
      </c>
      <c r="D961" s="8" t="e">
        <f>VLOOKUP($B961,#REF!,6,FALSE)</f>
        <v>#REF!</v>
      </c>
      <c r="E961" s="9" t="e">
        <f>VLOOKUP($B961,#REF!,17,FALSE)</f>
        <v>#REF!</v>
      </c>
      <c r="F961" s="10" t="e">
        <f>VLOOKUP($B961,#REF!,7,FALSE)</f>
        <v>#REF!</v>
      </c>
      <c r="G961" s="10"/>
      <c r="H961" s="10"/>
      <c r="I961" s="11" t="e">
        <f>VLOOKUP($B961,#REF!,19,FALSE)</f>
        <v>#REF!</v>
      </c>
      <c r="J961" s="11" t="e">
        <f>VLOOKUP($B961,#REF!,6,FALSE)</f>
        <v>#REF!</v>
      </c>
      <c r="L961" s="3">
        <v>44655.315972219134</v>
      </c>
      <c r="M961" s="15"/>
    </row>
    <row r="962" spans="2:13">
      <c r="B962" s="7"/>
      <c r="C962" s="8" t="e">
        <f>VLOOKUP($B962,#REF!,5,FALSE)</f>
        <v>#REF!</v>
      </c>
      <c r="D962" s="8" t="e">
        <f>VLOOKUP($B962,#REF!,6,FALSE)</f>
        <v>#REF!</v>
      </c>
      <c r="E962" s="9" t="e">
        <f>VLOOKUP($B962,#REF!,17,FALSE)</f>
        <v>#REF!</v>
      </c>
      <c r="F962" s="10" t="e">
        <f>VLOOKUP($B962,#REF!,7,FALSE)</f>
        <v>#REF!</v>
      </c>
      <c r="G962" s="10"/>
      <c r="H962" s="10"/>
      <c r="I962" s="11" t="e">
        <f>VLOOKUP($B962,#REF!,19,FALSE)</f>
        <v>#REF!</v>
      </c>
      <c r="J962" s="11" t="e">
        <f>VLOOKUP($B962,#REF!,6,FALSE)</f>
        <v>#REF!</v>
      </c>
      <c r="L962" s="3">
        <v>44655.319444441353</v>
      </c>
      <c r="M962" s="15"/>
    </row>
    <row r="963" spans="2:13">
      <c r="B963" s="7"/>
      <c r="C963" s="8" t="e">
        <f>VLOOKUP($B963,#REF!,5,FALSE)</f>
        <v>#REF!</v>
      </c>
      <c r="D963" s="8" t="e">
        <f>VLOOKUP($B963,#REF!,6,FALSE)</f>
        <v>#REF!</v>
      </c>
      <c r="E963" s="9" t="e">
        <f>VLOOKUP($B963,#REF!,17,FALSE)</f>
        <v>#REF!</v>
      </c>
      <c r="F963" s="10" t="e">
        <f>VLOOKUP($B963,#REF!,7,FALSE)</f>
        <v>#REF!</v>
      </c>
      <c r="G963" s="10"/>
      <c r="H963" s="10"/>
      <c r="I963" s="11" t="e">
        <f>VLOOKUP($B963,#REF!,19,FALSE)</f>
        <v>#REF!</v>
      </c>
      <c r="J963" s="11" t="e">
        <f>VLOOKUP($B963,#REF!,6,FALSE)</f>
        <v>#REF!</v>
      </c>
      <c r="L963" s="3">
        <v>44655.322916663572</v>
      </c>
      <c r="M963" s="15"/>
    </row>
    <row r="964" spans="2:13">
      <c r="B964" s="7"/>
      <c r="C964" s="8" t="e">
        <f>VLOOKUP($B964,#REF!,5,FALSE)</f>
        <v>#REF!</v>
      </c>
      <c r="D964" s="8" t="e">
        <f>VLOOKUP($B964,#REF!,6,FALSE)</f>
        <v>#REF!</v>
      </c>
      <c r="E964" s="9" t="e">
        <f>VLOOKUP($B964,#REF!,17,FALSE)</f>
        <v>#REF!</v>
      </c>
      <c r="F964" s="10" t="e">
        <f>VLOOKUP($B964,#REF!,7,FALSE)</f>
        <v>#REF!</v>
      </c>
      <c r="G964" s="10"/>
      <c r="H964" s="10"/>
      <c r="I964" s="11" t="e">
        <f>VLOOKUP($B964,#REF!,19,FALSE)</f>
        <v>#REF!</v>
      </c>
      <c r="J964" s="11" t="e">
        <f>VLOOKUP($B964,#REF!,6,FALSE)</f>
        <v>#REF!</v>
      </c>
      <c r="L964" s="3">
        <v>44655.326388885791</v>
      </c>
      <c r="M964" s="15"/>
    </row>
    <row r="965" spans="2:13">
      <c r="B965" s="7"/>
      <c r="C965" s="8" t="e">
        <f>VLOOKUP($B965,#REF!,5,FALSE)</f>
        <v>#REF!</v>
      </c>
      <c r="D965" s="8" t="e">
        <f>VLOOKUP($B965,#REF!,6,FALSE)</f>
        <v>#REF!</v>
      </c>
      <c r="E965" s="9" t="e">
        <f>VLOOKUP($B965,#REF!,17,FALSE)</f>
        <v>#REF!</v>
      </c>
      <c r="F965" s="10" t="e">
        <f>VLOOKUP($B965,#REF!,7,FALSE)</f>
        <v>#REF!</v>
      </c>
      <c r="G965" s="10"/>
      <c r="H965" s="10"/>
      <c r="I965" s="11" t="e">
        <f>VLOOKUP($B965,#REF!,19,FALSE)</f>
        <v>#REF!</v>
      </c>
      <c r="J965" s="11" t="e">
        <f>VLOOKUP($B965,#REF!,6,FALSE)</f>
        <v>#REF!</v>
      </c>
      <c r="L965" s="3">
        <v>44655.32986110801</v>
      </c>
      <c r="M965" s="15"/>
    </row>
    <row r="966" spans="2:13">
      <c r="B966" s="7"/>
      <c r="C966" s="8" t="e">
        <f>VLOOKUP($B966,#REF!,5,FALSE)</f>
        <v>#REF!</v>
      </c>
      <c r="D966" s="8" t="e">
        <f>VLOOKUP($B966,#REF!,6,FALSE)</f>
        <v>#REF!</v>
      </c>
      <c r="E966" s="9" t="e">
        <f>VLOOKUP($B966,#REF!,17,FALSE)</f>
        <v>#REF!</v>
      </c>
      <c r="F966" s="10" t="e">
        <f>VLOOKUP($B966,#REF!,7,FALSE)</f>
        <v>#REF!</v>
      </c>
      <c r="G966" s="10"/>
      <c r="H966" s="10"/>
      <c r="I966" s="11" t="e">
        <f>VLOOKUP($B966,#REF!,19,FALSE)</f>
        <v>#REF!</v>
      </c>
      <c r="J966" s="11" t="e">
        <f>VLOOKUP($B966,#REF!,6,FALSE)</f>
        <v>#REF!</v>
      </c>
      <c r="L966" s="3">
        <v>44655.333333330229</v>
      </c>
      <c r="M966" s="15"/>
    </row>
    <row r="967" spans="2:13">
      <c r="B967" s="7"/>
      <c r="C967" s="8" t="e">
        <f>VLOOKUP($B967,#REF!,5,FALSE)</f>
        <v>#REF!</v>
      </c>
      <c r="D967" s="8" t="e">
        <f>VLOOKUP($B967,#REF!,6,FALSE)</f>
        <v>#REF!</v>
      </c>
      <c r="E967" s="9" t="e">
        <f>VLOOKUP($B967,#REF!,17,FALSE)</f>
        <v>#REF!</v>
      </c>
      <c r="F967" s="10" t="e">
        <f>VLOOKUP($B967,#REF!,7,FALSE)</f>
        <v>#REF!</v>
      </c>
      <c r="G967" s="10"/>
      <c r="H967" s="10"/>
      <c r="I967" s="11" t="e">
        <f>VLOOKUP($B967,#REF!,19,FALSE)</f>
        <v>#REF!</v>
      </c>
      <c r="J967" s="11" t="e">
        <f>VLOOKUP($B967,#REF!,6,FALSE)</f>
        <v>#REF!</v>
      </c>
      <c r="L967" s="3">
        <v>44655.336805552448</v>
      </c>
      <c r="M967" s="15"/>
    </row>
    <row r="968" spans="2:13">
      <c r="B968" s="7"/>
      <c r="C968" s="8" t="e">
        <f>VLOOKUP($B968,#REF!,5,FALSE)</f>
        <v>#REF!</v>
      </c>
      <c r="D968" s="8" t="e">
        <f>VLOOKUP($B968,#REF!,6,FALSE)</f>
        <v>#REF!</v>
      </c>
      <c r="E968" s="9" t="e">
        <f>VLOOKUP($B968,#REF!,17,FALSE)</f>
        <v>#REF!</v>
      </c>
      <c r="F968" s="10" t="e">
        <f>VLOOKUP($B968,#REF!,7,FALSE)</f>
        <v>#REF!</v>
      </c>
      <c r="G968" s="10"/>
      <c r="H968" s="10"/>
      <c r="I968" s="11" t="e">
        <f>VLOOKUP($B968,#REF!,19,FALSE)</f>
        <v>#REF!</v>
      </c>
      <c r="J968" s="11" t="e">
        <f>VLOOKUP($B968,#REF!,6,FALSE)</f>
        <v>#REF!</v>
      </c>
      <c r="L968" s="3">
        <v>44655.340277774667</v>
      </c>
      <c r="M968" s="15"/>
    </row>
    <row r="969" spans="2:13">
      <c r="B969" s="7"/>
      <c r="C969" s="8" t="e">
        <f>VLOOKUP($B969,#REF!,5,FALSE)</f>
        <v>#REF!</v>
      </c>
      <c r="D969" s="8" t="e">
        <f>VLOOKUP($B969,#REF!,6,FALSE)</f>
        <v>#REF!</v>
      </c>
      <c r="E969" s="9" t="e">
        <f>VLOOKUP($B969,#REF!,17,FALSE)</f>
        <v>#REF!</v>
      </c>
      <c r="F969" s="10" t="e">
        <f>VLOOKUP($B969,#REF!,7,FALSE)</f>
        <v>#REF!</v>
      </c>
      <c r="G969" s="10"/>
      <c r="H969" s="10"/>
      <c r="I969" s="11" t="e">
        <f>VLOOKUP($B969,#REF!,19,FALSE)</f>
        <v>#REF!</v>
      </c>
      <c r="J969" s="11" t="e">
        <f>VLOOKUP($B969,#REF!,6,FALSE)</f>
        <v>#REF!</v>
      </c>
      <c r="L969" s="3">
        <v>44655.343749996886</v>
      </c>
      <c r="M969" s="15"/>
    </row>
    <row r="970" spans="2:13">
      <c r="B970" s="7"/>
      <c r="C970" s="8" t="e">
        <f>VLOOKUP($B970,#REF!,5,FALSE)</f>
        <v>#REF!</v>
      </c>
      <c r="D970" s="8" t="e">
        <f>VLOOKUP($B970,#REF!,6,FALSE)</f>
        <v>#REF!</v>
      </c>
      <c r="E970" s="9" t="e">
        <f>VLOOKUP($B970,#REF!,17,FALSE)</f>
        <v>#REF!</v>
      </c>
      <c r="F970" s="10" t="e">
        <f>VLOOKUP($B970,#REF!,7,FALSE)</f>
        <v>#REF!</v>
      </c>
      <c r="G970" s="10"/>
      <c r="H970" s="10"/>
      <c r="I970" s="11" t="e">
        <f>VLOOKUP($B970,#REF!,19,FALSE)</f>
        <v>#REF!</v>
      </c>
      <c r="J970" s="11" t="e">
        <f>VLOOKUP($B970,#REF!,6,FALSE)</f>
        <v>#REF!</v>
      </c>
      <c r="L970" s="3">
        <v>44655.347222219105</v>
      </c>
      <c r="M970" s="15"/>
    </row>
    <row r="971" spans="2:13">
      <c r="B971" s="7"/>
      <c r="C971" s="8" t="e">
        <f>VLOOKUP($B971,#REF!,5,FALSE)</f>
        <v>#REF!</v>
      </c>
      <c r="D971" s="8" t="e">
        <f>VLOOKUP($B971,#REF!,6,FALSE)</f>
        <v>#REF!</v>
      </c>
      <c r="E971" s="9" t="e">
        <f>VLOOKUP($B971,#REF!,17,FALSE)</f>
        <v>#REF!</v>
      </c>
      <c r="F971" s="10" t="e">
        <f>VLOOKUP($B971,#REF!,7,FALSE)</f>
        <v>#REF!</v>
      </c>
      <c r="G971" s="10"/>
      <c r="H971" s="10"/>
      <c r="I971" s="11" t="e">
        <f>VLOOKUP($B971,#REF!,19,FALSE)</f>
        <v>#REF!</v>
      </c>
      <c r="J971" s="11" t="e">
        <f>VLOOKUP($B971,#REF!,6,FALSE)</f>
        <v>#REF!</v>
      </c>
      <c r="L971" s="3">
        <v>44655.350694441324</v>
      </c>
      <c r="M971" s="15"/>
    </row>
    <row r="972" spans="2:13">
      <c r="B972" s="7"/>
      <c r="C972" s="8" t="e">
        <f>VLOOKUP($B972,#REF!,5,FALSE)</f>
        <v>#REF!</v>
      </c>
      <c r="D972" s="8" t="e">
        <f>VLOOKUP($B972,#REF!,6,FALSE)</f>
        <v>#REF!</v>
      </c>
      <c r="E972" s="9" t="e">
        <f>VLOOKUP($B972,#REF!,17,FALSE)</f>
        <v>#REF!</v>
      </c>
      <c r="F972" s="10" t="e">
        <f>VLOOKUP($B972,#REF!,7,FALSE)</f>
        <v>#REF!</v>
      </c>
      <c r="G972" s="10"/>
      <c r="H972" s="10"/>
      <c r="I972" s="11" t="e">
        <f>VLOOKUP($B972,#REF!,19,FALSE)</f>
        <v>#REF!</v>
      </c>
      <c r="J972" s="11" t="e">
        <f>VLOOKUP($B972,#REF!,6,FALSE)</f>
        <v>#REF!</v>
      </c>
      <c r="L972" s="3">
        <v>44655.354166663543</v>
      </c>
      <c r="M972" s="15"/>
    </row>
    <row r="973" spans="2:13">
      <c r="B973" s="7"/>
      <c r="C973" s="8" t="e">
        <f>VLOOKUP($B973,#REF!,5,FALSE)</f>
        <v>#REF!</v>
      </c>
      <c r="D973" s="8" t="e">
        <f>VLOOKUP($B973,#REF!,6,FALSE)</f>
        <v>#REF!</v>
      </c>
      <c r="E973" s="9" t="e">
        <f>VLOOKUP($B973,#REF!,17,FALSE)</f>
        <v>#REF!</v>
      </c>
      <c r="F973" s="10" t="e">
        <f>VLOOKUP($B973,#REF!,7,FALSE)</f>
        <v>#REF!</v>
      </c>
      <c r="G973" s="10"/>
      <c r="H973" s="10"/>
      <c r="I973" s="11" t="e">
        <f>VLOOKUP($B973,#REF!,19,FALSE)</f>
        <v>#REF!</v>
      </c>
      <c r="J973" s="11" t="e">
        <f>VLOOKUP($B973,#REF!,6,FALSE)</f>
        <v>#REF!</v>
      </c>
      <c r="L973" s="3">
        <v>44655.357638885762</v>
      </c>
      <c r="M973" s="15"/>
    </row>
    <row r="974" spans="2:13">
      <c r="B974" s="7"/>
      <c r="C974" s="8" t="e">
        <f>VLOOKUP($B974,#REF!,5,FALSE)</f>
        <v>#REF!</v>
      </c>
      <c r="D974" s="8" t="e">
        <f>VLOOKUP($B974,#REF!,6,FALSE)</f>
        <v>#REF!</v>
      </c>
      <c r="E974" s="9" t="e">
        <f>VLOOKUP($B974,#REF!,17,FALSE)</f>
        <v>#REF!</v>
      </c>
      <c r="F974" s="10" t="e">
        <f>VLOOKUP($B974,#REF!,7,FALSE)</f>
        <v>#REF!</v>
      </c>
      <c r="G974" s="10"/>
      <c r="H974" s="10"/>
      <c r="I974" s="11" t="e">
        <f>VLOOKUP($B974,#REF!,19,FALSE)</f>
        <v>#REF!</v>
      </c>
      <c r="J974" s="11" t="e">
        <f>VLOOKUP($B974,#REF!,6,FALSE)</f>
        <v>#REF!</v>
      </c>
      <c r="L974" s="3">
        <v>44655.361111107981</v>
      </c>
      <c r="M974" s="15"/>
    </row>
    <row r="975" spans="2:13">
      <c r="B975" s="7"/>
      <c r="C975" s="8" t="e">
        <f>VLOOKUP($B975,#REF!,5,FALSE)</f>
        <v>#REF!</v>
      </c>
      <c r="D975" s="8" t="e">
        <f>VLOOKUP($B975,#REF!,6,FALSE)</f>
        <v>#REF!</v>
      </c>
      <c r="E975" s="9" t="e">
        <f>VLOOKUP($B975,#REF!,17,FALSE)</f>
        <v>#REF!</v>
      </c>
      <c r="F975" s="10" t="e">
        <f>VLOOKUP($B975,#REF!,7,FALSE)</f>
        <v>#REF!</v>
      </c>
      <c r="G975" s="10"/>
      <c r="H975" s="10"/>
      <c r="I975" s="11" t="e">
        <f>VLOOKUP($B975,#REF!,19,FALSE)</f>
        <v>#REF!</v>
      </c>
      <c r="J975" s="11" t="e">
        <f>VLOOKUP($B975,#REF!,6,FALSE)</f>
        <v>#REF!</v>
      </c>
      <c r="L975" s="3">
        <v>44655.3645833302</v>
      </c>
      <c r="M975" s="15"/>
    </row>
    <row r="976" spans="2:13">
      <c r="B976" s="7"/>
      <c r="C976" s="8" t="e">
        <f>VLOOKUP($B976,#REF!,5,FALSE)</f>
        <v>#REF!</v>
      </c>
      <c r="D976" s="8" t="e">
        <f>VLOOKUP($B976,#REF!,6,FALSE)</f>
        <v>#REF!</v>
      </c>
      <c r="E976" s="9" t="e">
        <f>VLOOKUP($B976,#REF!,17,FALSE)</f>
        <v>#REF!</v>
      </c>
      <c r="F976" s="10" t="e">
        <f>VLOOKUP($B976,#REF!,7,FALSE)</f>
        <v>#REF!</v>
      </c>
      <c r="G976" s="10"/>
      <c r="H976" s="10"/>
      <c r="I976" s="11" t="e">
        <f>VLOOKUP($B976,#REF!,19,FALSE)</f>
        <v>#REF!</v>
      </c>
      <c r="J976" s="11" t="e">
        <f>VLOOKUP($B976,#REF!,6,FALSE)</f>
        <v>#REF!</v>
      </c>
      <c r="L976" s="3">
        <v>44655.368055552419</v>
      </c>
      <c r="M976" s="15"/>
    </row>
    <row r="977" spans="2:13">
      <c r="B977" s="7"/>
      <c r="C977" s="8" t="e">
        <f>VLOOKUP($B977,#REF!,5,FALSE)</f>
        <v>#REF!</v>
      </c>
      <c r="D977" s="8" t="e">
        <f>VLOOKUP($B977,#REF!,6,FALSE)</f>
        <v>#REF!</v>
      </c>
      <c r="E977" s="9" t="e">
        <f>VLOOKUP($B977,#REF!,17,FALSE)</f>
        <v>#REF!</v>
      </c>
      <c r="F977" s="10" t="e">
        <f>VLOOKUP($B977,#REF!,7,FALSE)</f>
        <v>#REF!</v>
      </c>
      <c r="G977" s="10"/>
      <c r="H977" s="10"/>
      <c r="I977" s="11" t="e">
        <f>VLOOKUP($B977,#REF!,19,FALSE)</f>
        <v>#REF!</v>
      </c>
      <c r="J977" s="11" t="e">
        <f>VLOOKUP($B977,#REF!,6,FALSE)</f>
        <v>#REF!</v>
      </c>
      <c r="L977" s="3">
        <v>44655.371527774638</v>
      </c>
      <c r="M977" s="15"/>
    </row>
    <row r="978" spans="2:13">
      <c r="B978" s="7"/>
      <c r="C978" s="8" t="e">
        <f>VLOOKUP($B978,#REF!,5,FALSE)</f>
        <v>#REF!</v>
      </c>
      <c r="D978" s="8" t="e">
        <f>VLOOKUP($B978,#REF!,6,FALSE)</f>
        <v>#REF!</v>
      </c>
      <c r="E978" s="9" t="e">
        <f>VLOOKUP($B978,#REF!,17,FALSE)</f>
        <v>#REF!</v>
      </c>
      <c r="F978" s="10" t="e">
        <f>VLOOKUP($B978,#REF!,7,FALSE)</f>
        <v>#REF!</v>
      </c>
      <c r="G978" s="10"/>
      <c r="H978" s="10"/>
      <c r="I978" s="11" t="e">
        <f>VLOOKUP($B978,#REF!,19,FALSE)</f>
        <v>#REF!</v>
      </c>
      <c r="J978" s="11" t="e">
        <f>VLOOKUP($B978,#REF!,6,FALSE)</f>
        <v>#REF!</v>
      </c>
      <c r="L978" s="3">
        <v>44655.374999996857</v>
      </c>
      <c r="M978" s="15"/>
    </row>
    <row r="979" spans="2:13">
      <c r="B979" s="7"/>
      <c r="C979" s="8" t="e">
        <f>VLOOKUP($B979,#REF!,5,FALSE)</f>
        <v>#REF!</v>
      </c>
      <c r="D979" s="8" t="e">
        <f>VLOOKUP($B979,#REF!,6,FALSE)</f>
        <v>#REF!</v>
      </c>
      <c r="E979" s="9" t="e">
        <f>VLOOKUP($B979,#REF!,17,FALSE)</f>
        <v>#REF!</v>
      </c>
      <c r="F979" s="10" t="e">
        <f>VLOOKUP($B979,#REF!,7,FALSE)</f>
        <v>#REF!</v>
      </c>
      <c r="G979" s="10"/>
      <c r="H979" s="10"/>
      <c r="I979" s="11" t="e">
        <f>VLOOKUP($B979,#REF!,19,FALSE)</f>
        <v>#REF!</v>
      </c>
      <c r="J979" s="11" t="e">
        <f>VLOOKUP($B979,#REF!,6,FALSE)</f>
        <v>#REF!</v>
      </c>
      <c r="L979" s="3">
        <v>44655.378472219076</v>
      </c>
      <c r="M979" s="15"/>
    </row>
    <row r="980" spans="2:13">
      <c r="B980" s="7"/>
      <c r="C980" s="8" t="e">
        <f>VLOOKUP($B980,#REF!,5,FALSE)</f>
        <v>#REF!</v>
      </c>
      <c r="D980" s="8" t="e">
        <f>VLOOKUP($B980,#REF!,6,FALSE)</f>
        <v>#REF!</v>
      </c>
      <c r="E980" s="9" t="e">
        <f>VLOOKUP($B980,#REF!,17,FALSE)</f>
        <v>#REF!</v>
      </c>
      <c r="F980" s="10" t="e">
        <f>VLOOKUP($B980,#REF!,7,FALSE)</f>
        <v>#REF!</v>
      </c>
      <c r="G980" s="10"/>
      <c r="H980" s="10"/>
      <c r="I980" s="11" t="e">
        <f>VLOOKUP($B980,#REF!,19,FALSE)</f>
        <v>#REF!</v>
      </c>
      <c r="J980" s="11" t="e">
        <f>VLOOKUP($B980,#REF!,6,FALSE)</f>
        <v>#REF!</v>
      </c>
      <c r="L980" s="3">
        <v>44655.381944441295</v>
      </c>
      <c r="M980" s="15"/>
    </row>
    <row r="981" spans="2:13">
      <c r="B981" s="7"/>
      <c r="C981" s="8" t="e">
        <f>VLOOKUP($B981,#REF!,5,FALSE)</f>
        <v>#REF!</v>
      </c>
      <c r="D981" s="8" t="e">
        <f>VLOOKUP($B981,#REF!,6,FALSE)</f>
        <v>#REF!</v>
      </c>
      <c r="E981" s="9" t="e">
        <f>VLOOKUP($B981,#REF!,17,FALSE)</f>
        <v>#REF!</v>
      </c>
      <c r="F981" s="10" t="e">
        <f>VLOOKUP($B981,#REF!,7,FALSE)</f>
        <v>#REF!</v>
      </c>
      <c r="G981" s="10"/>
      <c r="H981" s="10"/>
      <c r="I981" s="11" t="e">
        <f>VLOOKUP($B981,#REF!,19,FALSE)</f>
        <v>#REF!</v>
      </c>
      <c r="J981" s="11" t="e">
        <f>VLOOKUP($B981,#REF!,6,FALSE)</f>
        <v>#REF!</v>
      </c>
      <c r="L981" s="3">
        <v>44655.385416663514</v>
      </c>
      <c r="M981" s="15"/>
    </row>
    <row r="982" spans="2:13">
      <c r="B982" s="7"/>
      <c r="C982" s="8" t="e">
        <f>VLOOKUP($B982,#REF!,5,FALSE)</f>
        <v>#REF!</v>
      </c>
      <c r="D982" s="8" t="e">
        <f>VLOOKUP($B982,#REF!,6,FALSE)</f>
        <v>#REF!</v>
      </c>
      <c r="E982" s="9" t="e">
        <f>VLOOKUP($B982,#REF!,17,FALSE)</f>
        <v>#REF!</v>
      </c>
      <c r="F982" s="10" t="e">
        <f>VLOOKUP($B982,#REF!,7,FALSE)</f>
        <v>#REF!</v>
      </c>
      <c r="G982" s="10"/>
      <c r="H982" s="10"/>
      <c r="I982" s="11" t="e">
        <f>VLOOKUP($B982,#REF!,19,FALSE)</f>
        <v>#REF!</v>
      </c>
      <c r="J982" s="11" t="e">
        <f>VLOOKUP($B982,#REF!,6,FALSE)</f>
        <v>#REF!</v>
      </c>
      <c r="L982" s="3">
        <v>44655.388888885733</v>
      </c>
      <c r="M982" s="15"/>
    </row>
    <row r="983" spans="2:13">
      <c r="B983" s="7"/>
      <c r="C983" s="8" t="e">
        <f>VLOOKUP($B983,#REF!,5,FALSE)</f>
        <v>#REF!</v>
      </c>
      <c r="D983" s="8" t="e">
        <f>VLOOKUP($B983,#REF!,6,FALSE)</f>
        <v>#REF!</v>
      </c>
      <c r="E983" s="9" t="e">
        <f>VLOOKUP($B983,#REF!,17,FALSE)</f>
        <v>#REF!</v>
      </c>
      <c r="F983" s="10" t="e">
        <f>VLOOKUP($B983,#REF!,7,FALSE)</f>
        <v>#REF!</v>
      </c>
      <c r="G983" s="10"/>
      <c r="H983" s="10"/>
      <c r="I983" s="11" t="e">
        <f>VLOOKUP($B983,#REF!,19,FALSE)</f>
        <v>#REF!</v>
      </c>
      <c r="J983" s="11" t="e">
        <f>VLOOKUP($B983,#REF!,6,FALSE)</f>
        <v>#REF!</v>
      </c>
      <c r="L983" s="3">
        <v>44655.392361107952</v>
      </c>
      <c r="M983" s="15"/>
    </row>
    <row r="984" spans="2:13">
      <c r="B984" s="7"/>
      <c r="C984" s="8" t="e">
        <f>VLOOKUP($B984,#REF!,5,FALSE)</f>
        <v>#REF!</v>
      </c>
      <c r="D984" s="8" t="e">
        <f>VLOOKUP($B984,#REF!,6,FALSE)</f>
        <v>#REF!</v>
      </c>
      <c r="E984" s="9" t="e">
        <f>VLOOKUP($B984,#REF!,17,FALSE)</f>
        <v>#REF!</v>
      </c>
      <c r="F984" s="10" t="e">
        <f>VLOOKUP($B984,#REF!,7,FALSE)</f>
        <v>#REF!</v>
      </c>
      <c r="G984" s="10"/>
      <c r="H984" s="10"/>
      <c r="I984" s="11" t="e">
        <f>VLOOKUP($B984,#REF!,19,FALSE)</f>
        <v>#REF!</v>
      </c>
      <c r="J984" s="11" t="e">
        <f>VLOOKUP($B984,#REF!,6,FALSE)</f>
        <v>#REF!</v>
      </c>
      <c r="L984" s="3">
        <v>44655.395833330171</v>
      </c>
      <c r="M984" s="15"/>
    </row>
    <row r="985" spans="2:13">
      <c r="B985" s="7"/>
      <c r="C985" s="8" t="e">
        <f>VLOOKUP($B985,#REF!,5,FALSE)</f>
        <v>#REF!</v>
      </c>
      <c r="D985" s="8" t="e">
        <f>VLOOKUP($B985,#REF!,6,FALSE)</f>
        <v>#REF!</v>
      </c>
      <c r="E985" s="9" t="e">
        <f>VLOOKUP($B985,#REF!,17,FALSE)</f>
        <v>#REF!</v>
      </c>
      <c r="F985" s="10" t="e">
        <f>VLOOKUP($B985,#REF!,7,FALSE)</f>
        <v>#REF!</v>
      </c>
      <c r="G985" s="10"/>
      <c r="H985" s="10"/>
      <c r="I985" s="11" t="e">
        <f>VLOOKUP($B985,#REF!,19,FALSE)</f>
        <v>#REF!</v>
      </c>
      <c r="J985" s="11" t="e">
        <f>VLOOKUP($B985,#REF!,6,FALSE)</f>
        <v>#REF!</v>
      </c>
      <c r="L985" s="3">
        <v>44655.39930555239</v>
      </c>
      <c r="M985" s="15"/>
    </row>
    <row r="986" spans="2:13">
      <c r="B986" s="7"/>
      <c r="C986" s="8" t="e">
        <f>VLOOKUP($B986,#REF!,5,FALSE)</f>
        <v>#REF!</v>
      </c>
      <c r="D986" s="8" t="e">
        <f>VLOOKUP($B986,#REF!,6,FALSE)</f>
        <v>#REF!</v>
      </c>
      <c r="E986" s="9" t="e">
        <f>VLOOKUP($B986,#REF!,17,FALSE)</f>
        <v>#REF!</v>
      </c>
      <c r="F986" s="10" t="e">
        <f>VLOOKUP($B986,#REF!,7,FALSE)</f>
        <v>#REF!</v>
      </c>
      <c r="G986" s="10"/>
      <c r="H986" s="10"/>
      <c r="I986" s="11" t="e">
        <f>VLOOKUP($B986,#REF!,19,FALSE)</f>
        <v>#REF!</v>
      </c>
      <c r="J986" s="11" t="e">
        <f>VLOOKUP($B986,#REF!,6,FALSE)</f>
        <v>#REF!</v>
      </c>
      <c r="L986" s="3">
        <v>44655.402777774609</v>
      </c>
      <c r="M986" s="15"/>
    </row>
    <row r="987" spans="2:13">
      <c r="B987" s="7"/>
      <c r="C987" s="8" t="e">
        <f>VLOOKUP($B987,#REF!,5,FALSE)</f>
        <v>#REF!</v>
      </c>
      <c r="D987" s="8" t="e">
        <f>VLOOKUP($B987,#REF!,6,FALSE)</f>
        <v>#REF!</v>
      </c>
      <c r="E987" s="9" t="e">
        <f>VLOOKUP($B987,#REF!,17,FALSE)</f>
        <v>#REF!</v>
      </c>
      <c r="F987" s="10" t="e">
        <f>VLOOKUP($B987,#REF!,7,FALSE)</f>
        <v>#REF!</v>
      </c>
      <c r="G987" s="10"/>
      <c r="H987" s="10"/>
      <c r="I987" s="11" t="e">
        <f>VLOOKUP($B987,#REF!,19,FALSE)</f>
        <v>#REF!</v>
      </c>
      <c r="J987" s="11" t="e">
        <f>VLOOKUP($B987,#REF!,6,FALSE)</f>
        <v>#REF!</v>
      </c>
      <c r="L987" s="3">
        <v>44655.406249996828</v>
      </c>
      <c r="M987" s="15"/>
    </row>
    <row r="988" spans="2:13">
      <c r="B988" s="7"/>
      <c r="C988" s="8" t="e">
        <f>VLOOKUP($B988,#REF!,5,FALSE)</f>
        <v>#REF!</v>
      </c>
      <c r="D988" s="8" t="e">
        <f>VLOOKUP($B988,#REF!,6,FALSE)</f>
        <v>#REF!</v>
      </c>
      <c r="E988" s="9" t="e">
        <f>VLOOKUP($B988,#REF!,17,FALSE)</f>
        <v>#REF!</v>
      </c>
      <c r="F988" s="10" t="e">
        <f>VLOOKUP($B988,#REF!,7,FALSE)</f>
        <v>#REF!</v>
      </c>
      <c r="G988" s="10"/>
      <c r="H988" s="10"/>
      <c r="I988" s="11" t="e">
        <f>VLOOKUP($B988,#REF!,19,FALSE)</f>
        <v>#REF!</v>
      </c>
      <c r="J988" s="11" t="e">
        <f>VLOOKUP($B988,#REF!,6,FALSE)</f>
        <v>#REF!</v>
      </c>
      <c r="L988" s="3">
        <v>44655.409722219047</v>
      </c>
      <c r="M988" s="15"/>
    </row>
    <row r="989" spans="2:13">
      <c r="B989" s="7"/>
      <c r="C989" s="8" t="e">
        <f>VLOOKUP($B989,#REF!,5,FALSE)</f>
        <v>#REF!</v>
      </c>
      <c r="D989" s="8" t="e">
        <f>VLOOKUP($B989,#REF!,6,FALSE)</f>
        <v>#REF!</v>
      </c>
      <c r="E989" s="9" t="e">
        <f>VLOOKUP($B989,#REF!,17,FALSE)</f>
        <v>#REF!</v>
      </c>
      <c r="F989" s="10" t="e">
        <f>VLOOKUP($B989,#REF!,7,FALSE)</f>
        <v>#REF!</v>
      </c>
      <c r="G989" s="10"/>
      <c r="H989" s="10"/>
      <c r="I989" s="11" t="e">
        <f>VLOOKUP($B989,#REF!,19,FALSE)</f>
        <v>#REF!</v>
      </c>
      <c r="J989" s="11" t="e">
        <f>VLOOKUP($B989,#REF!,6,FALSE)</f>
        <v>#REF!</v>
      </c>
      <c r="L989" s="3">
        <v>44655.413194441266</v>
      </c>
      <c r="M989" s="15"/>
    </row>
    <row r="990" spans="2:13">
      <c r="B990" s="7"/>
      <c r="C990" s="8" t="e">
        <f>VLOOKUP($B990,#REF!,5,FALSE)</f>
        <v>#REF!</v>
      </c>
      <c r="D990" s="8" t="e">
        <f>VLOOKUP($B990,#REF!,6,FALSE)</f>
        <v>#REF!</v>
      </c>
      <c r="E990" s="9" t="e">
        <f>VLOOKUP($B990,#REF!,17,FALSE)</f>
        <v>#REF!</v>
      </c>
      <c r="F990" s="10" t="e">
        <f>VLOOKUP($B990,#REF!,7,FALSE)</f>
        <v>#REF!</v>
      </c>
      <c r="G990" s="10"/>
      <c r="H990" s="10"/>
      <c r="I990" s="11" t="e">
        <f>VLOOKUP($B990,#REF!,19,FALSE)</f>
        <v>#REF!</v>
      </c>
      <c r="J990" s="11" t="e">
        <f>VLOOKUP($B990,#REF!,6,FALSE)</f>
        <v>#REF!</v>
      </c>
      <c r="L990" s="3">
        <v>44655.416666663485</v>
      </c>
      <c r="M990" s="15"/>
    </row>
    <row r="991" spans="2:13">
      <c r="B991" s="7"/>
      <c r="C991" s="8" t="e">
        <f>VLOOKUP($B991,#REF!,5,FALSE)</f>
        <v>#REF!</v>
      </c>
      <c r="D991" s="8" t="e">
        <f>VLOOKUP($B991,#REF!,6,FALSE)</f>
        <v>#REF!</v>
      </c>
      <c r="E991" s="9" t="e">
        <f>VLOOKUP($B991,#REF!,17,FALSE)</f>
        <v>#REF!</v>
      </c>
      <c r="F991" s="10" t="e">
        <f>VLOOKUP($B991,#REF!,7,FALSE)</f>
        <v>#REF!</v>
      </c>
      <c r="G991" s="10"/>
      <c r="H991" s="10"/>
      <c r="I991" s="11" t="e">
        <f>VLOOKUP($B991,#REF!,19,FALSE)</f>
        <v>#REF!</v>
      </c>
      <c r="J991" s="11" t="e">
        <f>VLOOKUP($B991,#REF!,6,FALSE)</f>
        <v>#REF!</v>
      </c>
      <c r="L991" s="3">
        <v>44655.420138885704</v>
      </c>
      <c r="M991" s="15"/>
    </row>
    <row r="992" spans="2:13">
      <c r="B992" s="7"/>
      <c r="C992" s="8" t="e">
        <f>VLOOKUP($B992,#REF!,5,FALSE)</f>
        <v>#REF!</v>
      </c>
      <c r="D992" s="8" t="e">
        <f>VLOOKUP($B992,#REF!,6,FALSE)</f>
        <v>#REF!</v>
      </c>
      <c r="E992" s="9" t="e">
        <f>VLOOKUP($B992,#REF!,17,FALSE)</f>
        <v>#REF!</v>
      </c>
      <c r="F992" s="10" t="e">
        <f>VLOOKUP($B992,#REF!,7,FALSE)</f>
        <v>#REF!</v>
      </c>
      <c r="G992" s="10"/>
      <c r="H992" s="10"/>
      <c r="I992" s="11" t="e">
        <f>VLOOKUP($B992,#REF!,19,FALSE)</f>
        <v>#REF!</v>
      </c>
      <c r="J992" s="11" t="e">
        <f>VLOOKUP($B992,#REF!,6,FALSE)</f>
        <v>#REF!</v>
      </c>
      <c r="L992" s="3">
        <v>44655.423611107923</v>
      </c>
      <c r="M992" s="15"/>
    </row>
    <row r="993" spans="2:13">
      <c r="B993" s="7"/>
      <c r="C993" s="8" t="e">
        <f>VLOOKUP($B993,#REF!,5,FALSE)</f>
        <v>#REF!</v>
      </c>
      <c r="D993" s="8" t="e">
        <f>VLOOKUP($B993,#REF!,6,FALSE)</f>
        <v>#REF!</v>
      </c>
      <c r="E993" s="9" t="e">
        <f>VLOOKUP($B993,#REF!,17,FALSE)</f>
        <v>#REF!</v>
      </c>
      <c r="F993" s="10" t="e">
        <f>VLOOKUP($B993,#REF!,7,FALSE)</f>
        <v>#REF!</v>
      </c>
      <c r="G993" s="10"/>
      <c r="H993" s="10"/>
      <c r="I993" s="11" t="e">
        <f>VLOOKUP($B993,#REF!,19,FALSE)</f>
        <v>#REF!</v>
      </c>
      <c r="J993" s="11" t="e">
        <f>VLOOKUP($B993,#REF!,6,FALSE)</f>
        <v>#REF!</v>
      </c>
      <c r="L993" s="3">
        <v>44655.427083330142</v>
      </c>
      <c r="M993" s="15"/>
    </row>
    <row r="994" spans="2:13">
      <c r="B994" s="7"/>
      <c r="C994" s="8" t="e">
        <f>VLOOKUP($B994,#REF!,5,FALSE)</f>
        <v>#REF!</v>
      </c>
      <c r="D994" s="8" t="e">
        <f>VLOOKUP($B994,#REF!,6,FALSE)</f>
        <v>#REF!</v>
      </c>
      <c r="E994" s="9" t="e">
        <f>VLOOKUP($B994,#REF!,17,FALSE)</f>
        <v>#REF!</v>
      </c>
      <c r="F994" s="10" t="e">
        <f>VLOOKUP($B994,#REF!,7,FALSE)</f>
        <v>#REF!</v>
      </c>
      <c r="G994" s="10"/>
      <c r="H994" s="10"/>
      <c r="I994" s="11" t="e">
        <f>VLOOKUP($B994,#REF!,19,FALSE)</f>
        <v>#REF!</v>
      </c>
      <c r="J994" s="11" t="e">
        <f>VLOOKUP($B994,#REF!,6,FALSE)</f>
        <v>#REF!</v>
      </c>
      <c r="L994" s="3">
        <v>44655.430555552361</v>
      </c>
      <c r="M994" s="15"/>
    </row>
    <row r="995" spans="2:13">
      <c r="B995" s="7"/>
      <c r="C995" s="8" t="e">
        <f>VLOOKUP($B995,#REF!,5,FALSE)</f>
        <v>#REF!</v>
      </c>
      <c r="D995" s="8" t="e">
        <f>VLOOKUP($B995,#REF!,6,FALSE)</f>
        <v>#REF!</v>
      </c>
      <c r="E995" s="9" t="e">
        <f>VLOOKUP($B995,#REF!,17,FALSE)</f>
        <v>#REF!</v>
      </c>
      <c r="F995" s="10" t="e">
        <f>VLOOKUP($B995,#REF!,7,FALSE)</f>
        <v>#REF!</v>
      </c>
      <c r="G995" s="10"/>
      <c r="H995" s="10"/>
      <c r="I995" s="11" t="e">
        <f>VLOOKUP($B995,#REF!,19,FALSE)</f>
        <v>#REF!</v>
      </c>
      <c r="J995" s="11" t="e">
        <f>VLOOKUP($B995,#REF!,6,FALSE)</f>
        <v>#REF!</v>
      </c>
      <c r="L995" s="3">
        <v>44655.43402777458</v>
      </c>
      <c r="M995" s="15"/>
    </row>
    <row r="996" spans="2:13">
      <c r="B996" s="7"/>
      <c r="C996" s="8" t="e">
        <f>VLOOKUP($B996,#REF!,5,FALSE)</f>
        <v>#REF!</v>
      </c>
      <c r="D996" s="8" t="e">
        <f>VLOOKUP($B996,#REF!,6,FALSE)</f>
        <v>#REF!</v>
      </c>
      <c r="E996" s="9" t="e">
        <f>VLOOKUP($B996,#REF!,17,FALSE)</f>
        <v>#REF!</v>
      </c>
      <c r="F996" s="10" t="e">
        <f>VLOOKUP($B996,#REF!,7,FALSE)</f>
        <v>#REF!</v>
      </c>
      <c r="G996" s="10"/>
      <c r="H996" s="10"/>
      <c r="I996" s="11" t="e">
        <f>VLOOKUP($B996,#REF!,19,FALSE)</f>
        <v>#REF!</v>
      </c>
      <c r="J996" s="11" t="e">
        <f>VLOOKUP($B996,#REF!,6,FALSE)</f>
        <v>#REF!</v>
      </c>
      <c r="L996" s="3">
        <v>44655.437499996799</v>
      </c>
      <c r="M996" s="15"/>
    </row>
    <row r="997" spans="2:13">
      <c r="B997" s="7"/>
      <c r="C997" s="8" t="e">
        <f>VLOOKUP($B997,#REF!,5,FALSE)</f>
        <v>#REF!</v>
      </c>
      <c r="D997" s="8" t="e">
        <f>VLOOKUP($B997,#REF!,6,FALSE)</f>
        <v>#REF!</v>
      </c>
      <c r="E997" s="9" t="e">
        <f>VLOOKUP($B997,#REF!,17,FALSE)</f>
        <v>#REF!</v>
      </c>
      <c r="F997" s="10" t="e">
        <f>VLOOKUP($B997,#REF!,7,FALSE)</f>
        <v>#REF!</v>
      </c>
      <c r="G997" s="10"/>
      <c r="H997" s="10"/>
      <c r="I997" s="11" t="e">
        <f>VLOOKUP($B997,#REF!,19,FALSE)</f>
        <v>#REF!</v>
      </c>
      <c r="J997" s="11" t="e">
        <f>VLOOKUP($B997,#REF!,6,FALSE)</f>
        <v>#REF!</v>
      </c>
      <c r="L997" s="3">
        <v>44655.440972219018</v>
      </c>
      <c r="M997" s="15"/>
    </row>
    <row r="998" spans="2:13">
      <c r="B998" s="7"/>
      <c r="C998" s="8" t="e">
        <f>VLOOKUP($B998,#REF!,5,FALSE)</f>
        <v>#REF!</v>
      </c>
      <c r="D998" s="8" t="e">
        <f>VLOOKUP($B998,#REF!,6,FALSE)</f>
        <v>#REF!</v>
      </c>
      <c r="E998" s="9" t="e">
        <f>VLOOKUP($B998,#REF!,17,FALSE)</f>
        <v>#REF!</v>
      </c>
      <c r="F998" s="10" t="e">
        <f>VLOOKUP($B998,#REF!,7,FALSE)</f>
        <v>#REF!</v>
      </c>
      <c r="G998" s="10"/>
      <c r="H998" s="10"/>
      <c r="I998" s="11" t="e">
        <f>VLOOKUP($B998,#REF!,19,FALSE)</f>
        <v>#REF!</v>
      </c>
      <c r="J998" s="11" t="e">
        <f>VLOOKUP($B998,#REF!,6,FALSE)</f>
        <v>#REF!</v>
      </c>
      <c r="L998" s="3">
        <v>44655.444444441237</v>
      </c>
      <c r="M998" s="15"/>
    </row>
    <row r="999" spans="2:13">
      <c r="B999" s="7"/>
      <c r="C999" s="8" t="e">
        <f>VLOOKUP($B999,#REF!,5,FALSE)</f>
        <v>#REF!</v>
      </c>
      <c r="D999" s="8" t="e">
        <f>VLOOKUP($B999,#REF!,6,FALSE)</f>
        <v>#REF!</v>
      </c>
      <c r="E999" s="9" t="e">
        <f>VLOOKUP($B999,#REF!,17,FALSE)</f>
        <v>#REF!</v>
      </c>
      <c r="F999" s="10" t="e">
        <f>VLOOKUP($B999,#REF!,7,FALSE)</f>
        <v>#REF!</v>
      </c>
      <c r="G999" s="10"/>
      <c r="H999" s="10"/>
      <c r="I999" s="11" t="e">
        <f>VLOOKUP($B999,#REF!,19,FALSE)</f>
        <v>#REF!</v>
      </c>
      <c r="J999" s="11" t="e">
        <f>VLOOKUP($B999,#REF!,6,FALSE)</f>
        <v>#REF!</v>
      </c>
      <c r="L999" s="3">
        <v>44655.447916663456</v>
      </c>
      <c r="M999" s="15"/>
    </row>
    <row r="1000" spans="2:13">
      <c r="B1000" s="7"/>
      <c r="C1000" s="8" t="e">
        <f>VLOOKUP($B1000,#REF!,5,FALSE)</f>
        <v>#REF!</v>
      </c>
      <c r="D1000" s="8" t="e">
        <f>VLOOKUP($B1000,#REF!,6,FALSE)</f>
        <v>#REF!</v>
      </c>
      <c r="E1000" s="9" t="e">
        <f>VLOOKUP($B1000,#REF!,17,FALSE)</f>
        <v>#REF!</v>
      </c>
      <c r="F1000" s="10" t="e">
        <f>VLOOKUP($B1000,#REF!,7,FALSE)</f>
        <v>#REF!</v>
      </c>
      <c r="G1000" s="10"/>
      <c r="H1000" s="10"/>
      <c r="I1000" s="11" t="e">
        <f>VLOOKUP($B1000,#REF!,19,FALSE)</f>
        <v>#REF!</v>
      </c>
      <c r="J1000" s="11" t="e">
        <f>VLOOKUP($B1000,#REF!,6,FALSE)</f>
        <v>#REF!</v>
      </c>
      <c r="L1000" s="3">
        <v>44655.451388885675</v>
      </c>
      <c r="M1000" s="15"/>
    </row>
    <row r="1001" spans="2:13">
      <c r="B1001" s="7"/>
      <c r="C1001" s="8" t="e">
        <f>VLOOKUP($B1001,#REF!,5,FALSE)</f>
        <v>#REF!</v>
      </c>
      <c r="D1001" s="8" t="e">
        <f>VLOOKUP($B1001,#REF!,6,FALSE)</f>
        <v>#REF!</v>
      </c>
      <c r="E1001" s="9" t="e">
        <f>VLOOKUP($B1001,#REF!,17,FALSE)</f>
        <v>#REF!</v>
      </c>
      <c r="F1001" s="10" t="e">
        <f>VLOOKUP($B1001,#REF!,7,FALSE)</f>
        <v>#REF!</v>
      </c>
      <c r="G1001" s="10"/>
      <c r="H1001" s="10"/>
      <c r="I1001" s="11" t="e">
        <f>VLOOKUP($B1001,#REF!,19,FALSE)</f>
        <v>#REF!</v>
      </c>
      <c r="J1001" s="11" t="e">
        <f>VLOOKUP($B1001,#REF!,6,FALSE)</f>
        <v>#REF!</v>
      </c>
      <c r="L1001" s="3">
        <v>44655.454861107894</v>
      </c>
      <c r="M1001" s="15"/>
    </row>
    <row r="1002" spans="2:13">
      <c r="B1002" s="7"/>
      <c r="C1002" s="8" t="e">
        <f>VLOOKUP($B1002,#REF!,5,FALSE)</f>
        <v>#REF!</v>
      </c>
      <c r="D1002" s="8" t="e">
        <f>VLOOKUP($B1002,#REF!,6,FALSE)</f>
        <v>#REF!</v>
      </c>
      <c r="E1002" s="9" t="e">
        <f>VLOOKUP($B1002,#REF!,17,FALSE)</f>
        <v>#REF!</v>
      </c>
      <c r="F1002" s="10" t="e">
        <f>VLOOKUP($B1002,#REF!,7,FALSE)</f>
        <v>#REF!</v>
      </c>
      <c r="G1002" s="10"/>
      <c r="H1002" s="10"/>
      <c r="I1002" s="11" t="e">
        <f>VLOOKUP($B1002,#REF!,19,FALSE)</f>
        <v>#REF!</v>
      </c>
      <c r="J1002" s="11" t="e">
        <f>VLOOKUP($B1002,#REF!,6,FALSE)</f>
        <v>#REF!</v>
      </c>
      <c r="L1002" s="3">
        <v>44655.458333330113</v>
      </c>
      <c r="M1002" s="15"/>
    </row>
    <row r="1003" spans="2:13">
      <c r="B1003" s="7"/>
      <c r="C1003" s="8" t="e">
        <f>VLOOKUP($B1003,#REF!,5,FALSE)</f>
        <v>#REF!</v>
      </c>
      <c r="D1003" s="8" t="e">
        <f>VLOOKUP($B1003,#REF!,6,FALSE)</f>
        <v>#REF!</v>
      </c>
      <c r="E1003" s="9" t="e">
        <f>VLOOKUP($B1003,#REF!,17,FALSE)</f>
        <v>#REF!</v>
      </c>
      <c r="F1003" s="10" t="e">
        <f>VLOOKUP($B1003,#REF!,7,FALSE)</f>
        <v>#REF!</v>
      </c>
      <c r="G1003" s="10"/>
      <c r="H1003" s="10"/>
      <c r="I1003" s="11" t="e">
        <f>VLOOKUP($B1003,#REF!,19,FALSE)</f>
        <v>#REF!</v>
      </c>
      <c r="J1003" s="11" t="e">
        <f>VLOOKUP($B1003,#REF!,6,FALSE)</f>
        <v>#REF!</v>
      </c>
      <c r="L1003" s="3">
        <v>44655.461805552331</v>
      </c>
      <c r="M1003" s="15"/>
    </row>
    <row r="1004" spans="2:13">
      <c r="B1004" s="7"/>
      <c r="C1004" s="8" t="e">
        <f>VLOOKUP($B1004,#REF!,5,FALSE)</f>
        <v>#REF!</v>
      </c>
      <c r="D1004" s="8" t="e">
        <f>VLOOKUP($B1004,#REF!,6,FALSE)</f>
        <v>#REF!</v>
      </c>
      <c r="E1004" s="9" t="e">
        <f>VLOOKUP($B1004,#REF!,17,FALSE)</f>
        <v>#REF!</v>
      </c>
      <c r="F1004" s="10" t="e">
        <f>VLOOKUP($B1004,#REF!,7,FALSE)</f>
        <v>#REF!</v>
      </c>
      <c r="G1004" s="10"/>
      <c r="H1004" s="10"/>
      <c r="I1004" s="11" t="e">
        <f>VLOOKUP($B1004,#REF!,19,FALSE)</f>
        <v>#REF!</v>
      </c>
      <c r="J1004" s="11" t="e">
        <f>VLOOKUP($B1004,#REF!,6,FALSE)</f>
        <v>#REF!</v>
      </c>
      <c r="L1004" s="3">
        <v>44655.46527777455</v>
      </c>
      <c r="M1004" s="15"/>
    </row>
    <row r="1005" spans="2:13">
      <c r="B1005" s="7"/>
      <c r="C1005" s="8" t="e">
        <f>VLOOKUP($B1005,#REF!,5,FALSE)</f>
        <v>#REF!</v>
      </c>
      <c r="D1005" s="8" t="e">
        <f>VLOOKUP($B1005,#REF!,6,FALSE)</f>
        <v>#REF!</v>
      </c>
      <c r="E1005" s="9" t="e">
        <f>VLOOKUP($B1005,#REF!,17,FALSE)</f>
        <v>#REF!</v>
      </c>
      <c r="F1005" s="10" t="e">
        <f>VLOOKUP($B1005,#REF!,7,FALSE)</f>
        <v>#REF!</v>
      </c>
      <c r="G1005" s="10"/>
      <c r="H1005" s="10"/>
      <c r="I1005" s="11" t="e">
        <f>VLOOKUP($B1005,#REF!,19,FALSE)</f>
        <v>#REF!</v>
      </c>
      <c r="J1005" s="11" t="e">
        <f>VLOOKUP($B1005,#REF!,6,FALSE)</f>
        <v>#REF!</v>
      </c>
      <c r="L1005" s="3">
        <v>44655.468749996769</v>
      </c>
      <c r="M1005" s="15"/>
    </row>
    <row r="1006" spans="2:13">
      <c r="B1006" s="7"/>
      <c r="C1006" s="8" t="e">
        <f>VLOOKUP($B1006,#REF!,5,FALSE)</f>
        <v>#REF!</v>
      </c>
      <c r="D1006" s="8" t="e">
        <f>VLOOKUP($B1006,#REF!,6,FALSE)</f>
        <v>#REF!</v>
      </c>
      <c r="E1006" s="9" t="e">
        <f>VLOOKUP($B1006,#REF!,17,FALSE)</f>
        <v>#REF!</v>
      </c>
      <c r="F1006" s="10" t="e">
        <f>VLOOKUP($B1006,#REF!,7,FALSE)</f>
        <v>#REF!</v>
      </c>
      <c r="G1006" s="10"/>
      <c r="H1006" s="10"/>
      <c r="I1006" s="11" t="e">
        <f>VLOOKUP($B1006,#REF!,19,FALSE)</f>
        <v>#REF!</v>
      </c>
      <c r="J1006" s="11" t="e">
        <f>VLOOKUP($B1006,#REF!,6,FALSE)</f>
        <v>#REF!</v>
      </c>
      <c r="L1006" s="3">
        <v>44655.472222218988</v>
      </c>
      <c r="M1006" s="15"/>
    </row>
    <row r="1007" spans="2:13">
      <c r="B1007" s="7"/>
      <c r="C1007" s="8" t="e">
        <f>VLOOKUP($B1007,#REF!,5,FALSE)</f>
        <v>#REF!</v>
      </c>
      <c r="D1007" s="8" t="e">
        <f>VLOOKUP($B1007,#REF!,6,FALSE)</f>
        <v>#REF!</v>
      </c>
      <c r="E1007" s="9" t="e">
        <f>VLOOKUP($B1007,#REF!,17,FALSE)</f>
        <v>#REF!</v>
      </c>
      <c r="F1007" s="10" t="e">
        <f>VLOOKUP($B1007,#REF!,7,FALSE)</f>
        <v>#REF!</v>
      </c>
      <c r="G1007" s="10"/>
      <c r="H1007" s="10"/>
      <c r="I1007" s="11" t="e">
        <f>VLOOKUP($B1007,#REF!,19,FALSE)</f>
        <v>#REF!</v>
      </c>
      <c r="J1007" s="11" t="e">
        <f>VLOOKUP($B1007,#REF!,6,FALSE)</f>
        <v>#REF!</v>
      </c>
      <c r="L1007" s="3">
        <v>44655.475694441207</v>
      </c>
      <c r="M1007" s="15"/>
    </row>
    <row r="1008" spans="2:13">
      <c r="B1008" s="7"/>
      <c r="C1008" s="8" t="e">
        <f>VLOOKUP($B1008,#REF!,5,FALSE)</f>
        <v>#REF!</v>
      </c>
      <c r="D1008" s="8" t="e">
        <f>VLOOKUP($B1008,#REF!,6,FALSE)</f>
        <v>#REF!</v>
      </c>
      <c r="E1008" s="9" t="e">
        <f>VLOOKUP($B1008,#REF!,17,FALSE)</f>
        <v>#REF!</v>
      </c>
      <c r="F1008" s="10" t="e">
        <f>VLOOKUP($B1008,#REF!,7,FALSE)</f>
        <v>#REF!</v>
      </c>
      <c r="G1008" s="10"/>
      <c r="H1008" s="10"/>
      <c r="I1008" s="11" t="e">
        <f>VLOOKUP($B1008,#REF!,19,FALSE)</f>
        <v>#REF!</v>
      </c>
      <c r="J1008" s="11" t="e">
        <f>VLOOKUP($B1008,#REF!,6,FALSE)</f>
        <v>#REF!</v>
      </c>
      <c r="L1008" s="3">
        <v>44655.479166663426</v>
      </c>
      <c r="M1008" s="15"/>
    </row>
    <row r="1009" spans="2:13">
      <c r="B1009" s="7"/>
      <c r="C1009" s="8" t="e">
        <f>VLOOKUP($B1009,#REF!,5,FALSE)</f>
        <v>#REF!</v>
      </c>
      <c r="D1009" s="8" t="e">
        <f>VLOOKUP($B1009,#REF!,6,FALSE)</f>
        <v>#REF!</v>
      </c>
      <c r="E1009" s="9" t="e">
        <f>VLOOKUP($B1009,#REF!,17,FALSE)</f>
        <v>#REF!</v>
      </c>
      <c r="F1009" s="10" t="e">
        <f>VLOOKUP($B1009,#REF!,7,FALSE)</f>
        <v>#REF!</v>
      </c>
      <c r="G1009" s="10"/>
      <c r="H1009" s="10"/>
      <c r="I1009" s="11" t="e">
        <f>VLOOKUP($B1009,#REF!,19,FALSE)</f>
        <v>#REF!</v>
      </c>
      <c r="J1009" s="11" t="e">
        <f>VLOOKUP($B1009,#REF!,6,FALSE)</f>
        <v>#REF!</v>
      </c>
      <c r="L1009" s="3">
        <v>44655.482638885645</v>
      </c>
      <c r="M1009" s="15"/>
    </row>
    <row r="1010" spans="2:13">
      <c r="B1010" s="7"/>
      <c r="C1010" s="8" t="e">
        <f>VLOOKUP($B1010,#REF!,5,FALSE)</f>
        <v>#REF!</v>
      </c>
      <c r="D1010" s="8" t="e">
        <f>VLOOKUP($B1010,#REF!,6,FALSE)</f>
        <v>#REF!</v>
      </c>
      <c r="E1010" s="9" t="e">
        <f>VLOOKUP($B1010,#REF!,17,FALSE)</f>
        <v>#REF!</v>
      </c>
      <c r="F1010" s="10" t="e">
        <f>VLOOKUP($B1010,#REF!,7,FALSE)</f>
        <v>#REF!</v>
      </c>
      <c r="G1010" s="10"/>
      <c r="H1010" s="10"/>
      <c r="I1010" s="11" t="e">
        <f>VLOOKUP($B1010,#REF!,19,FALSE)</f>
        <v>#REF!</v>
      </c>
      <c r="J1010" s="11" t="e">
        <f>VLOOKUP($B1010,#REF!,6,FALSE)</f>
        <v>#REF!</v>
      </c>
      <c r="L1010" s="3">
        <v>44655.486111107864</v>
      </c>
      <c r="M1010" s="15"/>
    </row>
    <row r="1011" spans="2:13">
      <c r="B1011" s="7"/>
      <c r="C1011" s="8" t="e">
        <f>VLOOKUP($B1011,#REF!,5,FALSE)</f>
        <v>#REF!</v>
      </c>
      <c r="D1011" s="8" t="e">
        <f>VLOOKUP($B1011,#REF!,6,FALSE)</f>
        <v>#REF!</v>
      </c>
      <c r="E1011" s="9" t="e">
        <f>VLOOKUP($B1011,#REF!,17,FALSE)</f>
        <v>#REF!</v>
      </c>
      <c r="F1011" s="10" t="e">
        <f>VLOOKUP($B1011,#REF!,7,FALSE)</f>
        <v>#REF!</v>
      </c>
      <c r="G1011" s="10"/>
      <c r="H1011" s="10"/>
      <c r="I1011" s="11" t="e">
        <f>VLOOKUP($B1011,#REF!,19,FALSE)</f>
        <v>#REF!</v>
      </c>
      <c r="J1011" s="11" t="e">
        <f>VLOOKUP($B1011,#REF!,6,FALSE)</f>
        <v>#REF!</v>
      </c>
      <c r="L1011" s="3">
        <v>44655.489583330083</v>
      </c>
      <c r="M1011" s="15"/>
    </row>
    <row r="1012" spans="2:13">
      <c r="B1012" s="7"/>
      <c r="C1012" s="8" t="e">
        <f>VLOOKUP($B1012,#REF!,5,FALSE)</f>
        <v>#REF!</v>
      </c>
      <c r="D1012" s="8" t="e">
        <f>VLOOKUP($B1012,#REF!,6,FALSE)</f>
        <v>#REF!</v>
      </c>
      <c r="E1012" s="9" t="e">
        <f>VLOOKUP($B1012,#REF!,17,FALSE)</f>
        <v>#REF!</v>
      </c>
      <c r="F1012" s="10" t="e">
        <f>VLOOKUP($B1012,#REF!,7,FALSE)</f>
        <v>#REF!</v>
      </c>
      <c r="G1012" s="10"/>
      <c r="H1012" s="10"/>
      <c r="I1012" s="11" t="e">
        <f>VLOOKUP($B1012,#REF!,19,FALSE)</f>
        <v>#REF!</v>
      </c>
      <c r="J1012" s="11" t="e">
        <f>VLOOKUP($B1012,#REF!,6,FALSE)</f>
        <v>#REF!</v>
      </c>
      <c r="L1012" s="3">
        <v>44655.493055552302</v>
      </c>
      <c r="M1012" s="15"/>
    </row>
    <row r="1013" spans="2:13">
      <c r="B1013" s="7"/>
      <c r="C1013" s="8" t="e">
        <f>VLOOKUP($B1013,#REF!,5,FALSE)</f>
        <v>#REF!</v>
      </c>
      <c r="D1013" s="8" t="e">
        <f>VLOOKUP($B1013,#REF!,6,FALSE)</f>
        <v>#REF!</v>
      </c>
      <c r="E1013" s="9" t="e">
        <f>VLOOKUP($B1013,#REF!,17,FALSE)</f>
        <v>#REF!</v>
      </c>
      <c r="F1013" s="10" t="e">
        <f>VLOOKUP($B1013,#REF!,7,FALSE)</f>
        <v>#REF!</v>
      </c>
      <c r="G1013" s="10"/>
      <c r="H1013" s="10"/>
      <c r="I1013" s="11" t="e">
        <f>VLOOKUP($B1013,#REF!,19,FALSE)</f>
        <v>#REF!</v>
      </c>
      <c r="J1013" s="11" t="e">
        <f>VLOOKUP($B1013,#REF!,6,FALSE)</f>
        <v>#REF!</v>
      </c>
      <c r="L1013" s="3">
        <v>44655.496527774521</v>
      </c>
      <c r="M1013" s="15"/>
    </row>
    <row r="1014" spans="2:13">
      <c r="B1014" s="7"/>
      <c r="C1014" s="8" t="e">
        <f>VLOOKUP($B1014,#REF!,5,FALSE)</f>
        <v>#REF!</v>
      </c>
      <c r="D1014" s="8" t="e">
        <f>VLOOKUP($B1014,#REF!,6,FALSE)</f>
        <v>#REF!</v>
      </c>
      <c r="E1014" s="9" t="e">
        <f>VLOOKUP($B1014,#REF!,17,FALSE)</f>
        <v>#REF!</v>
      </c>
      <c r="F1014" s="10" t="e">
        <f>VLOOKUP($B1014,#REF!,7,FALSE)</f>
        <v>#REF!</v>
      </c>
      <c r="G1014" s="10"/>
      <c r="H1014" s="10"/>
      <c r="I1014" s="11" t="e">
        <f>VLOOKUP($B1014,#REF!,19,FALSE)</f>
        <v>#REF!</v>
      </c>
      <c r="J1014" s="11" t="e">
        <f>VLOOKUP($B1014,#REF!,6,FALSE)</f>
        <v>#REF!</v>
      </c>
      <c r="L1014" s="3">
        <v>44655.49999999674</v>
      </c>
      <c r="M1014" s="15"/>
    </row>
    <row r="1015" spans="2:13">
      <c r="B1015" s="7"/>
      <c r="C1015" s="8" t="e">
        <f>VLOOKUP($B1015,#REF!,5,FALSE)</f>
        <v>#REF!</v>
      </c>
      <c r="D1015" s="8" t="e">
        <f>VLOOKUP($B1015,#REF!,6,FALSE)</f>
        <v>#REF!</v>
      </c>
      <c r="E1015" s="9" t="e">
        <f>VLOOKUP($B1015,#REF!,17,FALSE)</f>
        <v>#REF!</v>
      </c>
      <c r="F1015" s="10" t="e">
        <f>VLOOKUP($B1015,#REF!,7,FALSE)</f>
        <v>#REF!</v>
      </c>
      <c r="G1015" s="10"/>
      <c r="H1015" s="10"/>
      <c r="I1015" s="11" t="e">
        <f>VLOOKUP($B1015,#REF!,19,FALSE)</f>
        <v>#REF!</v>
      </c>
      <c r="J1015" s="11" t="e">
        <f>VLOOKUP($B1015,#REF!,6,FALSE)</f>
        <v>#REF!</v>
      </c>
      <c r="L1015" s="3">
        <v>44655.503472218959</v>
      </c>
      <c r="M1015" s="15"/>
    </row>
    <row r="1016" spans="2:13">
      <c r="B1016" s="7"/>
      <c r="C1016" s="8" t="e">
        <f>VLOOKUP($B1016,#REF!,5,FALSE)</f>
        <v>#REF!</v>
      </c>
      <c r="D1016" s="8" t="e">
        <f>VLOOKUP($B1016,#REF!,6,FALSE)</f>
        <v>#REF!</v>
      </c>
      <c r="E1016" s="9" t="e">
        <f>VLOOKUP($B1016,#REF!,17,FALSE)</f>
        <v>#REF!</v>
      </c>
      <c r="F1016" s="10" t="e">
        <f>VLOOKUP($B1016,#REF!,7,FALSE)</f>
        <v>#REF!</v>
      </c>
      <c r="G1016" s="10"/>
      <c r="H1016" s="10"/>
      <c r="I1016" s="11" t="e">
        <f>VLOOKUP($B1016,#REF!,19,FALSE)</f>
        <v>#REF!</v>
      </c>
      <c r="J1016" s="11" t="e">
        <f>VLOOKUP($B1016,#REF!,6,FALSE)</f>
        <v>#REF!</v>
      </c>
      <c r="L1016" s="3">
        <v>44655.506944441178</v>
      </c>
      <c r="M1016" s="15"/>
    </row>
    <row r="1017" spans="2:13">
      <c r="B1017" s="7"/>
      <c r="C1017" s="8" t="e">
        <f>VLOOKUP($B1017,#REF!,5,FALSE)</f>
        <v>#REF!</v>
      </c>
      <c r="D1017" s="8" t="e">
        <f>VLOOKUP($B1017,#REF!,6,FALSE)</f>
        <v>#REF!</v>
      </c>
      <c r="E1017" s="9" t="e">
        <f>VLOOKUP($B1017,#REF!,17,FALSE)</f>
        <v>#REF!</v>
      </c>
      <c r="F1017" s="10" t="e">
        <f>VLOOKUP($B1017,#REF!,7,FALSE)</f>
        <v>#REF!</v>
      </c>
      <c r="G1017" s="10"/>
      <c r="H1017" s="10"/>
      <c r="I1017" s="11" t="e">
        <f>VLOOKUP($B1017,#REF!,19,FALSE)</f>
        <v>#REF!</v>
      </c>
      <c r="J1017" s="11" t="e">
        <f>VLOOKUP($B1017,#REF!,6,FALSE)</f>
        <v>#REF!</v>
      </c>
      <c r="L1017" s="3">
        <v>44655.510416663397</v>
      </c>
      <c r="M1017" s="15"/>
    </row>
    <row r="1018" spans="2:13">
      <c r="B1018" s="7"/>
      <c r="C1018" s="8" t="e">
        <f>VLOOKUP($B1018,#REF!,5,FALSE)</f>
        <v>#REF!</v>
      </c>
      <c r="D1018" s="8" t="e">
        <f>VLOOKUP($B1018,#REF!,6,FALSE)</f>
        <v>#REF!</v>
      </c>
      <c r="E1018" s="9" t="e">
        <f>VLOOKUP($B1018,#REF!,17,FALSE)</f>
        <v>#REF!</v>
      </c>
      <c r="F1018" s="10" t="e">
        <f>VLOOKUP($B1018,#REF!,7,FALSE)</f>
        <v>#REF!</v>
      </c>
      <c r="G1018" s="10"/>
      <c r="H1018" s="10"/>
      <c r="I1018" s="11" t="e">
        <f>VLOOKUP($B1018,#REF!,19,FALSE)</f>
        <v>#REF!</v>
      </c>
      <c r="J1018" s="11" t="e">
        <f>VLOOKUP($B1018,#REF!,6,FALSE)</f>
        <v>#REF!</v>
      </c>
      <c r="L1018" s="3">
        <v>44655.513888885616</v>
      </c>
      <c r="M1018" s="15"/>
    </row>
    <row r="1019" spans="2:13">
      <c r="B1019" s="7"/>
      <c r="C1019" s="8" t="e">
        <f>VLOOKUP($B1019,#REF!,5,FALSE)</f>
        <v>#REF!</v>
      </c>
      <c r="D1019" s="8" t="e">
        <f>VLOOKUP($B1019,#REF!,6,FALSE)</f>
        <v>#REF!</v>
      </c>
      <c r="E1019" s="9" t="e">
        <f>VLOOKUP($B1019,#REF!,17,FALSE)</f>
        <v>#REF!</v>
      </c>
      <c r="F1019" s="10" t="e">
        <f>VLOOKUP($B1019,#REF!,7,FALSE)</f>
        <v>#REF!</v>
      </c>
      <c r="G1019" s="10"/>
      <c r="H1019" s="10"/>
      <c r="I1019" s="11" t="e">
        <f>VLOOKUP($B1019,#REF!,19,FALSE)</f>
        <v>#REF!</v>
      </c>
      <c r="J1019" s="11" t="e">
        <f>VLOOKUP($B1019,#REF!,6,FALSE)</f>
        <v>#REF!</v>
      </c>
      <c r="L1019" s="3">
        <v>44655.517361107835</v>
      </c>
      <c r="M1019" s="15"/>
    </row>
    <row r="1020" spans="2:13">
      <c r="B1020" s="7"/>
      <c r="C1020" s="8" t="e">
        <f>VLOOKUP($B1020,#REF!,5,FALSE)</f>
        <v>#REF!</v>
      </c>
      <c r="D1020" s="8" t="e">
        <f>VLOOKUP($B1020,#REF!,6,FALSE)</f>
        <v>#REF!</v>
      </c>
      <c r="E1020" s="9" t="e">
        <f>VLOOKUP($B1020,#REF!,17,FALSE)</f>
        <v>#REF!</v>
      </c>
      <c r="F1020" s="10" t="e">
        <f>VLOOKUP($B1020,#REF!,7,FALSE)</f>
        <v>#REF!</v>
      </c>
      <c r="G1020" s="10"/>
      <c r="H1020" s="10"/>
      <c r="I1020" s="11" t="e">
        <f>VLOOKUP($B1020,#REF!,19,FALSE)</f>
        <v>#REF!</v>
      </c>
      <c r="J1020" s="11" t="e">
        <f>VLOOKUP($B1020,#REF!,6,FALSE)</f>
        <v>#REF!</v>
      </c>
      <c r="L1020" s="3">
        <v>44655.520833330054</v>
      </c>
      <c r="M1020" s="15"/>
    </row>
    <row r="1021" spans="2:13">
      <c r="B1021" s="7"/>
      <c r="C1021" s="8" t="e">
        <f>VLOOKUP($B1021,#REF!,5,FALSE)</f>
        <v>#REF!</v>
      </c>
      <c r="D1021" s="8" t="e">
        <f>VLOOKUP($B1021,#REF!,6,FALSE)</f>
        <v>#REF!</v>
      </c>
      <c r="E1021" s="9" t="e">
        <f>VLOOKUP($B1021,#REF!,17,FALSE)</f>
        <v>#REF!</v>
      </c>
      <c r="F1021" s="10" t="e">
        <f>VLOOKUP($B1021,#REF!,7,FALSE)</f>
        <v>#REF!</v>
      </c>
      <c r="G1021" s="10"/>
      <c r="H1021" s="10"/>
      <c r="I1021" s="11" t="e">
        <f>VLOOKUP($B1021,#REF!,19,FALSE)</f>
        <v>#REF!</v>
      </c>
      <c r="J1021" s="11" t="e">
        <f>VLOOKUP($B1021,#REF!,6,FALSE)</f>
        <v>#REF!</v>
      </c>
      <c r="L1021" s="3">
        <v>44655.524305552273</v>
      </c>
      <c r="M1021" s="15"/>
    </row>
    <row r="1022" spans="2:13">
      <c r="B1022" s="7"/>
      <c r="C1022" s="8" t="e">
        <f>VLOOKUP($B1022,#REF!,5,FALSE)</f>
        <v>#REF!</v>
      </c>
      <c r="D1022" s="8" t="e">
        <f>VLOOKUP($B1022,#REF!,6,FALSE)</f>
        <v>#REF!</v>
      </c>
      <c r="E1022" s="9" t="e">
        <f>VLOOKUP($B1022,#REF!,17,FALSE)</f>
        <v>#REF!</v>
      </c>
      <c r="F1022" s="10" t="e">
        <f>VLOOKUP($B1022,#REF!,7,FALSE)</f>
        <v>#REF!</v>
      </c>
      <c r="G1022" s="10"/>
      <c r="H1022" s="10"/>
      <c r="I1022" s="11" t="e">
        <f>VLOOKUP($B1022,#REF!,19,FALSE)</f>
        <v>#REF!</v>
      </c>
      <c r="J1022" s="11" t="e">
        <f>VLOOKUP($B1022,#REF!,6,FALSE)</f>
        <v>#REF!</v>
      </c>
      <c r="L1022" s="3">
        <v>44655.527777774492</v>
      </c>
      <c r="M1022" s="15"/>
    </row>
    <row r="1023" spans="2:13">
      <c r="B1023" s="7"/>
      <c r="C1023" s="8" t="e">
        <f>VLOOKUP($B1023,#REF!,5,FALSE)</f>
        <v>#REF!</v>
      </c>
      <c r="D1023" s="8" t="e">
        <f>VLOOKUP($B1023,#REF!,6,FALSE)</f>
        <v>#REF!</v>
      </c>
      <c r="E1023" s="9" t="e">
        <f>VLOOKUP($B1023,#REF!,17,FALSE)</f>
        <v>#REF!</v>
      </c>
      <c r="F1023" s="10" t="e">
        <f>VLOOKUP($B1023,#REF!,7,FALSE)</f>
        <v>#REF!</v>
      </c>
      <c r="G1023" s="10"/>
      <c r="H1023" s="10"/>
      <c r="I1023" s="11" t="e">
        <f>VLOOKUP($B1023,#REF!,19,FALSE)</f>
        <v>#REF!</v>
      </c>
      <c r="J1023" s="11" t="e">
        <f>VLOOKUP($B1023,#REF!,6,FALSE)</f>
        <v>#REF!</v>
      </c>
      <c r="L1023" s="3">
        <v>44655.531249996711</v>
      </c>
      <c r="M1023" s="15"/>
    </row>
    <row r="1024" spans="2:13">
      <c r="B1024" s="7"/>
      <c r="C1024" s="8" t="e">
        <f>VLOOKUP($B1024,#REF!,5,FALSE)</f>
        <v>#REF!</v>
      </c>
      <c r="D1024" s="8" t="e">
        <f>VLOOKUP($B1024,#REF!,6,FALSE)</f>
        <v>#REF!</v>
      </c>
      <c r="E1024" s="9" t="e">
        <f>VLOOKUP($B1024,#REF!,17,FALSE)</f>
        <v>#REF!</v>
      </c>
      <c r="F1024" s="10" t="e">
        <f>VLOOKUP($B1024,#REF!,7,FALSE)</f>
        <v>#REF!</v>
      </c>
      <c r="G1024" s="10"/>
      <c r="H1024" s="10"/>
      <c r="I1024" s="11" t="e">
        <f>VLOOKUP($B1024,#REF!,19,FALSE)</f>
        <v>#REF!</v>
      </c>
      <c r="J1024" s="11" t="e">
        <f>VLOOKUP($B1024,#REF!,6,FALSE)</f>
        <v>#REF!</v>
      </c>
      <c r="L1024" s="3">
        <v>44655.53472221893</v>
      </c>
      <c r="M1024" s="15"/>
    </row>
    <row r="1025" spans="2:13">
      <c r="B1025" s="7"/>
      <c r="C1025" s="8" t="e">
        <f>VLOOKUP($B1025,#REF!,5,FALSE)</f>
        <v>#REF!</v>
      </c>
      <c r="D1025" s="8" t="e">
        <f>VLOOKUP($B1025,#REF!,6,FALSE)</f>
        <v>#REF!</v>
      </c>
      <c r="E1025" s="9" t="e">
        <f>VLOOKUP($B1025,#REF!,17,FALSE)</f>
        <v>#REF!</v>
      </c>
      <c r="F1025" s="10" t="e">
        <f>VLOOKUP($B1025,#REF!,7,FALSE)</f>
        <v>#REF!</v>
      </c>
      <c r="G1025" s="10"/>
      <c r="H1025" s="10"/>
      <c r="I1025" s="11" t="e">
        <f>VLOOKUP($B1025,#REF!,19,FALSE)</f>
        <v>#REF!</v>
      </c>
      <c r="J1025" s="11" t="e">
        <f>VLOOKUP($B1025,#REF!,6,FALSE)</f>
        <v>#REF!</v>
      </c>
      <c r="L1025" s="3">
        <v>44655.538194441149</v>
      </c>
      <c r="M1025" s="15"/>
    </row>
    <row r="1026" spans="2:13">
      <c r="B1026" s="7"/>
      <c r="C1026" s="8" t="e">
        <f>VLOOKUP($B1026,#REF!,5,FALSE)</f>
        <v>#REF!</v>
      </c>
      <c r="D1026" s="8" t="e">
        <f>VLOOKUP($B1026,#REF!,6,FALSE)</f>
        <v>#REF!</v>
      </c>
      <c r="E1026" s="9" t="e">
        <f>VLOOKUP($B1026,#REF!,17,FALSE)</f>
        <v>#REF!</v>
      </c>
      <c r="F1026" s="10" t="e">
        <f>VLOOKUP($B1026,#REF!,7,FALSE)</f>
        <v>#REF!</v>
      </c>
      <c r="G1026" s="10"/>
      <c r="H1026" s="10"/>
      <c r="I1026" s="11" t="e">
        <f>VLOOKUP($B1026,#REF!,19,FALSE)</f>
        <v>#REF!</v>
      </c>
      <c r="J1026" s="11" t="e">
        <f>VLOOKUP($B1026,#REF!,6,FALSE)</f>
        <v>#REF!</v>
      </c>
      <c r="L1026" s="3">
        <v>44655.541666663368</v>
      </c>
      <c r="M1026" s="15"/>
    </row>
    <row r="1027" spans="2:13">
      <c r="B1027" s="7"/>
      <c r="C1027" s="8" t="e">
        <f>VLOOKUP($B1027,#REF!,5,FALSE)</f>
        <v>#REF!</v>
      </c>
      <c r="D1027" s="8" t="e">
        <f>VLOOKUP($B1027,#REF!,6,FALSE)</f>
        <v>#REF!</v>
      </c>
      <c r="E1027" s="9" t="e">
        <f>VLOOKUP($B1027,#REF!,17,FALSE)</f>
        <v>#REF!</v>
      </c>
      <c r="F1027" s="10" t="e">
        <f>VLOOKUP($B1027,#REF!,7,FALSE)</f>
        <v>#REF!</v>
      </c>
      <c r="G1027" s="10"/>
      <c r="H1027" s="10"/>
      <c r="I1027" s="11" t="e">
        <f>VLOOKUP($B1027,#REF!,19,FALSE)</f>
        <v>#REF!</v>
      </c>
      <c r="J1027" s="11" t="e">
        <f>VLOOKUP($B1027,#REF!,6,FALSE)</f>
        <v>#REF!</v>
      </c>
      <c r="L1027" s="3">
        <v>44655.545138885587</v>
      </c>
      <c r="M1027" s="15"/>
    </row>
    <row r="1028" spans="2:13">
      <c r="B1028" s="7"/>
      <c r="C1028" s="8" t="e">
        <f>VLOOKUP($B1028,#REF!,5,FALSE)</f>
        <v>#REF!</v>
      </c>
      <c r="D1028" s="8" t="e">
        <f>VLOOKUP($B1028,#REF!,6,FALSE)</f>
        <v>#REF!</v>
      </c>
      <c r="E1028" s="9" t="e">
        <f>VLOOKUP($B1028,#REF!,17,FALSE)</f>
        <v>#REF!</v>
      </c>
      <c r="F1028" s="10" t="e">
        <f>VLOOKUP($B1028,#REF!,7,FALSE)</f>
        <v>#REF!</v>
      </c>
      <c r="G1028" s="10"/>
      <c r="H1028" s="10"/>
      <c r="I1028" s="11" t="e">
        <f>VLOOKUP($B1028,#REF!,19,FALSE)</f>
        <v>#REF!</v>
      </c>
      <c r="J1028" s="11" t="e">
        <f>VLOOKUP($B1028,#REF!,6,FALSE)</f>
        <v>#REF!</v>
      </c>
      <c r="L1028" s="3">
        <v>44655.548611107806</v>
      </c>
      <c r="M1028" s="15"/>
    </row>
    <row r="1029" spans="2:13">
      <c r="B1029" s="7"/>
      <c r="C1029" s="8" t="e">
        <f>VLOOKUP($B1029,#REF!,5,FALSE)</f>
        <v>#REF!</v>
      </c>
      <c r="D1029" s="8" t="e">
        <f>VLOOKUP($B1029,#REF!,6,FALSE)</f>
        <v>#REF!</v>
      </c>
      <c r="E1029" s="9" t="e">
        <f>VLOOKUP($B1029,#REF!,17,FALSE)</f>
        <v>#REF!</v>
      </c>
      <c r="F1029" s="10" t="e">
        <f>VLOOKUP($B1029,#REF!,7,FALSE)</f>
        <v>#REF!</v>
      </c>
      <c r="G1029" s="10"/>
      <c r="H1029" s="10"/>
      <c r="I1029" s="11" t="e">
        <f>VLOOKUP($B1029,#REF!,19,FALSE)</f>
        <v>#REF!</v>
      </c>
      <c r="J1029" s="11" t="e">
        <f>VLOOKUP($B1029,#REF!,6,FALSE)</f>
        <v>#REF!</v>
      </c>
      <c r="L1029" s="3">
        <v>44655.552083330025</v>
      </c>
      <c r="M1029" s="15"/>
    </row>
    <row r="1030" spans="2:13">
      <c r="B1030" s="7"/>
      <c r="C1030" s="8" t="e">
        <f>VLOOKUP($B1030,#REF!,5,FALSE)</f>
        <v>#REF!</v>
      </c>
      <c r="D1030" s="8" t="e">
        <f>VLOOKUP($B1030,#REF!,6,FALSE)</f>
        <v>#REF!</v>
      </c>
      <c r="E1030" s="9" t="e">
        <f>VLOOKUP($B1030,#REF!,17,FALSE)</f>
        <v>#REF!</v>
      </c>
      <c r="F1030" s="10" t="e">
        <f>VLOOKUP($B1030,#REF!,7,FALSE)</f>
        <v>#REF!</v>
      </c>
      <c r="G1030" s="10"/>
      <c r="H1030" s="10"/>
      <c r="I1030" s="11" t="e">
        <f>VLOOKUP($B1030,#REF!,19,FALSE)</f>
        <v>#REF!</v>
      </c>
      <c r="J1030" s="11" t="e">
        <f>VLOOKUP($B1030,#REF!,6,FALSE)</f>
        <v>#REF!</v>
      </c>
      <c r="L1030" s="3">
        <v>44655.555555552244</v>
      </c>
      <c r="M1030" s="15"/>
    </row>
    <row r="1031" spans="2:13">
      <c r="B1031" s="7"/>
      <c r="C1031" s="8" t="e">
        <f>VLOOKUP($B1031,#REF!,5,FALSE)</f>
        <v>#REF!</v>
      </c>
      <c r="D1031" s="8" t="e">
        <f>VLOOKUP($B1031,#REF!,6,FALSE)</f>
        <v>#REF!</v>
      </c>
      <c r="E1031" s="9" t="e">
        <f>VLOOKUP($B1031,#REF!,17,FALSE)</f>
        <v>#REF!</v>
      </c>
      <c r="F1031" s="10" t="e">
        <f>VLOOKUP($B1031,#REF!,7,FALSE)</f>
        <v>#REF!</v>
      </c>
      <c r="G1031" s="10"/>
      <c r="H1031" s="10"/>
      <c r="I1031" s="11" t="e">
        <f>VLOOKUP($B1031,#REF!,19,FALSE)</f>
        <v>#REF!</v>
      </c>
      <c r="J1031" s="11" t="e">
        <f>VLOOKUP($B1031,#REF!,6,FALSE)</f>
        <v>#REF!</v>
      </c>
      <c r="L1031" s="3">
        <v>44655.559027774463</v>
      </c>
      <c r="M1031" s="15"/>
    </row>
    <row r="1032" spans="2:13">
      <c r="B1032" s="7"/>
      <c r="C1032" s="8" t="e">
        <f>VLOOKUP($B1032,#REF!,5,FALSE)</f>
        <v>#REF!</v>
      </c>
      <c r="D1032" s="8" t="e">
        <f>VLOOKUP($B1032,#REF!,6,FALSE)</f>
        <v>#REF!</v>
      </c>
      <c r="E1032" s="9" t="e">
        <f>VLOOKUP($B1032,#REF!,17,FALSE)</f>
        <v>#REF!</v>
      </c>
      <c r="F1032" s="10" t="e">
        <f>VLOOKUP($B1032,#REF!,7,FALSE)</f>
        <v>#REF!</v>
      </c>
      <c r="G1032" s="10"/>
      <c r="H1032" s="10"/>
      <c r="I1032" s="11" t="e">
        <f>VLOOKUP($B1032,#REF!,19,FALSE)</f>
        <v>#REF!</v>
      </c>
      <c r="J1032" s="11" t="e">
        <f>VLOOKUP($B1032,#REF!,6,FALSE)</f>
        <v>#REF!</v>
      </c>
      <c r="L1032" s="3">
        <v>44655.562499996682</v>
      </c>
      <c r="M1032" s="15"/>
    </row>
    <row r="1033" spans="2:13">
      <c r="B1033" s="7"/>
      <c r="C1033" s="8" t="e">
        <f>VLOOKUP($B1033,#REF!,5,FALSE)</f>
        <v>#REF!</v>
      </c>
      <c r="D1033" s="8" t="e">
        <f>VLOOKUP($B1033,#REF!,6,FALSE)</f>
        <v>#REF!</v>
      </c>
      <c r="E1033" s="9" t="e">
        <f>VLOOKUP($B1033,#REF!,17,FALSE)</f>
        <v>#REF!</v>
      </c>
      <c r="F1033" s="10" t="e">
        <f>VLOOKUP($B1033,#REF!,7,FALSE)</f>
        <v>#REF!</v>
      </c>
      <c r="G1033" s="10"/>
      <c r="H1033" s="10"/>
      <c r="I1033" s="11" t="e">
        <f>VLOOKUP($B1033,#REF!,19,FALSE)</f>
        <v>#REF!</v>
      </c>
      <c r="J1033" s="11" t="e">
        <f>VLOOKUP($B1033,#REF!,6,FALSE)</f>
        <v>#REF!</v>
      </c>
      <c r="L1033" s="3">
        <v>44655.565972218901</v>
      </c>
      <c r="M1033" s="15"/>
    </row>
    <row r="1034" spans="2:13">
      <c r="B1034" s="7"/>
      <c r="C1034" s="8" t="e">
        <f>VLOOKUP($B1034,#REF!,5,FALSE)</f>
        <v>#REF!</v>
      </c>
      <c r="D1034" s="8" t="e">
        <f>VLOOKUP($B1034,#REF!,6,FALSE)</f>
        <v>#REF!</v>
      </c>
      <c r="E1034" s="9" t="e">
        <f>VLOOKUP($B1034,#REF!,17,FALSE)</f>
        <v>#REF!</v>
      </c>
      <c r="F1034" s="10" t="e">
        <f>VLOOKUP($B1034,#REF!,7,FALSE)</f>
        <v>#REF!</v>
      </c>
      <c r="G1034" s="10"/>
      <c r="H1034" s="10"/>
      <c r="I1034" s="11" t="e">
        <f>VLOOKUP($B1034,#REF!,19,FALSE)</f>
        <v>#REF!</v>
      </c>
      <c r="J1034" s="11" t="e">
        <f>VLOOKUP($B1034,#REF!,6,FALSE)</f>
        <v>#REF!</v>
      </c>
      <c r="L1034" s="3">
        <v>44655.56944444112</v>
      </c>
      <c r="M1034" s="15"/>
    </row>
    <row r="1035" spans="2:13">
      <c r="B1035" s="7"/>
      <c r="C1035" s="8" t="e">
        <f>VLOOKUP($B1035,#REF!,5,FALSE)</f>
        <v>#REF!</v>
      </c>
      <c r="D1035" s="8" t="e">
        <f>VLOOKUP($B1035,#REF!,6,FALSE)</f>
        <v>#REF!</v>
      </c>
      <c r="E1035" s="9" t="e">
        <f>VLOOKUP($B1035,#REF!,17,FALSE)</f>
        <v>#REF!</v>
      </c>
      <c r="F1035" s="10" t="e">
        <f>VLOOKUP($B1035,#REF!,7,FALSE)</f>
        <v>#REF!</v>
      </c>
      <c r="G1035" s="10"/>
      <c r="H1035" s="10"/>
      <c r="I1035" s="11" t="e">
        <f>VLOOKUP($B1035,#REF!,19,FALSE)</f>
        <v>#REF!</v>
      </c>
      <c r="J1035" s="11" t="e">
        <f>VLOOKUP($B1035,#REF!,6,FALSE)</f>
        <v>#REF!</v>
      </c>
      <c r="L1035" s="3">
        <v>44655.572916663339</v>
      </c>
      <c r="M1035" s="15"/>
    </row>
    <row r="1036" spans="2:13">
      <c r="B1036" s="7"/>
      <c r="C1036" s="8" t="e">
        <f>VLOOKUP($B1036,#REF!,5,FALSE)</f>
        <v>#REF!</v>
      </c>
      <c r="D1036" s="8" t="e">
        <f>VLOOKUP($B1036,#REF!,6,FALSE)</f>
        <v>#REF!</v>
      </c>
      <c r="E1036" s="9" t="e">
        <f>VLOOKUP($B1036,#REF!,17,FALSE)</f>
        <v>#REF!</v>
      </c>
      <c r="F1036" s="10" t="e">
        <f>VLOOKUP($B1036,#REF!,7,FALSE)</f>
        <v>#REF!</v>
      </c>
      <c r="G1036" s="10"/>
      <c r="H1036" s="10"/>
      <c r="I1036" s="11" t="e">
        <f>VLOOKUP($B1036,#REF!,19,FALSE)</f>
        <v>#REF!</v>
      </c>
      <c r="J1036" s="11" t="e">
        <f>VLOOKUP($B1036,#REF!,6,FALSE)</f>
        <v>#REF!</v>
      </c>
      <c r="L1036" s="3">
        <v>44655.576388885558</v>
      </c>
      <c r="M1036" s="15"/>
    </row>
    <row r="1037" spans="2:13">
      <c r="B1037" s="7"/>
      <c r="C1037" s="8" t="e">
        <f>VLOOKUP($B1037,#REF!,5,FALSE)</f>
        <v>#REF!</v>
      </c>
      <c r="D1037" s="8" t="e">
        <f>VLOOKUP($B1037,#REF!,6,FALSE)</f>
        <v>#REF!</v>
      </c>
      <c r="E1037" s="9" t="e">
        <f>VLOOKUP($B1037,#REF!,17,FALSE)</f>
        <v>#REF!</v>
      </c>
      <c r="F1037" s="10" t="e">
        <f>VLOOKUP($B1037,#REF!,7,FALSE)</f>
        <v>#REF!</v>
      </c>
      <c r="G1037" s="10"/>
      <c r="H1037" s="10"/>
      <c r="I1037" s="11" t="e">
        <f>VLOOKUP($B1037,#REF!,19,FALSE)</f>
        <v>#REF!</v>
      </c>
      <c r="J1037" s="11" t="e">
        <f>VLOOKUP($B1037,#REF!,6,FALSE)</f>
        <v>#REF!</v>
      </c>
      <c r="L1037" s="3">
        <v>44655.579861107777</v>
      </c>
      <c r="M1037" s="15"/>
    </row>
    <row r="1038" spans="2:13">
      <c r="B1038" s="7"/>
      <c r="C1038" s="8" t="e">
        <f>VLOOKUP($B1038,#REF!,5,FALSE)</f>
        <v>#REF!</v>
      </c>
      <c r="D1038" s="8" t="e">
        <f>VLOOKUP($B1038,#REF!,6,FALSE)</f>
        <v>#REF!</v>
      </c>
      <c r="E1038" s="9" t="e">
        <f>VLOOKUP($B1038,#REF!,17,FALSE)</f>
        <v>#REF!</v>
      </c>
      <c r="F1038" s="10" t="e">
        <f>VLOOKUP($B1038,#REF!,7,FALSE)</f>
        <v>#REF!</v>
      </c>
      <c r="G1038" s="10"/>
      <c r="H1038" s="10"/>
      <c r="I1038" s="11" t="e">
        <f>VLOOKUP($B1038,#REF!,19,FALSE)</f>
        <v>#REF!</v>
      </c>
      <c r="J1038" s="11" t="e">
        <f>VLOOKUP($B1038,#REF!,6,FALSE)</f>
        <v>#REF!</v>
      </c>
      <c r="L1038" s="3">
        <v>44655.583333329996</v>
      </c>
      <c r="M1038" s="15"/>
    </row>
    <row r="1039" spans="2:13">
      <c r="B1039" s="7"/>
      <c r="C1039" s="8" t="e">
        <f>VLOOKUP($B1039,#REF!,5,FALSE)</f>
        <v>#REF!</v>
      </c>
      <c r="D1039" s="8" t="e">
        <f>VLOOKUP($B1039,#REF!,6,FALSE)</f>
        <v>#REF!</v>
      </c>
      <c r="E1039" s="9" t="e">
        <f>VLOOKUP($B1039,#REF!,17,FALSE)</f>
        <v>#REF!</v>
      </c>
      <c r="F1039" s="10" t="e">
        <f>VLOOKUP($B1039,#REF!,7,FALSE)</f>
        <v>#REF!</v>
      </c>
      <c r="G1039" s="10"/>
      <c r="H1039" s="10"/>
      <c r="I1039" s="11" t="e">
        <f>VLOOKUP($B1039,#REF!,19,FALSE)</f>
        <v>#REF!</v>
      </c>
      <c r="J1039" s="11" t="e">
        <f>VLOOKUP($B1039,#REF!,6,FALSE)</f>
        <v>#REF!</v>
      </c>
      <c r="L1039" s="3">
        <v>44655.586805552215</v>
      </c>
      <c r="M1039" s="15"/>
    </row>
    <row r="1040" spans="2:13">
      <c r="B1040" s="7"/>
      <c r="C1040" s="8" t="e">
        <f>VLOOKUP($B1040,#REF!,5,FALSE)</f>
        <v>#REF!</v>
      </c>
      <c r="D1040" s="8" t="e">
        <f>VLOOKUP($B1040,#REF!,6,FALSE)</f>
        <v>#REF!</v>
      </c>
      <c r="E1040" s="9" t="e">
        <f>VLOOKUP($B1040,#REF!,17,FALSE)</f>
        <v>#REF!</v>
      </c>
      <c r="F1040" s="10" t="e">
        <f>VLOOKUP($B1040,#REF!,7,FALSE)</f>
        <v>#REF!</v>
      </c>
      <c r="G1040" s="10"/>
      <c r="H1040" s="10"/>
      <c r="I1040" s="11" t="e">
        <f>VLOOKUP($B1040,#REF!,19,FALSE)</f>
        <v>#REF!</v>
      </c>
      <c r="J1040" s="11" t="e">
        <f>VLOOKUP($B1040,#REF!,6,FALSE)</f>
        <v>#REF!</v>
      </c>
      <c r="L1040" s="3">
        <v>44655.590277774434</v>
      </c>
      <c r="M1040" s="15"/>
    </row>
    <row r="1041" spans="2:13">
      <c r="B1041" s="7"/>
      <c r="C1041" s="8" t="e">
        <f>VLOOKUP($B1041,#REF!,5,FALSE)</f>
        <v>#REF!</v>
      </c>
      <c r="D1041" s="8" t="e">
        <f>VLOOKUP($B1041,#REF!,6,FALSE)</f>
        <v>#REF!</v>
      </c>
      <c r="E1041" s="9" t="e">
        <f>VLOOKUP($B1041,#REF!,17,FALSE)</f>
        <v>#REF!</v>
      </c>
      <c r="F1041" s="10" t="e">
        <f>VLOOKUP($B1041,#REF!,7,FALSE)</f>
        <v>#REF!</v>
      </c>
      <c r="G1041" s="10"/>
      <c r="H1041" s="10"/>
      <c r="I1041" s="11" t="e">
        <f>VLOOKUP($B1041,#REF!,19,FALSE)</f>
        <v>#REF!</v>
      </c>
      <c r="J1041" s="11" t="e">
        <f>VLOOKUP($B1041,#REF!,6,FALSE)</f>
        <v>#REF!</v>
      </c>
      <c r="L1041" s="3">
        <v>44655.593749996653</v>
      </c>
      <c r="M1041" s="15"/>
    </row>
    <row r="1042" spans="2:13">
      <c r="B1042" s="7"/>
      <c r="C1042" s="8" t="e">
        <f>VLOOKUP($B1042,#REF!,5,FALSE)</f>
        <v>#REF!</v>
      </c>
      <c r="D1042" s="8" t="e">
        <f>VLOOKUP($B1042,#REF!,6,FALSE)</f>
        <v>#REF!</v>
      </c>
      <c r="E1042" s="9" t="e">
        <f>VLOOKUP($B1042,#REF!,17,FALSE)</f>
        <v>#REF!</v>
      </c>
      <c r="F1042" s="10" t="e">
        <f>VLOOKUP($B1042,#REF!,7,FALSE)</f>
        <v>#REF!</v>
      </c>
      <c r="G1042" s="10"/>
      <c r="H1042" s="10"/>
      <c r="I1042" s="11" t="e">
        <f>VLOOKUP($B1042,#REF!,19,FALSE)</f>
        <v>#REF!</v>
      </c>
      <c r="J1042" s="11" t="e">
        <f>VLOOKUP($B1042,#REF!,6,FALSE)</f>
        <v>#REF!</v>
      </c>
      <c r="L1042" s="3">
        <v>44655.597222218872</v>
      </c>
      <c r="M1042" s="15"/>
    </row>
    <row r="1043" spans="2:13">
      <c r="B1043" s="7"/>
      <c r="C1043" s="8" t="e">
        <f>VLOOKUP($B1043,#REF!,5,FALSE)</f>
        <v>#REF!</v>
      </c>
      <c r="D1043" s="8" t="e">
        <f>VLOOKUP($B1043,#REF!,6,FALSE)</f>
        <v>#REF!</v>
      </c>
      <c r="E1043" s="9" t="e">
        <f>VLOOKUP($B1043,#REF!,17,FALSE)</f>
        <v>#REF!</v>
      </c>
      <c r="F1043" s="10" t="e">
        <f>VLOOKUP($B1043,#REF!,7,FALSE)</f>
        <v>#REF!</v>
      </c>
      <c r="G1043" s="10"/>
      <c r="H1043" s="10"/>
      <c r="I1043" s="11" t="e">
        <f>VLOOKUP($B1043,#REF!,19,FALSE)</f>
        <v>#REF!</v>
      </c>
      <c r="J1043" s="11" t="e">
        <f>VLOOKUP($B1043,#REF!,6,FALSE)</f>
        <v>#REF!</v>
      </c>
      <c r="L1043" s="3">
        <v>44655.600694441091</v>
      </c>
      <c r="M1043" s="15"/>
    </row>
    <row r="1044" spans="2:13">
      <c r="B1044" s="7"/>
      <c r="C1044" s="8" t="e">
        <f>VLOOKUP($B1044,#REF!,5,FALSE)</f>
        <v>#REF!</v>
      </c>
      <c r="D1044" s="8" t="e">
        <f>VLOOKUP($B1044,#REF!,6,FALSE)</f>
        <v>#REF!</v>
      </c>
      <c r="E1044" s="9" t="e">
        <f>VLOOKUP($B1044,#REF!,17,FALSE)</f>
        <v>#REF!</v>
      </c>
      <c r="F1044" s="10" t="e">
        <f>VLOOKUP($B1044,#REF!,7,FALSE)</f>
        <v>#REF!</v>
      </c>
      <c r="G1044" s="10"/>
      <c r="H1044" s="10"/>
      <c r="I1044" s="11" t="e">
        <f>VLOOKUP($B1044,#REF!,19,FALSE)</f>
        <v>#REF!</v>
      </c>
      <c r="J1044" s="11" t="e">
        <f>VLOOKUP($B1044,#REF!,6,FALSE)</f>
        <v>#REF!</v>
      </c>
      <c r="L1044" s="3">
        <v>44655.60416666331</v>
      </c>
      <c r="M1044" s="15"/>
    </row>
    <row r="1045" spans="2:13">
      <c r="B1045" s="7"/>
      <c r="C1045" s="8" t="e">
        <f>VLOOKUP($B1045,#REF!,5,FALSE)</f>
        <v>#REF!</v>
      </c>
      <c r="D1045" s="8" t="e">
        <f>VLOOKUP($B1045,#REF!,6,FALSE)</f>
        <v>#REF!</v>
      </c>
      <c r="E1045" s="9" t="e">
        <f>VLOOKUP($B1045,#REF!,17,FALSE)</f>
        <v>#REF!</v>
      </c>
      <c r="F1045" s="10" t="e">
        <f>VLOOKUP($B1045,#REF!,7,FALSE)</f>
        <v>#REF!</v>
      </c>
      <c r="G1045" s="10"/>
      <c r="H1045" s="10"/>
      <c r="I1045" s="11" t="e">
        <f>VLOOKUP($B1045,#REF!,19,FALSE)</f>
        <v>#REF!</v>
      </c>
      <c r="J1045" s="11" t="e">
        <f>VLOOKUP($B1045,#REF!,6,FALSE)</f>
        <v>#REF!</v>
      </c>
      <c r="L1045" s="3">
        <v>44655.607638885529</v>
      </c>
      <c r="M1045" s="15"/>
    </row>
    <row r="1046" spans="2:13">
      <c r="B1046" s="7"/>
      <c r="C1046" s="8" t="e">
        <f>VLOOKUP($B1046,#REF!,5,FALSE)</f>
        <v>#REF!</v>
      </c>
      <c r="D1046" s="8" t="e">
        <f>VLOOKUP($B1046,#REF!,6,FALSE)</f>
        <v>#REF!</v>
      </c>
      <c r="E1046" s="9" t="e">
        <f>VLOOKUP($B1046,#REF!,17,FALSE)</f>
        <v>#REF!</v>
      </c>
      <c r="F1046" s="10" t="e">
        <f>VLOOKUP($B1046,#REF!,7,FALSE)</f>
        <v>#REF!</v>
      </c>
      <c r="G1046" s="10"/>
      <c r="H1046" s="10"/>
      <c r="I1046" s="11" t="e">
        <f>VLOOKUP($B1046,#REF!,19,FALSE)</f>
        <v>#REF!</v>
      </c>
      <c r="J1046" s="11" t="e">
        <f>VLOOKUP($B1046,#REF!,6,FALSE)</f>
        <v>#REF!</v>
      </c>
      <c r="L1046" s="3">
        <v>44655.611111107748</v>
      </c>
      <c r="M1046" s="15"/>
    </row>
    <row r="1047" spans="2:13">
      <c r="B1047" s="7"/>
      <c r="C1047" s="8" t="e">
        <f>VLOOKUP($B1047,#REF!,5,FALSE)</f>
        <v>#REF!</v>
      </c>
      <c r="D1047" s="8" t="e">
        <f>VLOOKUP($B1047,#REF!,6,FALSE)</f>
        <v>#REF!</v>
      </c>
      <c r="E1047" s="9" t="e">
        <f>VLOOKUP($B1047,#REF!,17,FALSE)</f>
        <v>#REF!</v>
      </c>
      <c r="F1047" s="10" t="e">
        <f>VLOOKUP($B1047,#REF!,7,FALSE)</f>
        <v>#REF!</v>
      </c>
      <c r="G1047" s="10"/>
      <c r="H1047" s="10"/>
      <c r="I1047" s="11" t="e">
        <f>VLOOKUP($B1047,#REF!,19,FALSE)</f>
        <v>#REF!</v>
      </c>
      <c r="J1047" s="11" t="e">
        <f>VLOOKUP($B1047,#REF!,6,FALSE)</f>
        <v>#REF!</v>
      </c>
      <c r="L1047" s="3">
        <v>44655.614583329967</v>
      </c>
      <c r="M1047" s="15"/>
    </row>
    <row r="1048" spans="2:13">
      <c r="B1048" s="7"/>
      <c r="C1048" s="8" t="e">
        <f>VLOOKUP($B1048,#REF!,5,FALSE)</f>
        <v>#REF!</v>
      </c>
      <c r="D1048" s="8" t="e">
        <f>VLOOKUP($B1048,#REF!,6,FALSE)</f>
        <v>#REF!</v>
      </c>
      <c r="E1048" s="9" t="e">
        <f>VLOOKUP($B1048,#REF!,17,FALSE)</f>
        <v>#REF!</v>
      </c>
      <c r="F1048" s="10" t="e">
        <f>VLOOKUP($B1048,#REF!,7,FALSE)</f>
        <v>#REF!</v>
      </c>
      <c r="G1048" s="10"/>
      <c r="H1048" s="10"/>
      <c r="I1048" s="11" t="e">
        <f>VLOOKUP($B1048,#REF!,19,FALSE)</f>
        <v>#REF!</v>
      </c>
      <c r="J1048" s="11" t="e">
        <f>VLOOKUP($B1048,#REF!,6,FALSE)</f>
        <v>#REF!</v>
      </c>
      <c r="L1048" s="3">
        <v>44655.618055552186</v>
      </c>
      <c r="M1048" s="15"/>
    </row>
    <row r="1049" spans="2:13">
      <c r="B1049" s="7"/>
      <c r="C1049" s="8" t="e">
        <f>VLOOKUP($B1049,#REF!,5,FALSE)</f>
        <v>#REF!</v>
      </c>
      <c r="D1049" s="8" t="e">
        <f>VLOOKUP($B1049,#REF!,6,FALSE)</f>
        <v>#REF!</v>
      </c>
      <c r="E1049" s="9" t="e">
        <f>VLOOKUP($B1049,#REF!,17,FALSE)</f>
        <v>#REF!</v>
      </c>
      <c r="F1049" s="10" t="e">
        <f>VLOOKUP($B1049,#REF!,7,FALSE)</f>
        <v>#REF!</v>
      </c>
      <c r="G1049" s="10"/>
      <c r="H1049" s="10"/>
      <c r="I1049" s="11" t="e">
        <f>VLOOKUP($B1049,#REF!,19,FALSE)</f>
        <v>#REF!</v>
      </c>
      <c r="J1049" s="11" t="e">
        <f>VLOOKUP($B1049,#REF!,6,FALSE)</f>
        <v>#REF!</v>
      </c>
      <c r="L1049" s="3">
        <v>44655.621527774405</v>
      </c>
      <c r="M1049" s="15"/>
    </row>
    <row r="1050" spans="2:13">
      <c r="B1050" s="7"/>
      <c r="C1050" s="8" t="e">
        <f>VLOOKUP($B1050,#REF!,5,FALSE)</f>
        <v>#REF!</v>
      </c>
      <c r="D1050" s="8" t="e">
        <f>VLOOKUP($B1050,#REF!,6,FALSE)</f>
        <v>#REF!</v>
      </c>
      <c r="E1050" s="9" t="e">
        <f>VLOOKUP($B1050,#REF!,17,FALSE)</f>
        <v>#REF!</v>
      </c>
      <c r="F1050" s="10" t="e">
        <f>VLOOKUP($B1050,#REF!,7,FALSE)</f>
        <v>#REF!</v>
      </c>
      <c r="G1050" s="10"/>
      <c r="H1050" s="10"/>
      <c r="I1050" s="11" t="e">
        <f>VLOOKUP($B1050,#REF!,19,FALSE)</f>
        <v>#REF!</v>
      </c>
      <c r="J1050" s="11" t="e">
        <f>VLOOKUP($B1050,#REF!,6,FALSE)</f>
        <v>#REF!</v>
      </c>
      <c r="L1050" s="3">
        <v>44655.624999996624</v>
      </c>
      <c r="M1050" s="15"/>
    </row>
    <row r="1051" spans="2:13">
      <c r="B1051" s="7"/>
      <c r="C1051" s="8" t="e">
        <f>VLOOKUP($B1051,#REF!,5,FALSE)</f>
        <v>#REF!</v>
      </c>
      <c r="D1051" s="8" t="e">
        <f>VLOOKUP($B1051,#REF!,6,FALSE)</f>
        <v>#REF!</v>
      </c>
      <c r="E1051" s="9" t="e">
        <f>VLOOKUP($B1051,#REF!,17,FALSE)</f>
        <v>#REF!</v>
      </c>
      <c r="F1051" s="10" t="e">
        <f>VLOOKUP($B1051,#REF!,7,FALSE)</f>
        <v>#REF!</v>
      </c>
      <c r="G1051" s="10"/>
      <c r="H1051" s="10"/>
      <c r="I1051" s="11" t="e">
        <f>VLOOKUP($B1051,#REF!,19,FALSE)</f>
        <v>#REF!</v>
      </c>
      <c r="J1051" s="11" t="e">
        <f>VLOOKUP($B1051,#REF!,6,FALSE)</f>
        <v>#REF!</v>
      </c>
      <c r="L1051" s="3">
        <v>44655.628472218843</v>
      </c>
      <c r="M1051" s="15"/>
    </row>
    <row r="1052" spans="2:13">
      <c r="B1052" s="7"/>
      <c r="C1052" s="8" t="e">
        <f>VLOOKUP($B1052,#REF!,5,FALSE)</f>
        <v>#REF!</v>
      </c>
      <c r="D1052" s="8" t="e">
        <f>VLOOKUP($B1052,#REF!,6,FALSE)</f>
        <v>#REF!</v>
      </c>
      <c r="E1052" s="9" t="e">
        <f>VLOOKUP($B1052,#REF!,17,FALSE)</f>
        <v>#REF!</v>
      </c>
      <c r="F1052" s="10" t="e">
        <f>VLOOKUP($B1052,#REF!,7,FALSE)</f>
        <v>#REF!</v>
      </c>
      <c r="G1052" s="10"/>
      <c r="H1052" s="10"/>
      <c r="I1052" s="11" t="e">
        <f>VLOOKUP($B1052,#REF!,19,FALSE)</f>
        <v>#REF!</v>
      </c>
      <c r="J1052" s="11" t="e">
        <f>VLOOKUP($B1052,#REF!,6,FALSE)</f>
        <v>#REF!</v>
      </c>
      <c r="L1052" s="3">
        <v>44655.631944441062</v>
      </c>
      <c r="M1052" s="15"/>
    </row>
    <row r="1053" spans="2:13">
      <c r="B1053" s="7"/>
      <c r="C1053" s="8" t="e">
        <f>VLOOKUP($B1053,#REF!,5,FALSE)</f>
        <v>#REF!</v>
      </c>
      <c r="D1053" s="8" t="e">
        <f>VLOOKUP($B1053,#REF!,6,FALSE)</f>
        <v>#REF!</v>
      </c>
      <c r="E1053" s="9" t="e">
        <f>VLOOKUP($B1053,#REF!,17,FALSE)</f>
        <v>#REF!</v>
      </c>
      <c r="F1053" s="10" t="e">
        <f>VLOOKUP($B1053,#REF!,7,FALSE)</f>
        <v>#REF!</v>
      </c>
      <c r="G1053" s="10"/>
      <c r="H1053" s="10"/>
      <c r="I1053" s="11" t="e">
        <f>VLOOKUP($B1053,#REF!,19,FALSE)</f>
        <v>#REF!</v>
      </c>
      <c r="J1053" s="11" t="e">
        <f>VLOOKUP($B1053,#REF!,6,FALSE)</f>
        <v>#REF!</v>
      </c>
      <c r="L1053" s="3">
        <v>44655.635416663281</v>
      </c>
      <c r="M1053" s="15"/>
    </row>
    <row r="1054" spans="2:13">
      <c r="B1054" s="7"/>
      <c r="C1054" s="8" t="e">
        <f>VLOOKUP($B1054,#REF!,5,FALSE)</f>
        <v>#REF!</v>
      </c>
      <c r="D1054" s="8" t="e">
        <f>VLOOKUP($B1054,#REF!,6,FALSE)</f>
        <v>#REF!</v>
      </c>
      <c r="E1054" s="9" t="e">
        <f>VLOOKUP($B1054,#REF!,17,FALSE)</f>
        <v>#REF!</v>
      </c>
      <c r="F1054" s="10" t="e">
        <f>VLOOKUP($B1054,#REF!,7,FALSE)</f>
        <v>#REF!</v>
      </c>
      <c r="G1054" s="10"/>
      <c r="H1054" s="10"/>
      <c r="I1054" s="11" t="e">
        <f>VLOOKUP($B1054,#REF!,19,FALSE)</f>
        <v>#REF!</v>
      </c>
      <c r="J1054" s="11" t="e">
        <f>VLOOKUP($B1054,#REF!,6,FALSE)</f>
        <v>#REF!</v>
      </c>
      <c r="L1054" s="3">
        <v>44655.6388888855</v>
      </c>
      <c r="M1054" s="15"/>
    </row>
    <row r="1055" spans="2:13">
      <c r="B1055" s="7"/>
      <c r="C1055" s="8" t="e">
        <f>VLOOKUP($B1055,#REF!,5,FALSE)</f>
        <v>#REF!</v>
      </c>
      <c r="D1055" s="8" t="e">
        <f>VLOOKUP($B1055,#REF!,6,FALSE)</f>
        <v>#REF!</v>
      </c>
      <c r="E1055" s="9" t="e">
        <f>VLOOKUP($B1055,#REF!,17,FALSE)</f>
        <v>#REF!</v>
      </c>
      <c r="F1055" s="10" t="e">
        <f>VLOOKUP($B1055,#REF!,7,FALSE)</f>
        <v>#REF!</v>
      </c>
      <c r="G1055" s="10"/>
      <c r="H1055" s="10"/>
      <c r="I1055" s="11" t="e">
        <f>VLOOKUP($B1055,#REF!,19,FALSE)</f>
        <v>#REF!</v>
      </c>
      <c r="J1055" s="11" t="e">
        <f>VLOOKUP($B1055,#REF!,6,FALSE)</f>
        <v>#REF!</v>
      </c>
      <c r="L1055" s="3">
        <v>44655.642361107719</v>
      </c>
      <c r="M1055" s="15"/>
    </row>
    <row r="1056" spans="2:13">
      <c r="B1056" s="7"/>
      <c r="C1056" s="8" t="e">
        <f>VLOOKUP($B1056,#REF!,5,FALSE)</f>
        <v>#REF!</v>
      </c>
      <c r="D1056" s="8" t="e">
        <f>VLOOKUP($B1056,#REF!,6,FALSE)</f>
        <v>#REF!</v>
      </c>
      <c r="E1056" s="9" t="e">
        <f>VLOOKUP($B1056,#REF!,17,FALSE)</f>
        <v>#REF!</v>
      </c>
      <c r="F1056" s="10" t="e">
        <f>VLOOKUP($B1056,#REF!,7,FALSE)</f>
        <v>#REF!</v>
      </c>
      <c r="G1056" s="10"/>
      <c r="H1056" s="10"/>
      <c r="I1056" s="11" t="e">
        <f>VLOOKUP($B1056,#REF!,19,FALSE)</f>
        <v>#REF!</v>
      </c>
      <c r="J1056" s="11" t="e">
        <f>VLOOKUP($B1056,#REF!,6,FALSE)</f>
        <v>#REF!</v>
      </c>
      <c r="L1056" s="3">
        <v>44655.645833329938</v>
      </c>
      <c r="M1056" s="15"/>
    </row>
    <row r="1057" spans="2:13">
      <c r="B1057" s="7"/>
      <c r="C1057" s="8" t="e">
        <f>VLOOKUP($B1057,#REF!,5,FALSE)</f>
        <v>#REF!</v>
      </c>
      <c r="D1057" s="8" t="e">
        <f>VLOOKUP($B1057,#REF!,6,FALSE)</f>
        <v>#REF!</v>
      </c>
      <c r="E1057" s="9" t="e">
        <f>VLOOKUP($B1057,#REF!,17,FALSE)</f>
        <v>#REF!</v>
      </c>
      <c r="F1057" s="10" t="e">
        <f>VLOOKUP($B1057,#REF!,7,FALSE)</f>
        <v>#REF!</v>
      </c>
      <c r="G1057" s="10"/>
      <c r="H1057" s="10"/>
      <c r="I1057" s="11" t="e">
        <f>VLOOKUP($B1057,#REF!,19,FALSE)</f>
        <v>#REF!</v>
      </c>
      <c r="J1057" s="11" t="e">
        <f>VLOOKUP($B1057,#REF!,6,FALSE)</f>
        <v>#REF!</v>
      </c>
      <c r="L1057" s="3">
        <v>44655.649305552157</v>
      </c>
      <c r="M1057" s="15"/>
    </row>
    <row r="1058" spans="2:13">
      <c r="B1058" s="7"/>
      <c r="C1058" s="8" t="e">
        <f>VLOOKUP($B1058,#REF!,5,FALSE)</f>
        <v>#REF!</v>
      </c>
      <c r="D1058" s="8" t="e">
        <f>VLOOKUP($B1058,#REF!,6,FALSE)</f>
        <v>#REF!</v>
      </c>
      <c r="E1058" s="9" t="e">
        <f>VLOOKUP($B1058,#REF!,17,FALSE)</f>
        <v>#REF!</v>
      </c>
      <c r="F1058" s="10" t="e">
        <f>VLOOKUP($B1058,#REF!,7,FALSE)</f>
        <v>#REF!</v>
      </c>
      <c r="G1058" s="10"/>
      <c r="H1058" s="10"/>
      <c r="I1058" s="11" t="e">
        <f>VLOOKUP($B1058,#REF!,19,FALSE)</f>
        <v>#REF!</v>
      </c>
      <c r="J1058" s="11" t="e">
        <f>VLOOKUP($B1058,#REF!,6,FALSE)</f>
        <v>#REF!</v>
      </c>
      <c r="L1058" s="3">
        <v>44655.652777774376</v>
      </c>
      <c r="M1058" s="15"/>
    </row>
    <row r="1059" spans="2:13">
      <c r="B1059" s="7"/>
      <c r="C1059" s="8" t="e">
        <f>VLOOKUP($B1059,#REF!,5,FALSE)</f>
        <v>#REF!</v>
      </c>
      <c r="D1059" s="8" t="e">
        <f>VLOOKUP($B1059,#REF!,6,FALSE)</f>
        <v>#REF!</v>
      </c>
      <c r="E1059" s="9" t="e">
        <f>VLOOKUP($B1059,#REF!,17,FALSE)</f>
        <v>#REF!</v>
      </c>
      <c r="F1059" s="10" t="e">
        <f>VLOOKUP($B1059,#REF!,7,FALSE)</f>
        <v>#REF!</v>
      </c>
      <c r="G1059" s="10"/>
      <c r="H1059" s="10"/>
      <c r="I1059" s="11" t="e">
        <f>VLOOKUP($B1059,#REF!,19,FALSE)</f>
        <v>#REF!</v>
      </c>
      <c r="J1059" s="11" t="e">
        <f>VLOOKUP($B1059,#REF!,6,FALSE)</f>
        <v>#REF!</v>
      </c>
      <c r="L1059" s="3">
        <v>44655.656249996595</v>
      </c>
      <c r="M1059" s="15"/>
    </row>
    <row r="1060" spans="2:13">
      <c r="B1060" s="7"/>
      <c r="C1060" s="8" t="e">
        <f>VLOOKUP($B1060,#REF!,5,FALSE)</f>
        <v>#REF!</v>
      </c>
      <c r="D1060" s="8" t="e">
        <f>VLOOKUP($B1060,#REF!,6,FALSE)</f>
        <v>#REF!</v>
      </c>
      <c r="E1060" s="9" t="e">
        <f>VLOOKUP($B1060,#REF!,17,FALSE)</f>
        <v>#REF!</v>
      </c>
      <c r="F1060" s="10" t="e">
        <f>VLOOKUP($B1060,#REF!,7,FALSE)</f>
        <v>#REF!</v>
      </c>
      <c r="G1060" s="10"/>
      <c r="H1060" s="10"/>
      <c r="I1060" s="11" t="e">
        <f>VLOOKUP($B1060,#REF!,19,FALSE)</f>
        <v>#REF!</v>
      </c>
      <c r="J1060" s="11" t="e">
        <f>VLOOKUP($B1060,#REF!,6,FALSE)</f>
        <v>#REF!</v>
      </c>
      <c r="L1060" s="3">
        <v>44655.659722218814</v>
      </c>
      <c r="M1060" s="15"/>
    </row>
    <row r="1061" spans="2:13">
      <c r="B1061" s="7"/>
      <c r="C1061" s="8" t="e">
        <f>VLOOKUP($B1061,#REF!,5,FALSE)</f>
        <v>#REF!</v>
      </c>
      <c r="D1061" s="8" t="e">
        <f>VLOOKUP($B1061,#REF!,6,FALSE)</f>
        <v>#REF!</v>
      </c>
      <c r="E1061" s="9" t="e">
        <f>VLOOKUP($B1061,#REF!,17,FALSE)</f>
        <v>#REF!</v>
      </c>
      <c r="F1061" s="10" t="e">
        <f>VLOOKUP($B1061,#REF!,7,FALSE)</f>
        <v>#REF!</v>
      </c>
      <c r="G1061" s="10"/>
      <c r="H1061" s="10"/>
      <c r="I1061" s="11" t="e">
        <f>VLOOKUP($B1061,#REF!,19,FALSE)</f>
        <v>#REF!</v>
      </c>
      <c r="J1061" s="11" t="e">
        <f>VLOOKUP($B1061,#REF!,6,FALSE)</f>
        <v>#REF!</v>
      </c>
      <c r="L1061" s="3">
        <v>44655.663194441033</v>
      </c>
      <c r="M1061" s="15"/>
    </row>
    <row r="1062" spans="2:13">
      <c r="B1062" s="7"/>
      <c r="C1062" s="8" t="e">
        <f>VLOOKUP($B1062,#REF!,5,FALSE)</f>
        <v>#REF!</v>
      </c>
      <c r="D1062" s="8" t="e">
        <f>VLOOKUP($B1062,#REF!,6,FALSE)</f>
        <v>#REF!</v>
      </c>
      <c r="E1062" s="9" t="e">
        <f>VLOOKUP($B1062,#REF!,17,FALSE)</f>
        <v>#REF!</v>
      </c>
      <c r="F1062" s="10" t="e">
        <f>VLOOKUP($B1062,#REF!,7,FALSE)</f>
        <v>#REF!</v>
      </c>
      <c r="G1062" s="10"/>
      <c r="H1062" s="10"/>
      <c r="I1062" s="11" t="e">
        <f>VLOOKUP($B1062,#REF!,19,FALSE)</f>
        <v>#REF!</v>
      </c>
      <c r="J1062" s="11" t="e">
        <f>VLOOKUP($B1062,#REF!,6,FALSE)</f>
        <v>#REF!</v>
      </c>
      <c r="L1062" s="3">
        <v>44655.666666663252</v>
      </c>
      <c r="M1062" s="15"/>
    </row>
    <row r="1063" spans="2:13">
      <c r="B1063" s="7"/>
      <c r="C1063" s="8" t="e">
        <f>VLOOKUP($B1063,#REF!,5,FALSE)</f>
        <v>#REF!</v>
      </c>
      <c r="D1063" s="8" t="e">
        <f>VLOOKUP($B1063,#REF!,6,FALSE)</f>
        <v>#REF!</v>
      </c>
      <c r="E1063" s="9" t="e">
        <f>VLOOKUP($B1063,#REF!,17,FALSE)</f>
        <v>#REF!</v>
      </c>
      <c r="F1063" s="10" t="e">
        <f>VLOOKUP($B1063,#REF!,7,FALSE)</f>
        <v>#REF!</v>
      </c>
      <c r="G1063" s="10"/>
      <c r="H1063" s="10"/>
      <c r="I1063" s="11" t="e">
        <f>VLOOKUP($B1063,#REF!,19,FALSE)</f>
        <v>#REF!</v>
      </c>
      <c r="J1063" s="11" t="e">
        <f>VLOOKUP($B1063,#REF!,6,FALSE)</f>
        <v>#REF!</v>
      </c>
      <c r="L1063" s="3">
        <v>44655.670138885471</v>
      </c>
      <c r="M1063" s="15"/>
    </row>
    <row r="1064" spans="2:13">
      <c r="B1064" s="7"/>
      <c r="C1064" s="8" t="e">
        <f>VLOOKUP($B1064,#REF!,5,FALSE)</f>
        <v>#REF!</v>
      </c>
      <c r="D1064" s="8" t="e">
        <f>VLOOKUP($B1064,#REF!,6,FALSE)</f>
        <v>#REF!</v>
      </c>
      <c r="E1064" s="9" t="e">
        <f>VLOOKUP($B1064,#REF!,17,FALSE)</f>
        <v>#REF!</v>
      </c>
      <c r="F1064" s="10" t="e">
        <f>VLOOKUP($B1064,#REF!,7,FALSE)</f>
        <v>#REF!</v>
      </c>
      <c r="G1064" s="10"/>
      <c r="H1064" s="10"/>
      <c r="I1064" s="11" t="e">
        <f>VLOOKUP($B1064,#REF!,19,FALSE)</f>
        <v>#REF!</v>
      </c>
      <c r="J1064" s="11" t="e">
        <f>VLOOKUP($B1064,#REF!,6,FALSE)</f>
        <v>#REF!</v>
      </c>
      <c r="L1064" s="3">
        <v>44655.67361110769</v>
      </c>
      <c r="M1064" s="15"/>
    </row>
    <row r="1065" spans="2:13">
      <c r="B1065" s="7"/>
      <c r="C1065" s="8" t="e">
        <f>VLOOKUP($B1065,#REF!,5,FALSE)</f>
        <v>#REF!</v>
      </c>
      <c r="D1065" s="8" t="e">
        <f>VLOOKUP($B1065,#REF!,6,FALSE)</f>
        <v>#REF!</v>
      </c>
      <c r="E1065" s="9" t="e">
        <f>VLOOKUP($B1065,#REF!,17,FALSE)</f>
        <v>#REF!</v>
      </c>
      <c r="F1065" s="10" t="e">
        <f>VLOOKUP($B1065,#REF!,7,FALSE)</f>
        <v>#REF!</v>
      </c>
      <c r="G1065" s="10"/>
      <c r="H1065" s="10"/>
      <c r="I1065" s="11" t="e">
        <f>VLOOKUP($B1065,#REF!,19,FALSE)</f>
        <v>#REF!</v>
      </c>
      <c r="J1065" s="11" t="e">
        <f>VLOOKUP($B1065,#REF!,6,FALSE)</f>
        <v>#REF!</v>
      </c>
      <c r="L1065" s="3">
        <v>44655.677083329909</v>
      </c>
      <c r="M1065" s="15"/>
    </row>
    <row r="1066" spans="2:13">
      <c r="B1066" s="7"/>
      <c r="C1066" s="8" t="e">
        <f>VLOOKUP($B1066,#REF!,5,FALSE)</f>
        <v>#REF!</v>
      </c>
      <c r="D1066" s="8" t="e">
        <f>VLOOKUP($B1066,#REF!,6,FALSE)</f>
        <v>#REF!</v>
      </c>
      <c r="E1066" s="9" t="e">
        <f>VLOOKUP($B1066,#REF!,17,FALSE)</f>
        <v>#REF!</v>
      </c>
      <c r="F1066" s="10" t="e">
        <f>VLOOKUP($B1066,#REF!,7,FALSE)</f>
        <v>#REF!</v>
      </c>
      <c r="G1066" s="10"/>
      <c r="H1066" s="10"/>
      <c r="I1066" s="11" t="e">
        <f>VLOOKUP($B1066,#REF!,19,FALSE)</f>
        <v>#REF!</v>
      </c>
      <c r="J1066" s="11" t="e">
        <f>VLOOKUP($B1066,#REF!,6,FALSE)</f>
        <v>#REF!</v>
      </c>
      <c r="L1066" s="3">
        <v>44655.680555552128</v>
      </c>
      <c r="M1066" s="15"/>
    </row>
    <row r="1067" spans="2:13">
      <c r="B1067" s="7"/>
      <c r="C1067" s="8" t="e">
        <f>VLOOKUP($B1067,#REF!,5,FALSE)</f>
        <v>#REF!</v>
      </c>
      <c r="D1067" s="8" t="e">
        <f>VLOOKUP($B1067,#REF!,6,FALSE)</f>
        <v>#REF!</v>
      </c>
      <c r="E1067" s="9" t="e">
        <f>VLOOKUP($B1067,#REF!,17,FALSE)</f>
        <v>#REF!</v>
      </c>
      <c r="F1067" s="10" t="e">
        <f>VLOOKUP($B1067,#REF!,7,FALSE)</f>
        <v>#REF!</v>
      </c>
      <c r="G1067" s="10"/>
      <c r="H1067" s="10"/>
      <c r="I1067" s="11" t="e">
        <f>VLOOKUP($B1067,#REF!,19,FALSE)</f>
        <v>#REF!</v>
      </c>
      <c r="J1067" s="11" t="e">
        <f>VLOOKUP($B1067,#REF!,6,FALSE)</f>
        <v>#REF!</v>
      </c>
      <c r="L1067" s="3">
        <v>44655.684027774347</v>
      </c>
      <c r="M1067" s="15"/>
    </row>
    <row r="1068" spans="2:13">
      <c r="B1068" s="7"/>
      <c r="C1068" s="8" t="e">
        <f>VLOOKUP($B1068,#REF!,5,FALSE)</f>
        <v>#REF!</v>
      </c>
      <c r="D1068" s="8" t="e">
        <f>VLOOKUP($B1068,#REF!,6,FALSE)</f>
        <v>#REF!</v>
      </c>
      <c r="E1068" s="9" t="e">
        <f>VLOOKUP($B1068,#REF!,17,FALSE)</f>
        <v>#REF!</v>
      </c>
      <c r="F1068" s="10" t="e">
        <f>VLOOKUP($B1068,#REF!,7,FALSE)</f>
        <v>#REF!</v>
      </c>
      <c r="G1068" s="10"/>
      <c r="H1068" s="10"/>
      <c r="I1068" s="11" t="e">
        <f>VLOOKUP($B1068,#REF!,19,FALSE)</f>
        <v>#REF!</v>
      </c>
      <c r="J1068" s="11" t="e">
        <f>VLOOKUP($B1068,#REF!,6,FALSE)</f>
        <v>#REF!</v>
      </c>
      <c r="L1068" s="3">
        <v>44655.687499996566</v>
      </c>
      <c r="M1068" s="15"/>
    </row>
    <row r="1069" spans="2:13">
      <c r="B1069" s="7"/>
      <c r="C1069" s="8" t="e">
        <f>VLOOKUP($B1069,#REF!,5,FALSE)</f>
        <v>#REF!</v>
      </c>
      <c r="D1069" s="8" t="e">
        <f>VLOOKUP($B1069,#REF!,6,FALSE)</f>
        <v>#REF!</v>
      </c>
      <c r="E1069" s="9" t="e">
        <f>VLOOKUP($B1069,#REF!,17,FALSE)</f>
        <v>#REF!</v>
      </c>
      <c r="F1069" s="10" t="e">
        <f>VLOOKUP($B1069,#REF!,7,FALSE)</f>
        <v>#REF!</v>
      </c>
      <c r="G1069" s="10"/>
      <c r="H1069" s="10"/>
      <c r="I1069" s="11" t="e">
        <f>VLOOKUP($B1069,#REF!,19,FALSE)</f>
        <v>#REF!</v>
      </c>
      <c r="J1069" s="11" t="e">
        <f>VLOOKUP($B1069,#REF!,6,FALSE)</f>
        <v>#REF!</v>
      </c>
      <c r="L1069" s="3">
        <v>44655.690972218785</v>
      </c>
      <c r="M1069" s="15"/>
    </row>
    <row r="1070" spans="2:13">
      <c r="B1070" s="7"/>
      <c r="C1070" s="8" t="e">
        <f>VLOOKUP($B1070,#REF!,5,FALSE)</f>
        <v>#REF!</v>
      </c>
      <c r="D1070" s="8" t="e">
        <f>VLOOKUP($B1070,#REF!,6,FALSE)</f>
        <v>#REF!</v>
      </c>
      <c r="E1070" s="9" t="e">
        <f>VLOOKUP($B1070,#REF!,17,FALSE)</f>
        <v>#REF!</v>
      </c>
      <c r="F1070" s="10" t="e">
        <f>VLOOKUP($B1070,#REF!,7,FALSE)</f>
        <v>#REF!</v>
      </c>
      <c r="G1070" s="10"/>
      <c r="H1070" s="10"/>
      <c r="I1070" s="11" t="e">
        <f>VLOOKUP($B1070,#REF!,19,FALSE)</f>
        <v>#REF!</v>
      </c>
      <c r="J1070" s="11" t="e">
        <f>VLOOKUP($B1070,#REF!,6,FALSE)</f>
        <v>#REF!</v>
      </c>
      <c r="L1070" s="3">
        <v>44655.694444441004</v>
      </c>
      <c r="M1070" s="15"/>
    </row>
    <row r="1071" spans="2:13">
      <c r="B1071" s="7"/>
      <c r="C1071" s="8" t="e">
        <f>VLOOKUP($B1071,#REF!,5,FALSE)</f>
        <v>#REF!</v>
      </c>
      <c r="D1071" s="8" t="e">
        <f>VLOOKUP($B1071,#REF!,6,FALSE)</f>
        <v>#REF!</v>
      </c>
      <c r="E1071" s="9" t="e">
        <f>VLOOKUP($B1071,#REF!,17,FALSE)</f>
        <v>#REF!</v>
      </c>
      <c r="F1071" s="10" t="e">
        <f>VLOOKUP($B1071,#REF!,7,FALSE)</f>
        <v>#REF!</v>
      </c>
      <c r="G1071" s="10"/>
      <c r="H1071" s="10"/>
      <c r="I1071" s="11" t="e">
        <f>VLOOKUP($B1071,#REF!,19,FALSE)</f>
        <v>#REF!</v>
      </c>
      <c r="J1071" s="11" t="e">
        <f>VLOOKUP($B1071,#REF!,6,FALSE)</f>
        <v>#REF!</v>
      </c>
      <c r="L1071" s="3">
        <v>44655.697916663223</v>
      </c>
      <c r="M1071" s="15"/>
    </row>
    <row r="1072" spans="2:13">
      <c r="B1072" s="7"/>
      <c r="C1072" s="8" t="e">
        <f>VLOOKUP($B1072,#REF!,5,FALSE)</f>
        <v>#REF!</v>
      </c>
      <c r="D1072" s="8" t="e">
        <f>VLOOKUP($B1072,#REF!,6,FALSE)</f>
        <v>#REF!</v>
      </c>
      <c r="E1072" s="9" t="e">
        <f>VLOOKUP($B1072,#REF!,17,FALSE)</f>
        <v>#REF!</v>
      </c>
      <c r="F1072" s="10" t="e">
        <f>VLOOKUP($B1072,#REF!,7,FALSE)</f>
        <v>#REF!</v>
      </c>
      <c r="G1072" s="10"/>
      <c r="H1072" s="10"/>
      <c r="I1072" s="11" t="e">
        <f>VLOOKUP($B1072,#REF!,19,FALSE)</f>
        <v>#REF!</v>
      </c>
      <c r="J1072" s="11" t="e">
        <f>VLOOKUP($B1072,#REF!,6,FALSE)</f>
        <v>#REF!</v>
      </c>
      <c r="L1072" s="3">
        <v>44655.701388885442</v>
      </c>
      <c r="M1072" s="15"/>
    </row>
    <row r="1073" spans="2:13">
      <c r="B1073" s="7"/>
      <c r="C1073" s="8" t="e">
        <f>VLOOKUP($B1073,#REF!,5,FALSE)</f>
        <v>#REF!</v>
      </c>
      <c r="D1073" s="8" t="e">
        <f>VLOOKUP($B1073,#REF!,6,FALSE)</f>
        <v>#REF!</v>
      </c>
      <c r="E1073" s="9" t="e">
        <f>VLOOKUP($B1073,#REF!,17,FALSE)</f>
        <v>#REF!</v>
      </c>
      <c r="F1073" s="10" t="e">
        <f>VLOOKUP($B1073,#REF!,7,FALSE)</f>
        <v>#REF!</v>
      </c>
      <c r="G1073" s="10"/>
      <c r="H1073" s="10"/>
      <c r="I1073" s="11" t="e">
        <f>VLOOKUP($B1073,#REF!,19,FALSE)</f>
        <v>#REF!</v>
      </c>
      <c r="J1073" s="11" t="e">
        <f>VLOOKUP($B1073,#REF!,6,FALSE)</f>
        <v>#REF!</v>
      </c>
      <c r="L1073" s="3">
        <v>44655.704861107661</v>
      </c>
      <c r="M1073" s="15"/>
    </row>
    <row r="1074" spans="2:13">
      <c r="B1074" s="7"/>
      <c r="C1074" s="8" t="e">
        <f>VLOOKUP($B1074,#REF!,5,FALSE)</f>
        <v>#REF!</v>
      </c>
      <c r="D1074" s="8" t="e">
        <f>VLOOKUP($B1074,#REF!,6,FALSE)</f>
        <v>#REF!</v>
      </c>
      <c r="E1074" s="9" t="e">
        <f>VLOOKUP($B1074,#REF!,17,FALSE)</f>
        <v>#REF!</v>
      </c>
      <c r="F1074" s="10" t="e">
        <f>VLOOKUP($B1074,#REF!,7,FALSE)</f>
        <v>#REF!</v>
      </c>
      <c r="G1074" s="10"/>
      <c r="H1074" s="10"/>
      <c r="I1074" s="11" t="e">
        <f>VLOOKUP($B1074,#REF!,19,FALSE)</f>
        <v>#REF!</v>
      </c>
      <c r="J1074" s="11" t="e">
        <f>VLOOKUP($B1074,#REF!,6,FALSE)</f>
        <v>#REF!</v>
      </c>
      <c r="L1074" s="3">
        <v>44655.70833332988</v>
      </c>
      <c r="M1074" s="15"/>
    </row>
    <row r="1075" spans="2:13">
      <c r="B1075" s="7"/>
      <c r="C1075" s="8" t="e">
        <f>VLOOKUP($B1075,#REF!,5,FALSE)</f>
        <v>#REF!</v>
      </c>
      <c r="D1075" s="8" t="e">
        <f>VLOOKUP($B1075,#REF!,6,FALSE)</f>
        <v>#REF!</v>
      </c>
      <c r="E1075" s="9" t="e">
        <f>VLOOKUP($B1075,#REF!,17,FALSE)</f>
        <v>#REF!</v>
      </c>
      <c r="F1075" s="10" t="e">
        <f>VLOOKUP($B1075,#REF!,7,FALSE)</f>
        <v>#REF!</v>
      </c>
      <c r="G1075" s="10"/>
      <c r="H1075" s="10"/>
      <c r="I1075" s="11" t="e">
        <f>VLOOKUP($B1075,#REF!,19,FALSE)</f>
        <v>#REF!</v>
      </c>
      <c r="J1075" s="11" t="e">
        <f>VLOOKUP($B1075,#REF!,6,FALSE)</f>
        <v>#REF!</v>
      </c>
      <c r="L1075" s="3">
        <v>44655.711805552099</v>
      </c>
      <c r="M1075" s="15"/>
    </row>
    <row r="1076" spans="2:13">
      <c r="B1076" s="7"/>
      <c r="C1076" s="8" t="e">
        <f>VLOOKUP($B1076,#REF!,5,FALSE)</f>
        <v>#REF!</v>
      </c>
      <c r="D1076" s="8" t="e">
        <f>VLOOKUP($B1076,#REF!,6,FALSE)</f>
        <v>#REF!</v>
      </c>
      <c r="E1076" s="9" t="e">
        <f>VLOOKUP($B1076,#REF!,17,FALSE)</f>
        <v>#REF!</v>
      </c>
      <c r="F1076" s="10" t="e">
        <f>VLOOKUP($B1076,#REF!,7,FALSE)</f>
        <v>#REF!</v>
      </c>
      <c r="G1076" s="10"/>
      <c r="H1076" s="10"/>
      <c r="I1076" s="11" t="e">
        <f>VLOOKUP($B1076,#REF!,19,FALSE)</f>
        <v>#REF!</v>
      </c>
      <c r="J1076" s="11" t="e">
        <f>VLOOKUP($B1076,#REF!,6,FALSE)</f>
        <v>#REF!</v>
      </c>
      <c r="L1076" s="3">
        <v>44655.715277774318</v>
      </c>
      <c r="M1076" s="15"/>
    </row>
    <row r="1077" spans="2:13">
      <c r="B1077" s="7"/>
      <c r="C1077" s="8" t="e">
        <f>VLOOKUP($B1077,#REF!,5,FALSE)</f>
        <v>#REF!</v>
      </c>
      <c r="D1077" s="8" t="e">
        <f>VLOOKUP($B1077,#REF!,6,FALSE)</f>
        <v>#REF!</v>
      </c>
      <c r="E1077" s="9" t="e">
        <f>VLOOKUP($B1077,#REF!,17,FALSE)</f>
        <v>#REF!</v>
      </c>
      <c r="F1077" s="10" t="e">
        <f>VLOOKUP($B1077,#REF!,7,FALSE)</f>
        <v>#REF!</v>
      </c>
      <c r="G1077" s="10"/>
      <c r="H1077" s="10"/>
      <c r="I1077" s="11" t="e">
        <f>VLOOKUP($B1077,#REF!,19,FALSE)</f>
        <v>#REF!</v>
      </c>
      <c r="J1077" s="11" t="e">
        <f>VLOOKUP($B1077,#REF!,6,FALSE)</f>
        <v>#REF!</v>
      </c>
      <c r="L1077" s="3">
        <v>44655.718749996537</v>
      </c>
      <c r="M1077" s="15"/>
    </row>
    <row r="1078" spans="2:13">
      <c r="B1078" s="7"/>
      <c r="C1078" s="8" t="e">
        <f>VLOOKUP($B1078,#REF!,5,FALSE)</f>
        <v>#REF!</v>
      </c>
      <c r="D1078" s="8" t="e">
        <f>VLOOKUP($B1078,#REF!,6,FALSE)</f>
        <v>#REF!</v>
      </c>
      <c r="E1078" s="9" t="e">
        <f>VLOOKUP($B1078,#REF!,17,FALSE)</f>
        <v>#REF!</v>
      </c>
      <c r="F1078" s="10" t="e">
        <f>VLOOKUP($B1078,#REF!,7,FALSE)</f>
        <v>#REF!</v>
      </c>
      <c r="G1078" s="10"/>
      <c r="H1078" s="10"/>
      <c r="I1078" s="11" t="e">
        <f>VLOOKUP($B1078,#REF!,19,FALSE)</f>
        <v>#REF!</v>
      </c>
      <c r="J1078" s="11" t="e">
        <f>VLOOKUP($B1078,#REF!,6,FALSE)</f>
        <v>#REF!</v>
      </c>
      <c r="L1078" s="3">
        <v>44655.722222218756</v>
      </c>
      <c r="M1078" s="15"/>
    </row>
    <row r="1079" spans="2:13">
      <c r="B1079" s="7"/>
      <c r="C1079" s="8" t="e">
        <f>VLOOKUP($B1079,#REF!,5,FALSE)</f>
        <v>#REF!</v>
      </c>
      <c r="D1079" s="8" t="e">
        <f>VLOOKUP($B1079,#REF!,6,FALSE)</f>
        <v>#REF!</v>
      </c>
      <c r="E1079" s="9" t="e">
        <f>VLOOKUP($B1079,#REF!,17,FALSE)</f>
        <v>#REF!</v>
      </c>
      <c r="F1079" s="10" t="e">
        <f>VLOOKUP($B1079,#REF!,7,FALSE)</f>
        <v>#REF!</v>
      </c>
      <c r="G1079" s="10"/>
      <c r="H1079" s="10"/>
      <c r="I1079" s="11" t="e">
        <f>VLOOKUP($B1079,#REF!,19,FALSE)</f>
        <v>#REF!</v>
      </c>
      <c r="J1079" s="11" t="e">
        <f>VLOOKUP($B1079,#REF!,6,FALSE)</f>
        <v>#REF!</v>
      </c>
      <c r="L1079" s="3">
        <v>44655.725694440975</v>
      </c>
      <c r="M1079" s="15"/>
    </row>
    <row r="1080" spans="2:13">
      <c r="B1080" s="7"/>
      <c r="C1080" s="8" t="e">
        <f>VLOOKUP($B1080,#REF!,5,FALSE)</f>
        <v>#REF!</v>
      </c>
      <c r="D1080" s="8" t="e">
        <f>VLOOKUP($B1080,#REF!,6,FALSE)</f>
        <v>#REF!</v>
      </c>
      <c r="E1080" s="9" t="e">
        <f>VLOOKUP($B1080,#REF!,17,FALSE)</f>
        <v>#REF!</v>
      </c>
      <c r="F1080" s="10" t="e">
        <f>VLOOKUP($B1080,#REF!,7,FALSE)</f>
        <v>#REF!</v>
      </c>
      <c r="G1080" s="10"/>
      <c r="H1080" s="10"/>
      <c r="I1080" s="11" t="e">
        <f>VLOOKUP($B1080,#REF!,19,FALSE)</f>
        <v>#REF!</v>
      </c>
      <c r="J1080" s="11" t="e">
        <f>VLOOKUP($B1080,#REF!,6,FALSE)</f>
        <v>#REF!</v>
      </c>
      <c r="L1080" s="3">
        <v>44655.729166663194</v>
      </c>
      <c r="M1080" s="15"/>
    </row>
    <row r="1081" spans="2:13">
      <c r="B1081" s="7"/>
      <c r="C1081" s="8" t="e">
        <f>VLOOKUP($B1081,#REF!,5,FALSE)</f>
        <v>#REF!</v>
      </c>
      <c r="D1081" s="8" t="e">
        <f>VLOOKUP($B1081,#REF!,6,FALSE)</f>
        <v>#REF!</v>
      </c>
      <c r="E1081" s="9" t="e">
        <f>VLOOKUP($B1081,#REF!,17,FALSE)</f>
        <v>#REF!</v>
      </c>
      <c r="F1081" s="10" t="e">
        <f>VLOOKUP($B1081,#REF!,7,FALSE)</f>
        <v>#REF!</v>
      </c>
      <c r="G1081" s="10"/>
      <c r="H1081" s="10"/>
      <c r="I1081" s="11" t="e">
        <f>VLOOKUP($B1081,#REF!,19,FALSE)</f>
        <v>#REF!</v>
      </c>
      <c r="J1081" s="11" t="e">
        <f>VLOOKUP($B1081,#REF!,6,FALSE)</f>
        <v>#REF!</v>
      </c>
      <c r="L1081" s="3">
        <v>44655.732638885413</v>
      </c>
      <c r="M1081" s="15"/>
    </row>
    <row r="1082" spans="2:13">
      <c r="B1082" s="7"/>
      <c r="C1082" s="8" t="e">
        <f>VLOOKUP($B1082,#REF!,5,FALSE)</f>
        <v>#REF!</v>
      </c>
      <c r="D1082" s="8" t="e">
        <f>VLOOKUP($B1082,#REF!,6,FALSE)</f>
        <v>#REF!</v>
      </c>
      <c r="E1082" s="9" t="e">
        <f>VLOOKUP($B1082,#REF!,17,FALSE)</f>
        <v>#REF!</v>
      </c>
      <c r="F1082" s="10" t="e">
        <f>VLOOKUP($B1082,#REF!,7,FALSE)</f>
        <v>#REF!</v>
      </c>
      <c r="G1082" s="10"/>
      <c r="H1082" s="10"/>
      <c r="I1082" s="11" t="e">
        <f>VLOOKUP($B1082,#REF!,19,FALSE)</f>
        <v>#REF!</v>
      </c>
      <c r="J1082" s="11" t="e">
        <f>VLOOKUP($B1082,#REF!,6,FALSE)</f>
        <v>#REF!</v>
      </c>
      <c r="L1082" s="3">
        <v>44655.736111107632</v>
      </c>
      <c r="M1082" s="15"/>
    </row>
    <row r="1083" spans="2:13">
      <c r="B1083" s="7"/>
      <c r="C1083" s="13" t="e">
        <f>VLOOKUP($B1083,#REF!,5,FALSE)</f>
        <v>#REF!</v>
      </c>
      <c r="D1083" s="13" t="e">
        <f>VLOOKUP($B1083,#REF!,6,FALSE)</f>
        <v>#REF!</v>
      </c>
      <c r="E1083" s="14" t="e">
        <f>VLOOKUP($B1083,#REF!,17,FALSE)</f>
        <v>#REF!</v>
      </c>
      <c r="F1083" s="10" t="e">
        <f>VLOOKUP($B1083,#REF!,7,FALSE)</f>
        <v>#REF!</v>
      </c>
      <c r="G1083" s="10"/>
      <c r="H1083" s="10"/>
      <c r="I1083" s="11" t="e">
        <f>VLOOKUP($B1083,#REF!,19,FALSE)</f>
        <v>#REF!</v>
      </c>
      <c r="J1083" s="11" t="e">
        <f>VLOOKUP($B1083,#REF!,6,FALSE)</f>
        <v>#REF!</v>
      </c>
      <c r="L1083" s="3">
        <v>44655.739583329851</v>
      </c>
      <c r="M1083" s="15"/>
    </row>
    <row r="1084" spans="2:13">
      <c r="B1084" s="7"/>
      <c r="C1084" s="8" t="e">
        <f>VLOOKUP($B1084,#REF!,5,FALSE)</f>
        <v>#REF!</v>
      </c>
      <c r="D1084" s="8" t="e">
        <f>VLOOKUP($B1084,#REF!,6,FALSE)</f>
        <v>#REF!</v>
      </c>
      <c r="E1084" s="9" t="e">
        <f>VLOOKUP($B1084,#REF!,17,FALSE)</f>
        <v>#REF!</v>
      </c>
      <c r="F1084" s="10" t="e">
        <f>VLOOKUP($B1084,#REF!,7,FALSE)</f>
        <v>#REF!</v>
      </c>
      <c r="G1084" s="10"/>
      <c r="H1084" s="10"/>
      <c r="I1084" s="11" t="e">
        <f>VLOOKUP($B1084,#REF!,19,FALSE)</f>
        <v>#REF!</v>
      </c>
      <c r="J1084" s="11" t="e">
        <f>VLOOKUP($B1084,#REF!,6,FALSE)</f>
        <v>#REF!</v>
      </c>
      <c r="L1084" s="3">
        <v>44655.74305555207</v>
      </c>
      <c r="M1084" s="15"/>
    </row>
    <row r="1085" spans="2:13">
      <c r="B1085" s="7"/>
      <c r="C1085" s="8" t="e">
        <f>VLOOKUP($B1085,#REF!,5,FALSE)</f>
        <v>#REF!</v>
      </c>
      <c r="D1085" s="8" t="e">
        <f>VLOOKUP($B1085,#REF!,6,FALSE)</f>
        <v>#REF!</v>
      </c>
      <c r="E1085" s="9" t="e">
        <f>VLOOKUP($B1085,#REF!,17,FALSE)</f>
        <v>#REF!</v>
      </c>
      <c r="F1085" s="10" t="e">
        <f>VLOOKUP($B1085,#REF!,7,FALSE)</f>
        <v>#REF!</v>
      </c>
      <c r="G1085" s="10"/>
      <c r="H1085" s="10"/>
      <c r="I1085" s="11" t="e">
        <f>VLOOKUP($B1085,#REF!,19,FALSE)</f>
        <v>#REF!</v>
      </c>
      <c r="J1085" s="11" t="e">
        <f>VLOOKUP($B1085,#REF!,6,FALSE)</f>
        <v>#REF!</v>
      </c>
      <c r="L1085" s="3">
        <v>44655.746527774289</v>
      </c>
      <c r="M1085" s="15"/>
    </row>
    <row r="1086" spans="2:13">
      <c r="B1086" s="7"/>
      <c r="C1086" s="8" t="e">
        <f>VLOOKUP($B1086,#REF!,5,FALSE)</f>
        <v>#REF!</v>
      </c>
      <c r="D1086" s="8" t="e">
        <f>VLOOKUP($B1086,#REF!,6,FALSE)</f>
        <v>#REF!</v>
      </c>
      <c r="E1086" s="9" t="e">
        <f>VLOOKUP($B1086,#REF!,17,FALSE)</f>
        <v>#REF!</v>
      </c>
      <c r="F1086" s="10" t="e">
        <f>VLOOKUP($B1086,#REF!,7,FALSE)</f>
        <v>#REF!</v>
      </c>
      <c r="G1086" s="10"/>
      <c r="H1086" s="10"/>
      <c r="I1086" s="11" t="e">
        <f>VLOOKUP($B1086,#REF!,19,FALSE)</f>
        <v>#REF!</v>
      </c>
      <c r="J1086" s="11" t="e">
        <f>VLOOKUP($B1086,#REF!,6,FALSE)</f>
        <v>#REF!</v>
      </c>
      <c r="L1086" s="3">
        <v>44655.749999996508</v>
      </c>
      <c r="M1086" s="15"/>
    </row>
    <row r="1087" spans="2:13">
      <c r="B1087" s="7"/>
      <c r="C1087" s="8" t="e">
        <f>VLOOKUP($B1087,#REF!,5,FALSE)</f>
        <v>#REF!</v>
      </c>
      <c r="D1087" s="8" t="e">
        <f>VLOOKUP($B1087,#REF!,6,FALSE)</f>
        <v>#REF!</v>
      </c>
      <c r="E1087" s="9" t="e">
        <f>VLOOKUP($B1087,#REF!,17,FALSE)</f>
        <v>#REF!</v>
      </c>
      <c r="F1087" s="10" t="e">
        <f>VLOOKUP($B1087,#REF!,7,FALSE)</f>
        <v>#REF!</v>
      </c>
      <c r="G1087" s="10"/>
      <c r="H1087" s="10"/>
      <c r="I1087" s="11" t="e">
        <f>VLOOKUP($B1087,#REF!,19,FALSE)</f>
        <v>#REF!</v>
      </c>
      <c r="J1087" s="11" t="e">
        <f>VLOOKUP($B1087,#REF!,6,FALSE)</f>
        <v>#REF!</v>
      </c>
      <c r="L1087" s="3">
        <v>44655.753472218727</v>
      </c>
      <c r="M1087" s="15"/>
    </row>
    <row r="1088" spans="2:13">
      <c r="B1088" s="7"/>
      <c r="C1088" s="8" t="e">
        <f>VLOOKUP($B1088,#REF!,5,FALSE)</f>
        <v>#REF!</v>
      </c>
      <c r="D1088" s="8" t="e">
        <f>VLOOKUP($B1088,#REF!,6,FALSE)</f>
        <v>#REF!</v>
      </c>
      <c r="E1088" s="9" t="e">
        <f>VLOOKUP($B1088,#REF!,17,FALSE)</f>
        <v>#REF!</v>
      </c>
      <c r="F1088" s="10" t="e">
        <f>VLOOKUP($B1088,#REF!,7,FALSE)</f>
        <v>#REF!</v>
      </c>
      <c r="G1088" s="10"/>
      <c r="H1088" s="10"/>
      <c r="I1088" s="11" t="e">
        <f>VLOOKUP($B1088,#REF!,19,FALSE)</f>
        <v>#REF!</v>
      </c>
      <c r="J1088" s="11" t="e">
        <f>VLOOKUP($B1088,#REF!,6,FALSE)</f>
        <v>#REF!</v>
      </c>
      <c r="L1088" s="3">
        <v>44655.756944440946</v>
      </c>
      <c r="M1088" s="15"/>
    </row>
    <row r="1089" spans="2:13">
      <c r="B1089" s="7"/>
      <c r="C1089" s="8" t="e">
        <f>VLOOKUP($B1089,#REF!,5,FALSE)</f>
        <v>#REF!</v>
      </c>
      <c r="D1089" s="8" t="e">
        <f>VLOOKUP($B1089,#REF!,6,FALSE)</f>
        <v>#REF!</v>
      </c>
      <c r="E1089" s="9" t="e">
        <f>VLOOKUP($B1089,#REF!,17,FALSE)</f>
        <v>#REF!</v>
      </c>
      <c r="F1089" s="10" t="e">
        <f>VLOOKUP($B1089,#REF!,7,FALSE)</f>
        <v>#REF!</v>
      </c>
      <c r="G1089" s="10"/>
      <c r="H1089" s="10"/>
      <c r="I1089" s="11" t="e">
        <f>VLOOKUP($B1089,#REF!,19,FALSE)</f>
        <v>#REF!</v>
      </c>
      <c r="J1089" s="11" t="e">
        <f>VLOOKUP($B1089,#REF!,6,FALSE)</f>
        <v>#REF!</v>
      </c>
      <c r="L1089" s="3">
        <v>44655.760416663165</v>
      </c>
      <c r="M1089" s="15"/>
    </row>
    <row r="1090" spans="2:13">
      <c r="B1090" s="7"/>
      <c r="C1090" s="8" t="e">
        <f>VLOOKUP($B1090,#REF!,5,FALSE)</f>
        <v>#REF!</v>
      </c>
      <c r="D1090" s="8" t="e">
        <f>VLOOKUP($B1090,#REF!,6,FALSE)</f>
        <v>#REF!</v>
      </c>
      <c r="E1090" s="9" t="e">
        <f>VLOOKUP($B1090,#REF!,17,FALSE)</f>
        <v>#REF!</v>
      </c>
      <c r="F1090" s="10" t="e">
        <f>VLOOKUP($B1090,#REF!,7,FALSE)</f>
        <v>#REF!</v>
      </c>
      <c r="G1090" s="10"/>
      <c r="H1090" s="10"/>
      <c r="I1090" s="11" t="e">
        <f>VLOOKUP($B1090,#REF!,19,FALSE)</f>
        <v>#REF!</v>
      </c>
      <c r="J1090" s="11" t="e">
        <f>VLOOKUP($B1090,#REF!,6,FALSE)</f>
        <v>#REF!</v>
      </c>
      <c r="L1090" s="3">
        <v>44655.763888885383</v>
      </c>
      <c r="M1090" s="15"/>
    </row>
    <row r="1091" spans="2:13">
      <c r="B1091" s="7"/>
      <c r="C1091" s="8" t="e">
        <f>VLOOKUP($B1091,#REF!,5,FALSE)</f>
        <v>#REF!</v>
      </c>
      <c r="D1091" s="8" t="e">
        <f>VLOOKUP($B1091,#REF!,6,FALSE)</f>
        <v>#REF!</v>
      </c>
      <c r="E1091" s="9" t="e">
        <f>VLOOKUP($B1091,#REF!,17,FALSE)</f>
        <v>#REF!</v>
      </c>
      <c r="F1091" s="10" t="e">
        <f>VLOOKUP($B1091,#REF!,7,FALSE)</f>
        <v>#REF!</v>
      </c>
      <c r="G1091" s="10"/>
      <c r="H1091" s="10"/>
      <c r="I1091" s="11" t="e">
        <f>VLOOKUP($B1091,#REF!,19,FALSE)</f>
        <v>#REF!</v>
      </c>
      <c r="J1091" s="11" t="e">
        <f>VLOOKUP($B1091,#REF!,6,FALSE)</f>
        <v>#REF!</v>
      </c>
      <c r="L1091" s="3">
        <v>44655.767361107602</v>
      </c>
      <c r="M1091" s="15"/>
    </row>
    <row r="1092" spans="2:13">
      <c r="B1092" s="7"/>
      <c r="C1092" s="8" t="e">
        <f>VLOOKUP($B1092,#REF!,5,FALSE)</f>
        <v>#REF!</v>
      </c>
      <c r="D1092" s="8" t="e">
        <f>VLOOKUP($B1092,#REF!,6,FALSE)</f>
        <v>#REF!</v>
      </c>
      <c r="E1092" s="9" t="e">
        <f>VLOOKUP($B1092,#REF!,17,FALSE)</f>
        <v>#REF!</v>
      </c>
      <c r="F1092" s="10" t="e">
        <f>VLOOKUP($B1092,#REF!,7,FALSE)</f>
        <v>#REF!</v>
      </c>
      <c r="G1092" s="10"/>
      <c r="H1092" s="10"/>
      <c r="I1092" s="11" t="e">
        <f>VLOOKUP($B1092,#REF!,19,FALSE)</f>
        <v>#REF!</v>
      </c>
      <c r="J1092" s="11" t="e">
        <f>VLOOKUP($B1092,#REF!,6,FALSE)</f>
        <v>#REF!</v>
      </c>
      <c r="L1092" s="3">
        <v>44655.770833329821</v>
      </c>
      <c r="M1092" s="15"/>
    </row>
    <row r="1093" spans="2:13">
      <c r="B1093" s="7"/>
      <c r="C1093" s="8" t="e">
        <f>VLOOKUP($B1093,#REF!,5,FALSE)</f>
        <v>#REF!</v>
      </c>
      <c r="D1093" s="8" t="e">
        <f>VLOOKUP($B1093,#REF!,6,FALSE)</f>
        <v>#REF!</v>
      </c>
      <c r="E1093" s="9" t="e">
        <f>VLOOKUP($B1093,#REF!,17,FALSE)</f>
        <v>#REF!</v>
      </c>
      <c r="F1093" s="10" t="e">
        <f>VLOOKUP($B1093,#REF!,7,FALSE)</f>
        <v>#REF!</v>
      </c>
      <c r="G1093" s="10"/>
      <c r="H1093" s="10"/>
      <c r="I1093" s="11" t="e">
        <f>VLOOKUP($B1093,#REF!,19,FALSE)</f>
        <v>#REF!</v>
      </c>
      <c r="J1093" s="11" t="e">
        <f>VLOOKUP($B1093,#REF!,6,FALSE)</f>
        <v>#REF!</v>
      </c>
      <c r="L1093" s="3">
        <v>44655.77430555204</v>
      </c>
      <c r="M1093" s="15"/>
    </row>
    <row r="1094" spans="2:13">
      <c r="B1094" s="7"/>
      <c r="C1094" s="8" t="e">
        <f>VLOOKUP($B1094,#REF!,5,FALSE)</f>
        <v>#REF!</v>
      </c>
      <c r="D1094" s="8" t="e">
        <f>VLOOKUP($B1094,#REF!,6,FALSE)</f>
        <v>#REF!</v>
      </c>
      <c r="E1094" s="9" t="e">
        <f>VLOOKUP($B1094,#REF!,17,FALSE)</f>
        <v>#REF!</v>
      </c>
      <c r="F1094" s="10" t="e">
        <f>VLOOKUP($B1094,#REF!,7,FALSE)</f>
        <v>#REF!</v>
      </c>
      <c r="G1094" s="10"/>
      <c r="H1094" s="10"/>
      <c r="I1094" s="11" t="e">
        <f>VLOOKUP($B1094,#REF!,19,FALSE)</f>
        <v>#REF!</v>
      </c>
      <c r="J1094" s="11" t="e">
        <f>VLOOKUP($B1094,#REF!,6,FALSE)</f>
        <v>#REF!</v>
      </c>
      <c r="L1094" s="3">
        <v>44655.777777774259</v>
      </c>
      <c r="M1094" s="15"/>
    </row>
    <row r="1095" spans="2:13">
      <c r="B1095" s="7"/>
      <c r="C1095" s="8" t="e">
        <f>VLOOKUP($B1095,#REF!,5,FALSE)</f>
        <v>#REF!</v>
      </c>
      <c r="D1095" s="8" t="e">
        <f>VLOOKUP($B1095,#REF!,6,FALSE)</f>
        <v>#REF!</v>
      </c>
      <c r="E1095" s="9" t="e">
        <f>VLOOKUP($B1095,#REF!,17,FALSE)</f>
        <v>#REF!</v>
      </c>
      <c r="F1095" s="10" t="e">
        <f>VLOOKUP($B1095,#REF!,7,FALSE)</f>
        <v>#REF!</v>
      </c>
      <c r="G1095" s="10"/>
      <c r="H1095" s="10"/>
      <c r="I1095" s="11" t="e">
        <f>VLOOKUP($B1095,#REF!,19,FALSE)</f>
        <v>#REF!</v>
      </c>
      <c r="J1095" s="11" t="e">
        <f>VLOOKUP($B1095,#REF!,6,FALSE)</f>
        <v>#REF!</v>
      </c>
      <c r="L1095" s="3">
        <v>44655.781249996478</v>
      </c>
      <c r="M1095" s="15"/>
    </row>
    <row r="1096" spans="2:13">
      <c r="B1096" s="7"/>
      <c r="C1096" s="8" t="e">
        <f>VLOOKUP($B1096,#REF!,5,FALSE)</f>
        <v>#REF!</v>
      </c>
      <c r="D1096" s="8" t="e">
        <f>VLOOKUP($B1096,#REF!,6,FALSE)</f>
        <v>#REF!</v>
      </c>
      <c r="E1096" s="9" t="e">
        <f>VLOOKUP($B1096,#REF!,17,FALSE)</f>
        <v>#REF!</v>
      </c>
      <c r="F1096" s="10" t="e">
        <f>VLOOKUP($B1096,#REF!,7,FALSE)</f>
        <v>#REF!</v>
      </c>
      <c r="G1096" s="10"/>
      <c r="H1096" s="10"/>
      <c r="I1096" s="11" t="e">
        <f>VLOOKUP($B1096,#REF!,19,FALSE)</f>
        <v>#REF!</v>
      </c>
      <c r="J1096" s="11" t="e">
        <f>VLOOKUP($B1096,#REF!,6,FALSE)</f>
        <v>#REF!</v>
      </c>
      <c r="L1096" s="3">
        <v>44655.784722218697</v>
      </c>
      <c r="M1096" s="15"/>
    </row>
    <row r="1097" spans="2:13">
      <c r="B1097" s="7"/>
      <c r="C1097" s="8" t="e">
        <f>VLOOKUP($B1097,#REF!,5,FALSE)</f>
        <v>#REF!</v>
      </c>
      <c r="D1097" s="8" t="e">
        <f>VLOOKUP($B1097,#REF!,6,FALSE)</f>
        <v>#REF!</v>
      </c>
      <c r="E1097" s="9" t="e">
        <f>VLOOKUP($B1097,#REF!,17,FALSE)</f>
        <v>#REF!</v>
      </c>
      <c r="F1097" s="10" t="e">
        <f>VLOOKUP($B1097,#REF!,7,FALSE)</f>
        <v>#REF!</v>
      </c>
      <c r="G1097" s="10"/>
      <c r="H1097" s="10"/>
      <c r="I1097" s="11" t="e">
        <f>VLOOKUP($B1097,#REF!,19,FALSE)</f>
        <v>#REF!</v>
      </c>
      <c r="J1097" s="11" t="e">
        <f>VLOOKUP($B1097,#REF!,6,FALSE)</f>
        <v>#REF!</v>
      </c>
      <c r="L1097" s="3">
        <v>44655.788194440916</v>
      </c>
      <c r="M1097" s="15"/>
    </row>
    <row r="1098" spans="2:13">
      <c r="B1098" s="7"/>
      <c r="C1098" s="8" t="e">
        <f>VLOOKUP($B1098,#REF!,5,FALSE)</f>
        <v>#REF!</v>
      </c>
      <c r="D1098" s="8" t="e">
        <f>VLOOKUP($B1098,#REF!,6,FALSE)</f>
        <v>#REF!</v>
      </c>
      <c r="E1098" s="9" t="e">
        <f>VLOOKUP($B1098,#REF!,17,FALSE)</f>
        <v>#REF!</v>
      </c>
      <c r="F1098" s="10" t="e">
        <f>VLOOKUP($B1098,#REF!,7,FALSE)</f>
        <v>#REF!</v>
      </c>
      <c r="G1098" s="10"/>
      <c r="H1098" s="10"/>
      <c r="I1098" s="11" t="e">
        <f>VLOOKUP($B1098,#REF!,19,FALSE)</f>
        <v>#REF!</v>
      </c>
      <c r="J1098" s="11" t="e">
        <f>VLOOKUP($B1098,#REF!,6,FALSE)</f>
        <v>#REF!</v>
      </c>
      <c r="L1098" s="3">
        <v>44655.791666663135</v>
      </c>
      <c r="M1098" s="15"/>
    </row>
    <row r="1099" spans="2:13">
      <c r="B1099" s="7"/>
      <c r="C1099" s="8" t="e">
        <f>VLOOKUP($B1099,#REF!,5,FALSE)</f>
        <v>#REF!</v>
      </c>
      <c r="D1099" s="8" t="e">
        <f>VLOOKUP($B1099,#REF!,6,FALSE)</f>
        <v>#REF!</v>
      </c>
      <c r="E1099" s="9" t="e">
        <f>VLOOKUP($B1099,#REF!,17,FALSE)</f>
        <v>#REF!</v>
      </c>
      <c r="F1099" s="10" t="e">
        <f>VLOOKUP($B1099,#REF!,7,FALSE)</f>
        <v>#REF!</v>
      </c>
      <c r="G1099" s="10"/>
      <c r="H1099" s="10"/>
      <c r="I1099" s="11" t="e">
        <f>VLOOKUP($B1099,#REF!,19,FALSE)</f>
        <v>#REF!</v>
      </c>
      <c r="J1099" s="11" t="e">
        <f>VLOOKUP($B1099,#REF!,6,FALSE)</f>
        <v>#REF!</v>
      </c>
      <c r="L1099" s="3">
        <v>44655.795138885354</v>
      </c>
      <c r="M1099" s="15"/>
    </row>
    <row r="1100" spans="2:13">
      <c r="B1100" s="7"/>
      <c r="C1100" s="8" t="e">
        <f>VLOOKUP($B1100,#REF!,5,FALSE)</f>
        <v>#REF!</v>
      </c>
      <c r="D1100" s="8" t="e">
        <f>VLOOKUP($B1100,#REF!,6,FALSE)</f>
        <v>#REF!</v>
      </c>
      <c r="E1100" s="9" t="e">
        <f>VLOOKUP($B1100,#REF!,17,FALSE)</f>
        <v>#REF!</v>
      </c>
      <c r="F1100" s="10" t="e">
        <f>VLOOKUP($B1100,#REF!,7,FALSE)</f>
        <v>#REF!</v>
      </c>
      <c r="G1100" s="10"/>
      <c r="H1100" s="10"/>
      <c r="I1100" s="11" t="e">
        <f>VLOOKUP($B1100,#REF!,19,FALSE)</f>
        <v>#REF!</v>
      </c>
      <c r="J1100" s="11" t="e">
        <f>VLOOKUP($B1100,#REF!,6,FALSE)</f>
        <v>#REF!</v>
      </c>
      <c r="L1100" s="3">
        <v>44655.798611107573</v>
      </c>
      <c r="M1100" s="15"/>
    </row>
    <row r="1101" spans="2:13">
      <c r="B1101" s="7"/>
      <c r="C1101" s="8" t="e">
        <f>VLOOKUP($B1101,#REF!,5,FALSE)</f>
        <v>#REF!</v>
      </c>
      <c r="D1101" s="8" t="e">
        <f>VLOOKUP($B1101,#REF!,6,FALSE)</f>
        <v>#REF!</v>
      </c>
      <c r="E1101" s="9" t="e">
        <f>VLOOKUP($B1101,#REF!,17,FALSE)</f>
        <v>#REF!</v>
      </c>
      <c r="F1101" s="10" t="e">
        <f>VLOOKUP($B1101,#REF!,7,FALSE)</f>
        <v>#REF!</v>
      </c>
      <c r="G1101" s="10"/>
      <c r="H1101" s="10"/>
      <c r="I1101" s="11" t="e">
        <f>VLOOKUP($B1101,#REF!,19,FALSE)</f>
        <v>#REF!</v>
      </c>
      <c r="J1101" s="11" t="e">
        <f>VLOOKUP($B1101,#REF!,6,FALSE)</f>
        <v>#REF!</v>
      </c>
      <c r="L1101" s="3">
        <v>44655.802083329792</v>
      </c>
      <c r="M1101" s="15"/>
    </row>
    <row r="1102" spans="2:13">
      <c r="B1102" s="7"/>
      <c r="C1102" s="8" t="e">
        <f>VLOOKUP($B1102,#REF!,5,FALSE)</f>
        <v>#REF!</v>
      </c>
      <c r="D1102" s="8" t="e">
        <f>VLOOKUP($B1102,#REF!,6,FALSE)</f>
        <v>#REF!</v>
      </c>
      <c r="E1102" s="9" t="e">
        <f>VLOOKUP($B1102,#REF!,17,FALSE)</f>
        <v>#REF!</v>
      </c>
      <c r="F1102" s="10" t="e">
        <f>VLOOKUP($B1102,#REF!,7,FALSE)</f>
        <v>#REF!</v>
      </c>
      <c r="G1102" s="10"/>
      <c r="H1102" s="10"/>
      <c r="I1102" s="11" t="e">
        <f>VLOOKUP($B1102,#REF!,19,FALSE)</f>
        <v>#REF!</v>
      </c>
      <c r="J1102" s="11" t="e">
        <f>VLOOKUP($B1102,#REF!,6,FALSE)</f>
        <v>#REF!</v>
      </c>
      <c r="L1102" s="3">
        <v>44655.805555552011</v>
      </c>
      <c r="M1102" s="15"/>
    </row>
    <row r="1103" spans="2:13">
      <c r="B1103" s="7"/>
      <c r="C1103" s="8" t="e">
        <f>VLOOKUP($B1103,#REF!,5,FALSE)</f>
        <v>#REF!</v>
      </c>
      <c r="D1103" s="8" t="e">
        <f>VLOOKUP($B1103,#REF!,6,FALSE)</f>
        <v>#REF!</v>
      </c>
      <c r="E1103" s="9" t="e">
        <f>VLOOKUP($B1103,#REF!,17,FALSE)</f>
        <v>#REF!</v>
      </c>
      <c r="F1103" s="10" t="e">
        <f>VLOOKUP($B1103,#REF!,7,FALSE)</f>
        <v>#REF!</v>
      </c>
      <c r="G1103" s="10"/>
      <c r="H1103" s="10"/>
      <c r="I1103" s="11" t="e">
        <f>VLOOKUP($B1103,#REF!,19,FALSE)</f>
        <v>#REF!</v>
      </c>
      <c r="J1103" s="11" t="e">
        <f>VLOOKUP($B1103,#REF!,6,FALSE)</f>
        <v>#REF!</v>
      </c>
      <c r="L1103" s="3">
        <v>44655.80902777423</v>
      </c>
      <c r="M1103" s="15"/>
    </row>
    <row r="1104" spans="2:13">
      <c r="B1104" s="7"/>
      <c r="C1104" s="8" t="e">
        <f>VLOOKUP($B1104,#REF!,5,FALSE)</f>
        <v>#REF!</v>
      </c>
      <c r="D1104" s="8" t="e">
        <f>VLOOKUP($B1104,#REF!,6,FALSE)</f>
        <v>#REF!</v>
      </c>
      <c r="E1104" s="9" t="e">
        <f>VLOOKUP($B1104,#REF!,17,FALSE)</f>
        <v>#REF!</v>
      </c>
      <c r="F1104" s="10" t="e">
        <f>VLOOKUP($B1104,#REF!,7,FALSE)</f>
        <v>#REF!</v>
      </c>
      <c r="G1104" s="10"/>
      <c r="H1104" s="10"/>
      <c r="I1104" s="11" t="e">
        <f>VLOOKUP($B1104,#REF!,19,FALSE)</f>
        <v>#REF!</v>
      </c>
      <c r="J1104" s="11" t="e">
        <f>VLOOKUP($B1104,#REF!,6,FALSE)</f>
        <v>#REF!</v>
      </c>
      <c r="L1104" s="3">
        <v>44655.812499996449</v>
      </c>
      <c r="M1104" s="15"/>
    </row>
    <row r="1105" spans="2:13">
      <c r="B1105" s="7"/>
      <c r="C1105" s="8" t="e">
        <f>VLOOKUP($B1105,#REF!,5,FALSE)</f>
        <v>#REF!</v>
      </c>
      <c r="D1105" s="8" t="e">
        <f>VLOOKUP($B1105,#REF!,6,FALSE)</f>
        <v>#REF!</v>
      </c>
      <c r="E1105" s="9" t="e">
        <f>VLOOKUP($B1105,#REF!,17,FALSE)</f>
        <v>#REF!</v>
      </c>
      <c r="F1105" s="10" t="e">
        <f>VLOOKUP($B1105,#REF!,7,FALSE)</f>
        <v>#REF!</v>
      </c>
      <c r="G1105" s="10"/>
      <c r="H1105" s="10"/>
      <c r="I1105" s="11" t="e">
        <f>VLOOKUP($B1105,#REF!,19,FALSE)</f>
        <v>#REF!</v>
      </c>
      <c r="J1105" s="11" t="e">
        <f>VLOOKUP($B1105,#REF!,6,FALSE)</f>
        <v>#REF!</v>
      </c>
      <c r="L1105" s="3">
        <v>44655.815972218668</v>
      </c>
      <c r="M1105" s="15"/>
    </row>
    <row r="1106" spans="2:13">
      <c r="B1106" s="7"/>
      <c r="C1106" s="8" t="e">
        <f>VLOOKUP($B1106,#REF!,5,FALSE)</f>
        <v>#REF!</v>
      </c>
      <c r="D1106" s="8" t="e">
        <f>VLOOKUP($B1106,#REF!,6,FALSE)</f>
        <v>#REF!</v>
      </c>
      <c r="E1106" s="9" t="e">
        <f>VLOOKUP($B1106,#REF!,17,FALSE)</f>
        <v>#REF!</v>
      </c>
      <c r="F1106" s="10" t="e">
        <f>VLOOKUP($B1106,#REF!,7,FALSE)</f>
        <v>#REF!</v>
      </c>
      <c r="G1106" s="10"/>
      <c r="H1106" s="10"/>
      <c r="I1106" s="11" t="e">
        <f>VLOOKUP($B1106,#REF!,19,FALSE)</f>
        <v>#REF!</v>
      </c>
      <c r="J1106" s="11" t="e">
        <f>VLOOKUP($B1106,#REF!,6,FALSE)</f>
        <v>#REF!</v>
      </c>
      <c r="L1106" s="3">
        <v>44655.819444440887</v>
      </c>
      <c r="M1106" s="15"/>
    </row>
    <row r="1107" spans="2:13">
      <c r="B1107" s="7"/>
      <c r="C1107" s="8" t="e">
        <f>VLOOKUP($B1107,#REF!,5,FALSE)</f>
        <v>#REF!</v>
      </c>
      <c r="D1107" s="8" t="e">
        <f>VLOOKUP($B1107,#REF!,6,FALSE)</f>
        <v>#REF!</v>
      </c>
      <c r="E1107" s="9" t="e">
        <f>VLOOKUP($B1107,#REF!,17,FALSE)</f>
        <v>#REF!</v>
      </c>
      <c r="F1107" s="10" t="e">
        <f>VLOOKUP($B1107,#REF!,7,FALSE)</f>
        <v>#REF!</v>
      </c>
      <c r="G1107" s="10"/>
      <c r="H1107" s="10"/>
      <c r="I1107" s="11" t="e">
        <f>VLOOKUP($B1107,#REF!,19,FALSE)</f>
        <v>#REF!</v>
      </c>
      <c r="J1107" s="11" t="e">
        <f>VLOOKUP($B1107,#REF!,6,FALSE)</f>
        <v>#REF!</v>
      </c>
      <c r="L1107" s="3">
        <v>44655.822916663106</v>
      </c>
      <c r="M1107" s="15"/>
    </row>
    <row r="1108" spans="2:13">
      <c r="B1108" s="7"/>
      <c r="C1108" s="8" t="e">
        <f>VLOOKUP($B1108,#REF!,5,FALSE)</f>
        <v>#REF!</v>
      </c>
      <c r="D1108" s="8" t="e">
        <f>VLOOKUP($B1108,#REF!,6,FALSE)</f>
        <v>#REF!</v>
      </c>
      <c r="E1108" s="9" t="e">
        <f>VLOOKUP($B1108,#REF!,17,FALSE)</f>
        <v>#REF!</v>
      </c>
      <c r="F1108" s="10" t="e">
        <f>VLOOKUP($B1108,#REF!,7,FALSE)</f>
        <v>#REF!</v>
      </c>
      <c r="G1108" s="10"/>
      <c r="H1108" s="10"/>
      <c r="I1108" s="11" t="e">
        <f>VLOOKUP($B1108,#REF!,19,FALSE)</f>
        <v>#REF!</v>
      </c>
      <c r="J1108" s="11" t="e">
        <f>VLOOKUP($B1108,#REF!,6,FALSE)</f>
        <v>#REF!</v>
      </c>
      <c r="L1108" s="3">
        <v>44655.826388885325</v>
      </c>
      <c r="M1108" s="15"/>
    </row>
    <row r="1109" spans="2:13">
      <c r="B1109" s="7"/>
      <c r="C1109" s="8" t="e">
        <f>VLOOKUP($B1109,#REF!,5,FALSE)</f>
        <v>#REF!</v>
      </c>
      <c r="D1109" s="8" t="e">
        <f>VLOOKUP($B1109,#REF!,6,FALSE)</f>
        <v>#REF!</v>
      </c>
      <c r="E1109" s="9" t="e">
        <f>VLOOKUP($B1109,#REF!,17,FALSE)</f>
        <v>#REF!</v>
      </c>
      <c r="F1109" s="10" t="e">
        <f>VLOOKUP($B1109,#REF!,7,FALSE)</f>
        <v>#REF!</v>
      </c>
      <c r="G1109" s="10"/>
      <c r="H1109" s="10"/>
      <c r="I1109" s="11" t="e">
        <f>VLOOKUP($B1109,#REF!,19,FALSE)</f>
        <v>#REF!</v>
      </c>
      <c r="J1109" s="11" t="e">
        <f>VLOOKUP($B1109,#REF!,6,FALSE)</f>
        <v>#REF!</v>
      </c>
      <c r="L1109" s="3">
        <v>44655.829861107544</v>
      </c>
      <c r="M1109" s="15"/>
    </row>
    <row r="1110" spans="2:13">
      <c r="B1110" s="7"/>
      <c r="C1110" s="8" t="e">
        <f>VLOOKUP($B1110,#REF!,5,FALSE)</f>
        <v>#REF!</v>
      </c>
      <c r="D1110" s="8" t="e">
        <f>VLOOKUP($B1110,#REF!,6,FALSE)</f>
        <v>#REF!</v>
      </c>
      <c r="E1110" s="9" t="e">
        <f>VLOOKUP($B1110,#REF!,17,FALSE)</f>
        <v>#REF!</v>
      </c>
      <c r="F1110" s="10" t="e">
        <f>VLOOKUP($B1110,#REF!,7,FALSE)</f>
        <v>#REF!</v>
      </c>
      <c r="G1110" s="10"/>
      <c r="H1110" s="10"/>
      <c r="I1110" s="11" t="e">
        <f>VLOOKUP($B1110,#REF!,19,FALSE)</f>
        <v>#REF!</v>
      </c>
      <c r="J1110" s="11" t="e">
        <f>VLOOKUP($B1110,#REF!,6,FALSE)</f>
        <v>#REF!</v>
      </c>
      <c r="L1110" s="3">
        <v>44655.833333329763</v>
      </c>
      <c r="M1110" s="15"/>
    </row>
    <row r="1111" spans="2:13">
      <c r="B1111" s="7"/>
      <c r="C1111" s="8" t="e">
        <f>VLOOKUP($B1111,#REF!,5,FALSE)</f>
        <v>#REF!</v>
      </c>
      <c r="D1111" s="8" t="e">
        <f>VLOOKUP($B1111,#REF!,6,FALSE)</f>
        <v>#REF!</v>
      </c>
      <c r="E1111" s="9" t="e">
        <f>VLOOKUP($B1111,#REF!,17,FALSE)</f>
        <v>#REF!</v>
      </c>
      <c r="F1111" s="10" t="e">
        <f>VLOOKUP($B1111,#REF!,7,FALSE)</f>
        <v>#REF!</v>
      </c>
      <c r="G1111" s="10"/>
      <c r="H1111" s="10"/>
      <c r="I1111" s="11" t="e">
        <f>VLOOKUP($B1111,#REF!,19,FALSE)</f>
        <v>#REF!</v>
      </c>
      <c r="J1111" s="11" t="e">
        <f>VLOOKUP($B1111,#REF!,6,FALSE)</f>
        <v>#REF!</v>
      </c>
      <c r="L1111" s="3">
        <v>44655.836805551982</v>
      </c>
      <c r="M1111" s="15"/>
    </row>
    <row r="1112" spans="2:13">
      <c r="B1112" s="7"/>
      <c r="C1112" s="8" t="e">
        <f>VLOOKUP($B1112,#REF!,5,FALSE)</f>
        <v>#REF!</v>
      </c>
      <c r="D1112" s="8" t="e">
        <f>VLOOKUP($B1112,#REF!,6,FALSE)</f>
        <v>#REF!</v>
      </c>
      <c r="E1112" s="9" t="e">
        <f>VLOOKUP($B1112,#REF!,17,FALSE)</f>
        <v>#REF!</v>
      </c>
      <c r="F1112" s="10" t="e">
        <f>VLOOKUP($B1112,#REF!,7,FALSE)</f>
        <v>#REF!</v>
      </c>
      <c r="G1112" s="10"/>
      <c r="H1112" s="10"/>
      <c r="I1112" s="11" t="e">
        <f>VLOOKUP($B1112,#REF!,19,FALSE)</f>
        <v>#REF!</v>
      </c>
      <c r="J1112" s="11" t="e">
        <f>VLOOKUP($B1112,#REF!,6,FALSE)</f>
        <v>#REF!</v>
      </c>
      <c r="L1112" s="3">
        <v>44655.840277774201</v>
      </c>
      <c r="M1112" s="15"/>
    </row>
    <row r="1113" spans="2:13">
      <c r="B1113" s="7"/>
      <c r="C1113" s="8" t="e">
        <f>VLOOKUP($B1113,#REF!,5,FALSE)</f>
        <v>#REF!</v>
      </c>
      <c r="D1113" s="8" t="e">
        <f>VLOOKUP($B1113,#REF!,6,FALSE)</f>
        <v>#REF!</v>
      </c>
      <c r="E1113" s="9" t="e">
        <f>VLOOKUP($B1113,#REF!,17,FALSE)</f>
        <v>#REF!</v>
      </c>
      <c r="F1113" s="10" t="e">
        <f>VLOOKUP($B1113,#REF!,7,FALSE)</f>
        <v>#REF!</v>
      </c>
      <c r="G1113" s="10"/>
      <c r="H1113" s="10"/>
      <c r="I1113" s="11" t="e">
        <f>VLOOKUP($B1113,#REF!,19,FALSE)</f>
        <v>#REF!</v>
      </c>
      <c r="J1113" s="11" t="e">
        <f>VLOOKUP($B1113,#REF!,6,FALSE)</f>
        <v>#REF!</v>
      </c>
      <c r="L1113" s="3">
        <v>44655.84374999642</v>
      </c>
      <c r="M1113" s="15"/>
    </row>
    <row r="1114" spans="2:13">
      <c r="B1114" s="7"/>
      <c r="C1114" s="8" t="e">
        <f>VLOOKUP($B1114,#REF!,5,FALSE)</f>
        <v>#REF!</v>
      </c>
      <c r="D1114" s="8" t="e">
        <f>VLOOKUP($B1114,#REF!,6,FALSE)</f>
        <v>#REF!</v>
      </c>
      <c r="E1114" s="9" t="e">
        <f>VLOOKUP($B1114,#REF!,17,FALSE)</f>
        <v>#REF!</v>
      </c>
      <c r="F1114" s="10" t="e">
        <f>VLOOKUP($B1114,#REF!,7,FALSE)</f>
        <v>#REF!</v>
      </c>
      <c r="G1114" s="10"/>
      <c r="H1114" s="10"/>
      <c r="I1114" s="11" t="e">
        <f>VLOOKUP($B1114,#REF!,19,FALSE)</f>
        <v>#REF!</v>
      </c>
      <c r="J1114" s="11" t="e">
        <f>VLOOKUP($B1114,#REF!,6,FALSE)</f>
        <v>#REF!</v>
      </c>
      <c r="L1114" s="3">
        <v>44655.847222218639</v>
      </c>
      <c r="M1114" s="15"/>
    </row>
    <row r="1115" spans="2:13">
      <c r="B1115" s="7"/>
      <c r="C1115" s="8" t="e">
        <f>VLOOKUP($B1115,#REF!,5,FALSE)</f>
        <v>#REF!</v>
      </c>
      <c r="D1115" s="8" t="e">
        <f>VLOOKUP($B1115,#REF!,6,FALSE)</f>
        <v>#REF!</v>
      </c>
      <c r="E1115" s="9" t="e">
        <f>VLOOKUP($B1115,#REF!,17,FALSE)</f>
        <v>#REF!</v>
      </c>
      <c r="F1115" s="10" t="e">
        <f>VLOOKUP($B1115,#REF!,7,FALSE)</f>
        <v>#REF!</v>
      </c>
      <c r="G1115" s="10"/>
      <c r="H1115" s="10"/>
      <c r="I1115" s="11" t="e">
        <f>VLOOKUP($B1115,#REF!,19,FALSE)</f>
        <v>#REF!</v>
      </c>
      <c r="J1115" s="11" t="e">
        <f>VLOOKUP($B1115,#REF!,6,FALSE)</f>
        <v>#REF!</v>
      </c>
      <c r="L1115" s="3">
        <v>44655.850694440858</v>
      </c>
      <c r="M1115" s="15"/>
    </row>
    <row r="1116" spans="2:13">
      <c r="B1116" s="7"/>
      <c r="C1116" s="8" t="e">
        <f>VLOOKUP($B1116,#REF!,5,FALSE)</f>
        <v>#REF!</v>
      </c>
      <c r="D1116" s="8" t="e">
        <f>VLOOKUP($B1116,#REF!,6,FALSE)</f>
        <v>#REF!</v>
      </c>
      <c r="E1116" s="9" t="e">
        <f>VLOOKUP($B1116,#REF!,17,FALSE)</f>
        <v>#REF!</v>
      </c>
      <c r="F1116" s="10" t="e">
        <f>VLOOKUP($B1116,#REF!,7,FALSE)</f>
        <v>#REF!</v>
      </c>
      <c r="G1116" s="10"/>
      <c r="H1116" s="10"/>
      <c r="I1116" s="11" t="e">
        <f>VLOOKUP($B1116,#REF!,19,FALSE)</f>
        <v>#REF!</v>
      </c>
      <c r="J1116" s="11" t="e">
        <f>VLOOKUP($B1116,#REF!,6,FALSE)</f>
        <v>#REF!</v>
      </c>
      <c r="L1116" s="3">
        <v>44655.854166663077</v>
      </c>
      <c r="M1116" s="15"/>
    </row>
    <row r="1117" spans="2:13">
      <c r="B1117" s="7"/>
      <c r="C1117" s="8" t="e">
        <f>VLOOKUP($B1117,#REF!,5,FALSE)</f>
        <v>#REF!</v>
      </c>
      <c r="D1117" s="8" t="e">
        <f>VLOOKUP($B1117,#REF!,6,FALSE)</f>
        <v>#REF!</v>
      </c>
      <c r="E1117" s="9" t="e">
        <f>VLOOKUP($B1117,#REF!,17,FALSE)</f>
        <v>#REF!</v>
      </c>
      <c r="F1117" s="10" t="e">
        <f>VLOOKUP($B1117,#REF!,7,FALSE)</f>
        <v>#REF!</v>
      </c>
      <c r="G1117" s="10"/>
      <c r="H1117" s="10"/>
      <c r="I1117" s="11" t="e">
        <f>VLOOKUP($B1117,#REF!,19,FALSE)</f>
        <v>#REF!</v>
      </c>
      <c r="J1117" s="11" t="e">
        <f>VLOOKUP($B1117,#REF!,6,FALSE)</f>
        <v>#REF!</v>
      </c>
      <c r="L1117" s="3">
        <v>44655.857638885296</v>
      </c>
      <c r="M1117" s="15"/>
    </row>
    <row r="1118" spans="2:13">
      <c r="B1118" s="7"/>
      <c r="C1118" s="8" t="e">
        <f>VLOOKUP($B1118,#REF!,5,FALSE)</f>
        <v>#REF!</v>
      </c>
      <c r="D1118" s="8" t="e">
        <f>VLOOKUP($B1118,#REF!,6,FALSE)</f>
        <v>#REF!</v>
      </c>
      <c r="E1118" s="9" t="e">
        <f>VLOOKUP($B1118,#REF!,17,FALSE)</f>
        <v>#REF!</v>
      </c>
      <c r="F1118" s="10" t="e">
        <f>VLOOKUP($B1118,#REF!,7,FALSE)</f>
        <v>#REF!</v>
      </c>
      <c r="G1118" s="10"/>
      <c r="H1118" s="10"/>
      <c r="I1118" s="11" t="e">
        <f>VLOOKUP($B1118,#REF!,19,FALSE)</f>
        <v>#REF!</v>
      </c>
      <c r="J1118" s="11" t="e">
        <f>VLOOKUP($B1118,#REF!,6,FALSE)</f>
        <v>#REF!</v>
      </c>
      <c r="L1118" s="3">
        <v>44655.861111107515</v>
      </c>
      <c r="M1118" s="15"/>
    </row>
    <row r="1119" spans="2:13">
      <c r="B1119" s="7"/>
      <c r="C1119" s="8" t="e">
        <f>VLOOKUP($B1119,#REF!,5,FALSE)</f>
        <v>#REF!</v>
      </c>
      <c r="D1119" s="8" t="e">
        <f>VLOOKUP($B1119,#REF!,6,FALSE)</f>
        <v>#REF!</v>
      </c>
      <c r="E1119" s="9" t="e">
        <f>VLOOKUP($B1119,#REF!,17,FALSE)</f>
        <v>#REF!</v>
      </c>
      <c r="F1119" s="10" t="e">
        <f>VLOOKUP($B1119,#REF!,7,FALSE)</f>
        <v>#REF!</v>
      </c>
      <c r="G1119" s="10"/>
      <c r="H1119" s="10"/>
      <c r="I1119" s="11" t="e">
        <f>VLOOKUP($B1119,#REF!,19,FALSE)</f>
        <v>#REF!</v>
      </c>
      <c r="J1119" s="11" t="e">
        <f>VLOOKUP($B1119,#REF!,6,FALSE)</f>
        <v>#REF!</v>
      </c>
      <c r="L1119" s="3">
        <v>44655.864583329734</v>
      </c>
      <c r="M1119" s="15"/>
    </row>
    <row r="1120" spans="2:13">
      <c r="B1120" s="7"/>
      <c r="C1120" s="8" t="e">
        <f>VLOOKUP($B1120,#REF!,5,FALSE)</f>
        <v>#REF!</v>
      </c>
      <c r="D1120" s="8" t="e">
        <f>VLOOKUP($B1120,#REF!,6,FALSE)</f>
        <v>#REF!</v>
      </c>
      <c r="E1120" s="9" t="e">
        <f>VLOOKUP($B1120,#REF!,17,FALSE)</f>
        <v>#REF!</v>
      </c>
      <c r="F1120" s="10" t="e">
        <f>VLOOKUP($B1120,#REF!,7,FALSE)</f>
        <v>#REF!</v>
      </c>
      <c r="G1120" s="10"/>
      <c r="H1120" s="10"/>
      <c r="I1120" s="11" t="e">
        <f>VLOOKUP($B1120,#REF!,19,FALSE)</f>
        <v>#REF!</v>
      </c>
      <c r="J1120" s="11" t="e">
        <f>VLOOKUP($B1120,#REF!,6,FALSE)</f>
        <v>#REF!</v>
      </c>
      <c r="L1120" s="3">
        <v>44655.868055551953</v>
      </c>
      <c r="M1120" s="15"/>
    </row>
    <row r="1121" spans="2:13">
      <c r="B1121" s="7"/>
      <c r="C1121" s="8" t="e">
        <f>VLOOKUP($B1121,#REF!,5,FALSE)</f>
        <v>#REF!</v>
      </c>
      <c r="D1121" s="8" t="e">
        <f>VLOOKUP($B1121,#REF!,6,FALSE)</f>
        <v>#REF!</v>
      </c>
      <c r="E1121" s="9" t="e">
        <f>VLOOKUP($B1121,#REF!,17,FALSE)</f>
        <v>#REF!</v>
      </c>
      <c r="F1121" s="10" t="e">
        <f>VLOOKUP($B1121,#REF!,7,FALSE)</f>
        <v>#REF!</v>
      </c>
      <c r="G1121" s="10"/>
      <c r="H1121" s="10"/>
      <c r="I1121" s="11" t="e">
        <f>VLOOKUP($B1121,#REF!,19,FALSE)</f>
        <v>#REF!</v>
      </c>
      <c r="J1121" s="11" t="e">
        <f>VLOOKUP($B1121,#REF!,6,FALSE)</f>
        <v>#REF!</v>
      </c>
      <c r="L1121" s="3">
        <v>44655.871527774172</v>
      </c>
      <c r="M1121" s="15"/>
    </row>
    <row r="1122" spans="2:13">
      <c r="B1122" s="7"/>
      <c r="C1122" s="8" t="e">
        <f>VLOOKUP($B1122,#REF!,5,FALSE)</f>
        <v>#REF!</v>
      </c>
      <c r="D1122" s="8" t="e">
        <f>VLOOKUP($B1122,#REF!,6,FALSE)</f>
        <v>#REF!</v>
      </c>
      <c r="E1122" s="9" t="e">
        <f>VLOOKUP($B1122,#REF!,17,FALSE)</f>
        <v>#REF!</v>
      </c>
      <c r="F1122" s="10" t="e">
        <f>VLOOKUP($B1122,#REF!,7,FALSE)</f>
        <v>#REF!</v>
      </c>
      <c r="G1122" s="10"/>
      <c r="H1122" s="10"/>
      <c r="I1122" s="11" t="e">
        <f>VLOOKUP($B1122,#REF!,19,FALSE)</f>
        <v>#REF!</v>
      </c>
      <c r="J1122" s="11" t="e">
        <f>VLOOKUP($B1122,#REF!,6,FALSE)</f>
        <v>#REF!</v>
      </c>
      <c r="L1122" s="3">
        <v>44655.874999996391</v>
      </c>
      <c r="M1122" s="15"/>
    </row>
    <row r="1123" spans="2:13">
      <c r="B1123" s="7"/>
      <c r="C1123" s="8" t="e">
        <f>VLOOKUP($B1123,#REF!,5,FALSE)</f>
        <v>#REF!</v>
      </c>
      <c r="D1123" s="8" t="e">
        <f>VLOOKUP($B1123,#REF!,6,FALSE)</f>
        <v>#REF!</v>
      </c>
      <c r="E1123" s="9" t="e">
        <f>VLOOKUP($B1123,#REF!,17,FALSE)</f>
        <v>#REF!</v>
      </c>
      <c r="F1123" s="10" t="e">
        <f>VLOOKUP($B1123,#REF!,7,FALSE)</f>
        <v>#REF!</v>
      </c>
      <c r="G1123" s="10"/>
      <c r="H1123" s="10"/>
      <c r="I1123" s="11" t="e">
        <f>VLOOKUP($B1123,#REF!,19,FALSE)</f>
        <v>#REF!</v>
      </c>
      <c r="J1123" s="11" t="e">
        <f>VLOOKUP($B1123,#REF!,6,FALSE)</f>
        <v>#REF!</v>
      </c>
      <c r="L1123" s="3">
        <v>44655.87847221861</v>
      </c>
      <c r="M1123" s="15"/>
    </row>
    <row r="1124" spans="2:13">
      <c r="B1124" s="7"/>
      <c r="C1124" s="8" t="e">
        <f>VLOOKUP($B1124,#REF!,5,FALSE)</f>
        <v>#REF!</v>
      </c>
      <c r="D1124" s="8" t="e">
        <f>VLOOKUP($B1124,#REF!,6,FALSE)</f>
        <v>#REF!</v>
      </c>
      <c r="E1124" s="9" t="e">
        <f>VLOOKUP($B1124,#REF!,17,FALSE)</f>
        <v>#REF!</v>
      </c>
      <c r="F1124" s="10" t="e">
        <f>VLOOKUP($B1124,#REF!,7,FALSE)</f>
        <v>#REF!</v>
      </c>
      <c r="G1124" s="10"/>
      <c r="H1124" s="10"/>
      <c r="I1124" s="11" t="e">
        <f>VLOOKUP($B1124,#REF!,19,FALSE)</f>
        <v>#REF!</v>
      </c>
      <c r="J1124" s="11" t="e">
        <f>VLOOKUP($B1124,#REF!,6,FALSE)</f>
        <v>#REF!</v>
      </c>
      <c r="L1124" s="3">
        <v>44655.881944440829</v>
      </c>
      <c r="M1124" s="15"/>
    </row>
    <row r="1125" spans="2:13">
      <c r="B1125" s="7"/>
      <c r="C1125" s="8" t="e">
        <f>VLOOKUP($B1125,#REF!,5,FALSE)</f>
        <v>#REF!</v>
      </c>
      <c r="D1125" s="8" t="e">
        <f>VLOOKUP($B1125,#REF!,6,FALSE)</f>
        <v>#REF!</v>
      </c>
      <c r="E1125" s="9" t="e">
        <f>VLOOKUP($B1125,#REF!,17,FALSE)</f>
        <v>#REF!</v>
      </c>
      <c r="F1125" s="10" t="e">
        <f>VLOOKUP($B1125,#REF!,7,FALSE)</f>
        <v>#REF!</v>
      </c>
      <c r="G1125" s="10"/>
      <c r="H1125" s="10"/>
      <c r="I1125" s="11" t="e">
        <f>VLOOKUP($B1125,#REF!,19,FALSE)</f>
        <v>#REF!</v>
      </c>
      <c r="J1125" s="11" t="e">
        <f>VLOOKUP($B1125,#REF!,6,FALSE)</f>
        <v>#REF!</v>
      </c>
      <c r="L1125" s="3">
        <v>44655.885416663048</v>
      </c>
      <c r="M1125" s="15"/>
    </row>
    <row r="1126" spans="2:13">
      <c r="B1126" s="7"/>
      <c r="C1126" s="8" t="e">
        <f>VLOOKUP($B1126,#REF!,5,FALSE)</f>
        <v>#REF!</v>
      </c>
      <c r="D1126" s="8" t="e">
        <f>VLOOKUP($B1126,#REF!,6,FALSE)</f>
        <v>#REF!</v>
      </c>
      <c r="E1126" s="9" t="e">
        <f>VLOOKUP($B1126,#REF!,17,FALSE)</f>
        <v>#REF!</v>
      </c>
      <c r="F1126" s="10" t="e">
        <f>VLOOKUP($B1126,#REF!,7,FALSE)</f>
        <v>#REF!</v>
      </c>
      <c r="G1126" s="10"/>
      <c r="H1126" s="10"/>
      <c r="I1126" s="11" t="e">
        <f>VLOOKUP($B1126,#REF!,19,FALSE)</f>
        <v>#REF!</v>
      </c>
      <c r="J1126" s="11" t="e">
        <f>VLOOKUP($B1126,#REF!,6,FALSE)</f>
        <v>#REF!</v>
      </c>
      <c r="L1126" s="3">
        <v>44655.888888885267</v>
      </c>
      <c r="M1126" s="15"/>
    </row>
    <row r="1127" spans="2:13">
      <c r="B1127" s="7"/>
      <c r="C1127" s="8" t="e">
        <f>VLOOKUP($B1127,#REF!,5,FALSE)</f>
        <v>#REF!</v>
      </c>
      <c r="D1127" s="8" t="e">
        <f>VLOOKUP($B1127,#REF!,6,FALSE)</f>
        <v>#REF!</v>
      </c>
      <c r="E1127" s="9" t="e">
        <f>VLOOKUP($B1127,#REF!,17,FALSE)</f>
        <v>#REF!</v>
      </c>
      <c r="F1127" s="10" t="e">
        <f>VLOOKUP($B1127,#REF!,7,FALSE)</f>
        <v>#REF!</v>
      </c>
      <c r="G1127" s="10"/>
      <c r="H1127" s="10"/>
      <c r="I1127" s="11" t="e">
        <f>VLOOKUP($B1127,#REF!,19,FALSE)</f>
        <v>#REF!</v>
      </c>
      <c r="J1127" s="11" t="e">
        <f>VLOOKUP($B1127,#REF!,6,FALSE)</f>
        <v>#REF!</v>
      </c>
      <c r="L1127" s="3">
        <v>44655.892361107486</v>
      </c>
      <c r="M1127" s="15"/>
    </row>
    <row r="1128" spans="2:13">
      <c r="B1128" s="7"/>
      <c r="C1128" s="8" t="e">
        <f>VLOOKUP($B1128,#REF!,5,FALSE)</f>
        <v>#REF!</v>
      </c>
      <c r="D1128" s="8" t="e">
        <f>VLOOKUP($B1128,#REF!,6,FALSE)</f>
        <v>#REF!</v>
      </c>
      <c r="E1128" s="9" t="e">
        <f>VLOOKUP($B1128,#REF!,17,FALSE)</f>
        <v>#REF!</v>
      </c>
      <c r="F1128" s="10" t="e">
        <f>VLOOKUP($B1128,#REF!,7,FALSE)</f>
        <v>#REF!</v>
      </c>
      <c r="G1128" s="10"/>
      <c r="H1128" s="10"/>
      <c r="I1128" s="11" t="e">
        <f>VLOOKUP($B1128,#REF!,19,FALSE)</f>
        <v>#REF!</v>
      </c>
      <c r="J1128" s="11" t="e">
        <f>VLOOKUP($B1128,#REF!,6,FALSE)</f>
        <v>#REF!</v>
      </c>
      <c r="L1128" s="3">
        <v>44655.895833329705</v>
      </c>
      <c r="M1128" s="15"/>
    </row>
    <row r="1129" spans="2:13">
      <c r="B1129" s="7"/>
      <c r="C1129" s="8" t="e">
        <f>VLOOKUP($B1129,#REF!,5,FALSE)</f>
        <v>#REF!</v>
      </c>
      <c r="D1129" s="8" t="e">
        <f>VLOOKUP($B1129,#REF!,6,FALSE)</f>
        <v>#REF!</v>
      </c>
      <c r="E1129" s="9" t="e">
        <f>VLOOKUP($B1129,#REF!,17,FALSE)</f>
        <v>#REF!</v>
      </c>
      <c r="F1129" s="10" t="e">
        <f>VLOOKUP($B1129,#REF!,7,FALSE)</f>
        <v>#REF!</v>
      </c>
      <c r="G1129" s="10"/>
      <c r="H1129" s="10"/>
      <c r="I1129" s="11" t="e">
        <f>VLOOKUP($B1129,#REF!,19,FALSE)</f>
        <v>#REF!</v>
      </c>
      <c r="J1129" s="11" t="e">
        <f>VLOOKUP($B1129,#REF!,6,FALSE)</f>
        <v>#REF!</v>
      </c>
      <c r="L1129" s="3">
        <v>44655.899305551924</v>
      </c>
      <c r="M1129" s="15"/>
    </row>
    <row r="1130" spans="2:13">
      <c r="B1130" s="7"/>
      <c r="C1130" s="8" t="e">
        <f>VLOOKUP($B1130,#REF!,5,FALSE)</f>
        <v>#REF!</v>
      </c>
      <c r="D1130" s="8" t="e">
        <f>VLOOKUP($B1130,#REF!,6,FALSE)</f>
        <v>#REF!</v>
      </c>
      <c r="E1130" s="9" t="e">
        <f>VLOOKUP($B1130,#REF!,17,FALSE)</f>
        <v>#REF!</v>
      </c>
      <c r="F1130" s="10" t="e">
        <f>VLOOKUP($B1130,#REF!,7,FALSE)</f>
        <v>#REF!</v>
      </c>
      <c r="G1130" s="10"/>
      <c r="H1130" s="10"/>
      <c r="I1130" s="11" t="e">
        <f>VLOOKUP($B1130,#REF!,19,FALSE)</f>
        <v>#REF!</v>
      </c>
      <c r="J1130" s="11" t="e">
        <f>VLOOKUP($B1130,#REF!,6,FALSE)</f>
        <v>#REF!</v>
      </c>
      <c r="L1130" s="3">
        <v>44655.902777774143</v>
      </c>
      <c r="M1130" s="15"/>
    </row>
    <row r="1131" spans="2:13">
      <c r="B1131" s="7"/>
      <c r="C1131" s="8" t="e">
        <f>VLOOKUP($B1131,#REF!,5,FALSE)</f>
        <v>#REF!</v>
      </c>
      <c r="D1131" s="8" t="e">
        <f>VLOOKUP($B1131,#REF!,6,FALSE)</f>
        <v>#REF!</v>
      </c>
      <c r="E1131" s="9" t="e">
        <f>VLOOKUP($B1131,#REF!,17,FALSE)</f>
        <v>#REF!</v>
      </c>
      <c r="F1131" s="10" t="e">
        <f>VLOOKUP($B1131,#REF!,7,FALSE)</f>
        <v>#REF!</v>
      </c>
      <c r="G1131" s="10"/>
      <c r="H1131" s="10"/>
      <c r="I1131" s="11" t="e">
        <f>VLOOKUP($B1131,#REF!,19,FALSE)</f>
        <v>#REF!</v>
      </c>
      <c r="J1131" s="11" t="e">
        <f>VLOOKUP($B1131,#REF!,6,FALSE)</f>
        <v>#REF!</v>
      </c>
      <c r="L1131" s="3">
        <v>44655.906249996362</v>
      </c>
      <c r="M1131" s="15"/>
    </row>
    <row r="1132" spans="2:13">
      <c r="B1132" s="7"/>
      <c r="C1132" s="8" t="e">
        <f>VLOOKUP($B1132,#REF!,5,FALSE)</f>
        <v>#REF!</v>
      </c>
      <c r="D1132" s="8" t="e">
        <f>VLOOKUP($B1132,#REF!,6,FALSE)</f>
        <v>#REF!</v>
      </c>
      <c r="E1132" s="9" t="e">
        <f>VLOOKUP($B1132,#REF!,17,FALSE)</f>
        <v>#REF!</v>
      </c>
      <c r="F1132" s="10" t="e">
        <f>VLOOKUP($B1132,#REF!,7,FALSE)</f>
        <v>#REF!</v>
      </c>
      <c r="G1132" s="10"/>
      <c r="H1132" s="10"/>
      <c r="I1132" s="11" t="e">
        <f>VLOOKUP($B1132,#REF!,19,FALSE)</f>
        <v>#REF!</v>
      </c>
      <c r="J1132" s="11" t="e">
        <f>VLOOKUP($B1132,#REF!,6,FALSE)</f>
        <v>#REF!</v>
      </c>
      <c r="L1132" s="3">
        <v>44655.909722218581</v>
      </c>
      <c r="M1132" s="15"/>
    </row>
    <row r="1133" spans="2:13">
      <c r="B1133" s="7"/>
      <c r="C1133" s="8" t="e">
        <f>VLOOKUP($B1133,#REF!,5,FALSE)</f>
        <v>#REF!</v>
      </c>
      <c r="D1133" s="8" t="e">
        <f>VLOOKUP($B1133,#REF!,6,FALSE)</f>
        <v>#REF!</v>
      </c>
      <c r="E1133" s="9" t="e">
        <f>VLOOKUP($B1133,#REF!,17,FALSE)</f>
        <v>#REF!</v>
      </c>
      <c r="F1133" s="10" t="e">
        <f>VLOOKUP($B1133,#REF!,7,FALSE)</f>
        <v>#REF!</v>
      </c>
      <c r="G1133" s="10"/>
      <c r="H1133" s="10"/>
      <c r="I1133" s="11" t="e">
        <f>VLOOKUP($B1133,#REF!,19,FALSE)</f>
        <v>#REF!</v>
      </c>
      <c r="J1133" s="11" t="e">
        <f>VLOOKUP($B1133,#REF!,6,FALSE)</f>
        <v>#REF!</v>
      </c>
      <c r="L1133" s="3">
        <v>44655.9131944408</v>
      </c>
      <c r="M1133" s="15"/>
    </row>
    <row r="1134" spans="2:13">
      <c r="B1134" s="7"/>
      <c r="C1134" s="8" t="e">
        <f>VLOOKUP($B1134,#REF!,5,FALSE)</f>
        <v>#REF!</v>
      </c>
      <c r="D1134" s="8" t="e">
        <f>VLOOKUP($B1134,#REF!,6,FALSE)</f>
        <v>#REF!</v>
      </c>
      <c r="E1134" s="9" t="e">
        <f>VLOOKUP($B1134,#REF!,17,FALSE)</f>
        <v>#REF!</v>
      </c>
      <c r="F1134" s="10" t="e">
        <f>VLOOKUP($B1134,#REF!,7,FALSE)</f>
        <v>#REF!</v>
      </c>
      <c r="G1134" s="10"/>
      <c r="H1134" s="10"/>
      <c r="I1134" s="11" t="e">
        <f>VLOOKUP($B1134,#REF!,19,FALSE)</f>
        <v>#REF!</v>
      </c>
      <c r="J1134" s="11" t="e">
        <f>VLOOKUP($B1134,#REF!,6,FALSE)</f>
        <v>#REF!</v>
      </c>
      <c r="L1134" s="3">
        <v>44655.916666663019</v>
      </c>
      <c r="M1134" s="15"/>
    </row>
    <row r="1135" spans="2:13">
      <c r="B1135" s="7"/>
      <c r="C1135" s="8" t="e">
        <f>VLOOKUP($B1135,#REF!,5,FALSE)</f>
        <v>#REF!</v>
      </c>
      <c r="D1135" s="8" t="e">
        <f>VLOOKUP($B1135,#REF!,6,FALSE)</f>
        <v>#REF!</v>
      </c>
      <c r="E1135" s="9" t="e">
        <f>VLOOKUP($B1135,#REF!,17,FALSE)</f>
        <v>#REF!</v>
      </c>
      <c r="F1135" s="10" t="e">
        <f>VLOOKUP($B1135,#REF!,7,FALSE)</f>
        <v>#REF!</v>
      </c>
      <c r="G1135" s="10"/>
      <c r="H1135" s="10"/>
      <c r="I1135" s="11" t="e">
        <f>VLOOKUP($B1135,#REF!,19,FALSE)</f>
        <v>#REF!</v>
      </c>
      <c r="J1135" s="11" t="e">
        <f>VLOOKUP($B1135,#REF!,6,FALSE)</f>
        <v>#REF!</v>
      </c>
      <c r="L1135" s="3">
        <v>44655.920138885238</v>
      </c>
      <c r="M1135" s="15"/>
    </row>
    <row r="1136" spans="2:13">
      <c r="B1136" s="7"/>
      <c r="C1136" s="8" t="e">
        <f>VLOOKUP($B1136,#REF!,5,FALSE)</f>
        <v>#REF!</v>
      </c>
      <c r="D1136" s="8" t="e">
        <f>VLOOKUP($B1136,#REF!,6,FALSE)</f>
        <v>#REF!</v>
      </c>
      <c r="E1136" s="9" t="e">
        <f>VLOOKUP($B1136,#REF!,17,FALSE)</f>
        <v>#REF!</v>
      </c>
      <c r="F1136" s="10" t="e">
        <f>VLOOKUP($B1136,#REF!,7,FALSE)</f>
        <v>#REF!</v>
      </c>
      <c r="G1136" s="10"/>
      <c r="H1136" s="10"/>
      <c r="I1136" s="11" t="e">
        <f>VLOOKUP($B1136,#REF!,19,FALSE)</f>
        <v>#REF!</v>
      </c>
      <c r="J1136" s="11" t="e">
        <f>VLOOKUP($B1136,#REF!,6,FALSE)</f>
        <v>#REF!</v>
      </c>
      <c r="L1136" s="3">
        <v>44655.923611107457</v>
      </c>
      <c r="M1136" s="15"/>
    </row>
    <row r="1137" spans="2:13">
      <c r="B1137" s="7"/>
      <c r="C1137" s="8" t="e">
        <f>VLOOKUP($B1137,#REF!,5,FALSE)</f>
        <v>#REF!</v>
      </c>
      <c r="D1137" s="8" t="e">
        <f>VLOOKUP($B1137,#REF!,6,FALSE)</f>
        <v>#REF!</v>
      </c>
      <c r="E1137" s="9" t="e">
        <f>VLOOKUP($B1137,#REF!,17,FALSE)</f>
        <v>#REF!</v>
      </c>
      <c r="F1137" s="10" t="e">
        <f>VLOOKUP($B1137,#REF!,7,FALSE)</f>
        <v>#REF!</v>
      </c>
      <c r="G1137" s="10"/>
      <c r="H1137" s="10"/>
      <c r="I1137" s="11" t="e">
        <f>VLOOKUP($B1137,#REF!,19,FALSE)</f>
        <v>#REF!</v>
      </c>
      <c r="J1137" s="11" t="e">
        <f>VLOOKUP($B1137,#REF!,6,FALSE)</f>
        <v>#REF!</v>
      </c>
      <c r="L1137" s="3">
        <v>44655.927083329676</v>
      </c>
      <c r="M1137" s="15"/>
    </row>
    <row r="1138" spans="2:13">
      <c r="B1138" s="7"/>
      <c r="C1138" s="8" t="e">
        <f>VLOOKUP($B1138,#REF!,5,FALSE)</f>
        <v>#REF!</v>
      </c>
      <c r="D1138" s="8" t="e">
        <f>VLOOKUP($B1138,#REF!,6,FALSE)</f>
        <v>#REF!</v>
      </c>
      <c r="E1138" s="9" t="e">
        <f>VLOOKUP($B1138,#REF!,17,FALSE)</f>
        <v>#REF!</v>
      </c>
      <c r="F1138" s="10" t="e">
        <f>VLOOKUP($B1138,#REF!,7,FALSE)</f>
        <v>#REF!</v>
      </c>
      <c r="G1138" s="10"/>
      <c r="H1138" s="10"/>
      <c r="I1138" s="11" t="e">
        <f>VLOOKUP($B1138,#REF!,19,FALSE)</f>
        <v>#REF!</v>
      </c>
      <c r="J1138" s="11" t="e">
        <f>VLOOKUP($B1138,#REF!,6,FALSE)</f>
        <v>#REF!</v>
      </c>
      <c r="L1138" s="3">
        <v>44655.930555551895</v>
      </c>
      <c r="M1138" s="15"/>
    </row>
    <row r="1139" spans="2:13">
      <c r="B1139" s="7"/>
      <c r="C1139" s="8" t="e">
        <f>VLOOKUP($B1139,#REF!,5,FALSE)</f>
        <v>#REF!</v>
      </c>
      <c r="D1139" s="8" t="e">
        <f>VLOOKUP($B1139,#REF!,6,FALSE)</f>
        <v>#REF!</v>
      </c>
      <c r="E1139" s="9" t="e">
        <f>VLOOKUP($B1139,#REF!,17,FALSE)</f>
        <v>#REF!</v>
      </c>
      <c r="F1139" s="10" t="e">
        <f>VLOOKUP($B1139,#REF!,7,FALSE)</f>
        <v>#REF!</v>
      </c>
      <c r="G1139" s="10"/>
      <c r="H1139" s="10"/>
      <c r="I1139" s="11" t="e">
        <f>VLOOKUP($B1139,#REF!,19,FALSE)</f>
        <v>#REF!</v>
      </c>
      <c r="J1139" s="11" t="e">
        <f>VLOOKUP($B1139,#REF!,6,FALSE)</f>
        <v>#REF!</v>
      </c>
      <c r="L1139" s="3">
        <v>44655.934027774114</v>
      </c>
      <c r="M1139" s="15"/>
    </row>
    <row r="1140" spans="2:13">
      <c r="B1140" s="7"/>
      <c r="C1140" s="8" t="e">
        <f>VLOOKUP($B1140,#REF!,5,FALSE)</f>
        <v>#REF!</v>
      </c>
      <c r="D1140" s="8" t="e">
        <f>VLOOKUP($B1140,#REF!,6,FALSE)</f>
        <v>#REF!</v>
      </c>
      <c r="E1140" s="9" t="e">
        <f>VLOOKUP($B1140,#REF!,17,FALSE)</f>
        <v>#REF!</v>
      </c>
      <c r="F1140" s="10" t="e">
        <f>VLOOKUP($B1140,#REF!,7,FALSE)</f>
        <v>#REF!</v>
      </c>
      <c r="G1140" s="10"/>
      <c r="H1140" s="10"/>
      <c r="I1140" s="11" t="e">
        <f>VLOOKUP($B1140,#REF!,19,FALSE)</f>
        <v>#REF!</v>
      </c>
      <c r="J1140" s="11" t="e">
        <f>VLOOKUP($B1140,#REF!,6,FALSE)</f>
        <v>#REF!</v>
      </c>
      <c r="L1140" s="3">
        <v>44655.937499996333</v>
      </c>
      <c r="M1140" s="15"/>
    </row>
    <row r="1141" spans="2:13">
      <c r="B1141" s="7"/>
      <c r="C1141" s="8" t="e">
        <f>VLOOKUP($B1141,#REF!,5,FALSE)</f>
        <v>#REF!</v>
      </c>
      <c r="D1141" s="8" t="e">
        <f>VLOOKUP($B1141,#REF!,6,FALSE)</f>
        <v>#REF!</v>
      </c>
      <c r="E1141" s="9" t="e">
        <f>VLOOKUP($B1141,#REF!,17,FALSE)</f>
        <v>#REF!</v>
      </c>
      <c r="F1141" s="10" t="e">
        <f>VLOOKUP($B1141,#REF!,7,FALSE)</f>
        <v>#REF!</v>
      </c>
      <c r="G1141" s="10"/>
      <c r="H1141" s="10"/>
      <c r="I1141" s="11" t="e">
        <f>VLOOKUP($B1141,#REF!,19,FALSE)</f>
        <v>#REF!</v>
      </c>
      <c r="J1141" s="11" t="e">
        <f>VLOOKUP($B1141,#REF!,6,FALSE)</f>
        <v>#REF!</v>
      </c>
      <c r="L1141" s="3">
        <v>44655.940972218552</v>
      </c>
      <c r="M1141" s="15"/>
    </row>
    <row r="1142" spans="2:13">
      <c r="B1142" s="7"/>
      <c r="C1142" s="8" t="e">
        <f>VLOOKUP($B1142,#REF!,5,FALSE)</f>
        <v>#REF!</v>
      </c>
      <c r="D1142" s="8" t="e">
        <f>VLOOKUP($B1142,#REF!,6,FALSE)</f>
        <v>#REF!</v>
      </c>
      <c r="E1142" s="9" t="e">
        <f>VLOOKUP($B1142,#REF!,17,FALSE)</f>
        <v>#REF!</v>
      </c>
      <c r="F1142" s="10" t="e">
        <f>VLOOKUP($B1142,#REF!,7,FALSE)</f>
        <v>#REF!</v>
      </c>
      <c r="G1142" s="10"/>
      <c r="H1142" s="10"/>
      <c r="I1142" s="11" t="e">
        <f>VLOOKUP($B1142,#REF!,19,FALSE)</f>
        <v>#REF!</v>
      </c>
      <c r="J1142" s="11" t="e">
        <f>VLOOKUP($B1142,#REF!,6,FALSE)</f>
        <v>#REF!</v>
      </c>
      <c r="L1142" s="3">
        <v>44655.944444440771</v>
      </c>
      <c r="M1142" s="15"/>
    </row>
    <row r="1143" spans="2:13">
      <c r="B1143" s="7"/>
      <c r="C1143" s="8" t="e">
        <f>VLOOKUP($B1143,#REF!,5,FALSE)</f>
        <v>#REF!</v>
      </c>
      <c r="D1143" s="8" t="e">
        <f>VLOOKUP($B1143,#REF!,6,FALSE)</f>
        <v>#REF!</v>
      </c>
      <c r="E1143" s="9" t="e">
        <f>VLOOKUP($B1143,#REF!,17,FALSE)</f>
        <v>#REF!</v>
      </c>
      <c r="F1143" s="10" t="e">
        <f>VLOOKUP($B1143,#REF!,7,FALSE)</f>
        <v>#REF!</v>
      </c>
      <c r="G1143" s="10"/>
      <c r="H1143" s="10"/>
      <c r="I1143" s="11" t="e">
        <f>VLOOKUP($B1143,#REF!,19,FALSE)</f>
        <v>#REF!</v>
      </c>
      <c r="J1143" s="11" t="e">
        <f>VLOOKUP($B1143,#REF!,6,FALSE)</f>
        <v>#REF!</v>
      </c>
      <c r="L1143" s="3">
        <v>44655.94791666299</v>
      </c>
      <c r="M1143" s="15"/>
    </row>
    <row r="1144" spans="2:13">
      <c r="B1144" s="7"/>
      <c r="C1144" s="8" t="e">
        <f>VLOOKUP($B1144,#REF!,5,FALSE)</f>
        <v>#REF!</v>
      </c>
      <c r="D1144" s="8" t="e">
        <f>VLOOKUP($B1144,#REF!,6,FALSE)</f>
        <v>#REF!</v>
      </c>
      <c r="E1144" s="9" t="e">
        <f>VLOOKUP($B1144,#REF!,17,FALSE)</f>
        <v>#REF!</v>
      </c>
      <c r="F1144" s="10" t="e">
        <f>VLOOKUP($B1144,#REF!,7,FALSE)</f>
        <v>#REF!</v>
      </c>
      <c r="G1144" s="10"/>
      <c r="H1144" s="10"/>
      <c r="I1144" s="11" t="e">
        <f>VLOOKUP($B1144,#REF!,19,FALSE)</f>
        <v>#REF!</v>
      </c>
      <c r="J1144" s="11" t="e">
        <f>VLOOKUP($B1144,#REF!,6,FALSE)</f>
        <v>#REF!</v>
      </c>
      <c r="L1144" s="3">
        <v>44655.951388885209</v>
      </c>
      <c r="M1144" s="15"/>
    </row>
    <row r="1145" spans="2:13">
      <c r="B1145" s="7"/>
      <c r="C1145" s="8" t="e">
        <f>VLOOKUP($B1145,#REF!,5,FALSE)</f>
        <v>#REF!</v>
      </c>
      <c r="D1145" s="8" t="e">
        <f>VLOOKUP($B1145,#REF!,6,FALSE)</f>
        <v>#REF!</v>
      </c>
      <c r="E1145" s="9" t="e">
        <f>VLOOKUP($B1145,#REF!,17,FALSE)</f>
        <v>#REF!</v>
      </c>
      <c r="F1145" s="10" t="e">
        <f>VLOOKUP($B1145,#REF!,7,FALSE)</f>
        <v>#REF!</v>
      </c>
      <c r="G1145" s="10"/>
      <c r="H1145" s="10"/>
      <c r="I1145" s="11" t="e">
        <f>VLOOKUP($B1145,#REF!,19,FALSE)</f>
        <v>#REF!</v>
      </c>
      <c r="J1145" s="11" t="e">
        <f>VLOOKUP($B1145,#REF!,6,FALSE)</f>
        <v>#REF!</v>
      </c>
      <c r="L1145" s="3">
        <v>44655.954861107428</v>
      </c>
      <c r="M1145" s="15"/>
    </row>
    <row r="1146" spans="2:13">
      <c r="B1146" s="7"/>
      <c r="C1146" s="8" t="e">
        <f>VLOOKUP($B1146,#REF!,5,FALSE)</f>
        <v>#REF!</v>
      </c>
      <c r="D1146" s="8" t="e">
        <f>VLOOKUP($B1146,#REF!,6,FALSE)</f>
        <v>#REF!</v>
      </c>
      <c r="E1146" s="9" t="e">
        <f>VLOOKUP($B1146,#REF!,17,FALSE)</f>
        <v>#REF!</v>
      </c>
      <c r="F1146" s="10" t="e">
        <f>VLOOKUP($B1146,#REF!,7,FALSE)</f>
        <v>#REF!</v>
      </c>
      <c r="G1146" s="10"/>
      <c r="H1146" s="10"/>
      <c r="I1146" s="11" t="e">
        <f>VLOOKUP($B1146,#REF!,19,FALSE)</f>
        <v>#REF!</v>
      </c>
      <c r="J1146" s="11" t="e">
        <f>VLOOKUP($B1146,#REF!,6,FALSE)</f>
        <v>#REF!</v>
      </c>
      <c r="L1146" s="3">
        <v>44655.958333329647</v>
      </c>
      <c r="M1146" s="15"/>
    </row>
    <row r="1147" spans="2:13">
      <c r="B1147" s="7"/>
      <c r="C1147" s="8" t="e">
        <f>VLOOKUP($B1147,#REF!,5,FALSE)</f>
        <v>#REF!</v>
      </c>
      <c r="D1147" s="8" t="e">
        <f>VLOOKUP($B1147,#REF!,6,FALSE)</f>
        <v>#REF!</v>
      </c>
      <c r="E1147" s="9" t="e">
        <f>VLOOKUP($B1147,#REF!,17,FALSE)</f>
        <v>#REF!</v>
      </c>
      <c r="F1147" s="10" t="e">
        <f>VLOOKUP($B1147,#REF!,7,FALSE)</f>
        <v>#REF!</v>
      </c>
      <c r="G1147" s="10"/>
      <c r="H1147" s="10"/>
      <c r="I1147" s="11" t="e">
        <f>VLOOKUP($B1147,#REF!,19,FALSE)</f>
        <v>#REF!</v>
      </c>
      <c r="J1147" s="11" t="e">
        <f>VLOOKUP($B1147,#REF!,6,FALSE)</f>
        <v>#REF!</v>
      </c>
      <c r="L1147" s="3">
        <v>44655.961805551866</v>
      </c>
      <c r="M1147" s="15"/>
    </row>
    <row r="1148" spans="2:13">
      <c r="B1148" s="7"/>
      <c r="C1148" s="8" t="e">
        <f>VLOOKUP($B1148,#REF!,5,FALSE)</f>
        <v>#REF!</v>
      </c>
      <c r="D1148" s="8" t="e">
        <f>VLOOKUP($B1148,#REF!,6,FALSE)</f>
        <v>#REF!</v>
      </c>
      <c r="E1148" s="9" t="e">
        <f>VLOOKUP($B1148,#REF!,17,FALSE)</f>
        <v>#REF!</v>
      </c>
      <c r="F1148" s="10" t="e">
        <f>VLOOKUP($B1148,#REF!,7,FALSE)</f>
        <v>#REF!</v>
      </c>
      <c r="G1148" s="10"/>
      <c r="H1148" s="10"/>
      <c r="I1148" s="11" t="e">
        <f>VLOOKUP($B1148,#REF!,19,FALSE)</f>
        <v>#REF!</v>
      </c>
      <c r="J1148" s="11" t="e">
        <f>VLOOKUP($B1148,#REF!,6,FALSE)</f>
        <v>#REF!</v>
      </c>
      <c r="L1148" s="3">
        <v>44655.965277774085</v>
      </c>
      <c r="M1148" s="15"/>
    </row>
    <row r="1149" spans="2:13">
      <c r="B1149" s="7"/>
      <c r="C1149" s="8" t="e">
        <f>VLOOKUP($B1149,#REF!,5,FALSE)</f>
        <v>#REF!</v>
      </c>
      <c r="D1149" s="8" t="e">
        <f>VLOOKUP($B1149,#REF!,6,FALSE)</f>
        <v>#REF!</v>
      </c>
      <c r="E1149" s="9" t="e">
        <f>VLOOKUP($B1149,#REF!,17,FALSE)</f>
        <v>#REF!</v>
      </c>
      <c r="F1149" s="10" t="e">
        <f>VLOOKUP($B1149,#REF!,7,FALSE)</f>
        <v>#REF!</v>
      </c>
      <c r="G1149" s="10"/>
      <c r="H1149" s="10"/>
      <c r="I1149" s="11" t="e">
        <f>VLOOKUP($B1149,#REF!,19,FALSE)</f>
        <v>#REF!</v>
      </c>
      <c r="J1149" s="11" t="e">
        <f>VLOOKUP($B1149,#REF!,6,FALSE)</f>
        <v>#REF!</v>
      </c>
      <c r="L1149" s="3">
        <v>44655.968749996304</v>
      </c>
      <c r="M1149" s="15"/>
    </row>
    <row r="1150" spans="2:13">
      <c r="B1150" s="7"/>
      <c r="C1150" s="8" t="e">
        <f>VLOOKUP($B1150,#REF!,5,FALSE)</f>
        <v>#REF!</v>
      </c>
      <c r="D1150" s="8" t="e">
        <f>VLOOKUP($B1150,#REF!,6,FALSE)</f>
        <v>#REF!</v>
      </c>
      <c r="E1150" s="9" t="e">
        <f>VLOOKUP($B1150,#REF!,17,FALSE)</f>
        <v>#REF!</v>
      </c>
      <c r="F1150" s="10" t="e">
        <f>VLOOKUP($B1150,#REF!,7,FALSE)</f>
        <v>#REF!</v>
      </c>
      <c r="G1150" s="10"/>
      <c r="H1150" s="10"/>
      <c r="I1150" s="11" t="e">
        <f>VLOOKUP($B1150,#REF!,19,FALSE)</f>
        <v>#REF!</v>
      </c>
      <c r="J1150" s="11" t="e">
        <f>VLOOKUP($B1150,#REF!,6,FALSE)</f>
        <v>#REF!</v>
      </c>
      <c r="L1150" s="3">
        <v>44655.972222218523</v>
      </c>
      <c r="M1150" s="15"/>
    </row>
    <row r="1151" spans="2:13">
      <c r="B1151" s="7"/>
      <c r="C1151" s="8" t="e">
        <f>VLOOKUP($B1151,#REF!,5,FALSE)</f>
        <v>#REF!</v>
      </c>
      <c r="D1151" s="8" t="e">
        <f>VLOOKUP($B1151,#REF!,6,FALSE)</f>
        <v>#REF!</v>
      </c>
      <c r="E1151" s="9" t="e">
        <f>VLOOKUP($B1151,#REF!,17,FALSE)</f>
        <v>#REF!</v>
      </c>
      <c r="F1151" s="10" t="e">
        <f>VLOOKUP($B1151,#REF!,7,FALSE)</f>
        <v>#REF!</v>
      </c>
      <c r="G1151" s="10"/>
      <c r="H1151" s="10"/>
      <c r="I1151" s="11" t="e">
        <f>VLOOKUP($B1151,#REF!,19,FALSE)</f>
        <v>#REF!</v>
      </c>
      <c r="J1151" s="11" t="e">
        <f>VLOOKUP($B1151,#REF!,6,FALSE)</f>
        <v>#REF!</v>
      </c>
      <c r="L1151" s="3">
        <v>44655.975694440742</v>
      </c>
      <c r="M1151" s="15"/>
    </row>
    <row r="1152" spans="2:13">
      <c r="B1152" s="7"/>
      <c r="C1152" s="8" t="e">
        <f>VLOOKUP($B1152,#REF!,5,FALSE)</f>
        <v>#REF!</v>
      </c>
      <c r="D1152" s="8" t="e">
        <f>VLOOKUP($B1152,#REF!,6,FALSE)</f>
        <v>#REF!</v>
      </c>
      <c r="E1152" s="9" t="e">
        <f>VLOOKUP($B1152,#REF!,17,FALSE)</f>
        <v>#REF!</v>
      </c>
      <c r="F1152" s="10" t="e">
        <f>VLOOKUP($B1152,#REF!,7,FALSE)</f>
        <v>#REF!</v>
      </c>
      <c r="G1152" s="10"/>
      <c r="H1152" s="10"/>
      <c r="I1152" s="11" t="e">
        <f>VLOOKUP($B1152,#REF!,19,FALSE)</f>
        <v>#REF!</v>
      </c>
      <c r="J1152" s="11" t="e">
        <f>VLOOKUP($B1152,#REF!,6,FALSE)</f>
        <v>#REF!</v>
      </c>
      <c r="L1152" s="3">
        <v>44655.979166662961</v>
      </c>
      <c r="M1152" s="15"/>
    </row>
    <row r="1153" spans="2:13">
      <c r="B1153" s="7"/>
      <c r="C1153" s="8" t="e">
        <f>VLOOKUP($B1153,#REF!,5,FALSE)</f>
        <v>#REF!</v>
      </c>
      <c r="D1153" s="8" t="e">
        <f>VLOOKUP($B1153,#REF!,6,FALSE)</f>
        <v>#REF!</v>
      </c>
      <c r="E1153" s="9" t="e">
        <f>VLOOKUP($B1153,#REF!,17,FALSE)</f>
        <v>#REF!</v>
      </c>
      <c r="F1153" s="10" t="e">
        <f>VLOOKUP($B1153,#REF!,7,FALSE)</f>
        <v>#REF!</v>
      </c>
      <c r="G1153" s="10"/>
      <c r="H1153" s="10"/>
      <c r="I1153" s="11" t="e">
        <f>VLOOKUP($B1153,#REF!,19,FALSE)</f>
        <v>#REF!</v>
      </c>
      <c r="J1153" s="11" t="e">
        <f>VLOOKUP($B1153,#REF!,6,FALSE)</f>
        <v>#REF!</v>
      </c>
      <c r="L1153" s="3">
        <v>44655.98263888518</v>
      </c>
      <c r="M1153" s="15"/>
    </row>
    <row r="1154" spans="2:13">
      <c r="B1154" s="7"/>
      <c r="C1154" s="8" t="e">
        <f>VLOOKUP($B1154,#REF!,5,FALSE)</f>
        <v>#REF!</v>
      </c>
      <c r="D1154" s="8" t="e">
        <f>VLOOKUP($B1154,#REF!,6,FALSE)</f>
        <v>#REF!</v>
      </c>
      <c r="E1154" s="9" t="e">
        <f>VLOOKUP($B1154,#REF!,17,FALSE)</f>
        <v>#REF!</v>
      </c>
      <c r="F1154" s="10" t="e">
        <f>VLOOKUP($B1154,#REF!,7,FALSE)</f>
        <v>#REF!</v>
      </c>
      <c r="G1154" s="10"/>
      <c r="H1154" s="10"/>
      <c r="I1154" s="11" t="e">
        <f>VLOOKUP($B1154,#REF!,19,FALSE)</f>
        <v>#REF!</v>
      </c>
      <c r="J1154" s="11" t="e">
        <f>VLOOKUP($B1154,#REF!,6,FALSE)</f>
        <v>#REF!</v>
      </c>
      <c r="L1154" s="3">
        <v>44655.986111107399</v>
      </c>
      <c r="M1154" s="15"/>
    </row>
    <row r="1155" spans="2:13">
      <c r="B1155" s="7"/>
      <c r="C1155" s="8" t="e">
        <f>VLOOKUP($B1155,#REF!,5,FALSE)</f>
        <v>#REF!</v>
      </c>
      <c r="D1155" s="8" t="e">
        <f>VLOOKUP($B1155,#REF!,6,FALSE)</f>
        <v>#REF!</v>
      </c>
      <c r="E1155" s="9" t="e">
        <f>VLOOKUP($B1155,#REF!,17,FALSE)</f>
        <v>#REF!</v>
      </c>
      <c r="F1155" s="10" t="e">
        <f>VLOOKUP($B1155,#REF!,7,FALSE)</f>
        <v>#REF!</v>
      </c>
      <c r="G1155" s="10"/>
      <c r="H1155" s="10"/>
      <c r="I1155" s="11" t="e">
        <f>VLOOKUP($B1155,#REF!,19,FALSE)</f>
        <v>#REF!</v>
      </c>
      <c r="J1155" s="11" t="e">
        <f>VLOOKUP($B1155,#REF!,6,FALSE)</f>
        <v>#REF!</v>
      </c>
      <c r="L1155" s="3">
        <v>44655.989583329618</v>
      </c>
      <c r="M1155" s="15"/>
    </row>
    <row r="1156" spans="2:13">
      <c r="B1156" s="7"/>
      <c r="C1156" s="8" t="e">
        <f>VLOOKUP($B1156,#REF!,5,FALSE)</f>
        <v>#REF!</v>
      </c>
      <c r="D1156" s="8" t="e">
        <f>VLOOKUP($B1156,#REF!,6,FALSE)</f>
        <v>#REF!</v>
      </c>
      <c r="E1156" s="9" t="e">
        <f>VLOOKUP($B1156,#REF!,17,FALSE)</f>
        <v>#REF!</v>
      </c>
      <c r="F1156" s="10" t="e">
        <f>VLOOKUP($B1156,#REF!,7,FALSE)</f>
        <v>#REF!</v>
      </c>
      <c r="G1156" s="10"/>
      <c r="H1156" s="10"/>
      <c r="I1156" s="11" t="e">
        <f>VLOOKUP($B1156,#REF!,19,FALSE)</f>
        <v>#REF!</v>
      </c>
      <c r="J1156" s="11" t="e">
        <f>VLOOKUP($B1156,#REF!,6,FALSE)</f>
        <v>#REF!</v>
      </c>
      <c r="L1156" s="3">
        <v>44655.993055551837</v>
      </c>
      <c r="M1156" s="15"/>
    </row>
    <row r="1157" spans="2:13">
      <c r="B1157" s="7"/>
      <c r="C1157" s="8" t="e">
        <f>VLOOKUP($B1157,#REF!,5,FALSE)</f>
        <v>#REF!</v>
      </c>
      <c r="D1157" s="8" t="e">
        <f>VLOOKUP($B1157,#REF!,6,FALSE)</f>
        <v>#REF!</v>
      </c>
      <c r="E1157" s="9" t="e">
        <f>VLOOKUP($B1157,#REF!,17,FALSE)</f>
        <v>#REF!</v>
      </c>
      <c r="F1157" s="10" t="e">
        <f>VLOOKUP($B1157,#REF!,7,FALSE)</f>
        <v>#REF!</v>
      </c>
      <c r="G1157" s="10"/>
      <c r="H1157" s="10"/>
      <c r="I1157" s="11" t="e">
        <f>VLOOKUP($B1157,#REF!,19,FALSE)</f>
        <v>#REF!</v>
      </c>
      <c r="J1157" s="11" t="e">
        <f>VLOOKUP($B1157,#REF!,6,FALSE)</f>
        <v>#REF!</v>
      </c>
      <c r="L1157" s="3">
        <v>44655.996527774056</v>
      </c>
      <c r="M1157" s="15"/>
    </row>
    <row r="1158" spans="2:13">
      <c r="B1158" s="7"/>
      <c r="C1158" s="8" t="e">
        <f>VLOOKUP($B1158,#REF!,5,FALSE)</f>
        <v>#REF!</v>
      </c>
      <c r="D1158" s="8" t="e">
        <f>VLOOKUP($B1158,#REF!,6,FALSE)</f>
        <v>#REF!</v>
      </c>
      <c r="E1158" s="9" t="e">
        <f>VLOOKUP($B1158,#REF!,17,FALSE)</f>
        <v>#REF!</v>
      </c>
      <c r="F1158" s="10" t="e">
        <f>VLOOKUP($B1158,#REF!,7,FALSE)</f>
        <v>#REF!</v>
      </c>
      <c r="G1158" s="10"/>
      <c r="H1158" s="10"/>
      <c r="I1158" s="11" t="e">
        <f>VLOOKUP($B1158,#REF!,19,FALSE)</f>
        <v>#REF!</v>
      </c>
      <c r="J1158" s="11" t="e">
        <f>VLOOKUP($B1158,#REF!,6,FALSE)</f>
        <v>#REF!</v>
      </c>
      <c r="L1158" s="3">
        <v>44655.999999996275</v>
      </c>
      <c r="M1158" s="15"/>
    </row>
    <row r="1159" spans="2:13">
      <c r="B1159" s="7"/>
      <c r="C1159" s="8" t="e">
        <f>VLOOKUP($B1159,#REF!,5,FALSE)</f>
        <v>#REF!</v>
      </c>
      <c r="D1159" s="8" t="e">
        <f>VLOOKUP($B1159,#REF!,6,FALSE)</f>
        <v>#REF!</v>
      </c>
      <c r="E1159" s="9" t="e">
        <f>VLOOKUP($B1159,#REF!,17,FALSE)</f>
        <v>#REF!</v>
      </c>
      <c r="F1159" s="10" t="e">
        <f>VLOOKUP($B1159,#REF!,7,FALSE)</f>
        <v>#REF!</v>
      </c>
      <c r="G1159" s="10"/>
      <c r="H1159" s="10"/>
      <c r="I1159" s="11" t="e">
        <f>VLOOKUP($B1159,#REF!,19,FALSE)</f>
        <v>#REF!</v>
      </c>
      <c r="J1159" s="11" t="e">
        <f>VLOOKUP($B1159,#REF!,6,FALSE)</f>
        <v>#REF!</v>
      </c>
      <c r="L1159" s="3">
        <v>44656.003472218494</v>
      </c>
      <c r="M1159" s="15"/>
    </row>
    <row r="1160" spans="2:13">
      <c r="B1160" s="7"/>
      <c r="C1160" s="8" t="e">
        <f>VLOOKUP($B1160,#REF!,5,FALSE)</f>
        <v>#REF!</v>
      </c>
      <c r="D1160" s="8" t="e">
        <f>VLOOKUP($B1160,#REF!,6,FALSE)</f>
        <v>#REF!</v>
      </c>
      <c r="E1160" s="9" t="e">
        <f>VLOOKUP($B1160,#REF!,17,FALSE)</f>
        <v>#REF!</v>
      </c>
      <c r="F1160" s="10" t="e">
        <f>VLOOKUP($B1160,#REF!,7,FALSE)</f>
        <v>#REF!</v>
      </c>
      <c r="G1160" s="10"/>
      <c r="H1160" s="10"/>
      <c r="I1160" s="11" t="e">
        <f>VLOOKUP($B1160,#REF!,19,FALSE)</f>
        <v>#REF!</v>
      </c>
      <c r="J1160" s="11" t="e">
        <f>VLOOKUP($B1160,#REF!,6,FALSE)</f>
        <v>#REF!</v>
      </c>
      <c r="L1160" s="3">
        <v>44656.006944440713</v>
      </c>
      <c r="M1160" s="15"/>
    </row>
    <row r="1161" spans="2:13">
      <c r="B1161" s="7"/>
      <c r="C1161" s="8" t="e">
        <f>VLOOKUP($B1161,#REF!,5,FALSE)</f>
        <v>#REF!</v>
      </c>
      <c r="D1161" s="8" t="e">
        <f>VLOOKUP($B1161,#REF!,6,FALSE)</f>
        <v>#REF!</v>
      </c>
      <c r="E1161" s="9" t="e">
        <f>VLOOKUP($B1161,#REF!,17,FALSE)</f>
        <v>#REF!</v>
      </c>
      <c r="F1161" s="10" t="e">
        <f>VLOOKUP($B1161,#REF!,7,FALSE)</f>
        <v>#REF!</v>
      </c>
      <c r="G1161" s="10"/>
      <c r="H1161" s="10"/>
      <c r="I1161" s="11" t="e">
        <f>VLOOKUP($B1161,#REF!,19,FALSE)</f>
        <v>#REF!</v>
      </c>
      <c r="J1161" s="11" t="e">
        <f>VLOOKUP($B1161,#REF!,6,FALSE)</f>
        <v>#REF!</v>
      </c>
      <c r="L1161" s="3">
        <v>44656.010416662932</v>
      </c>
      <c r="M1161" s="15"/>
    </row>
    <row r="1162" spans="2:13">
      <c r="B1162" s="7"/>
      <c r="C1162" s="8" t="e">
        <f>VLOOKUP($B1162,#REF!,5,FALSE)</f>
        <v>#REF!</v>
      </c>
      <c r="D1162" s="8" t="e">
        <f>VLOOKUP($B1162,#REF!,6,FALSE)</f>
        <v>#REF!</v>
      </c>
      <c r="E1162" s="9" t="e">
        <f>VLOOKUP($B1162,#REF!,17,FALSE)</f>
        <v>#REF!</v>
      </c>
      <c r="F1162" s="10" t="e">
        <f>VLOOKUP($B1162,#REF!,7,FALSE)</f>
        <v>#REF!</v>
      </c>
      <c r="G1162" s="10"/>
      <c r="H1162" s="10"/>
      <c r="I1162" s="11" t="e">
        <f>VLOOKUP($B1162,#REF!,19,FALSE)</f>
        <v>#REF!</v>
      </c>
      <c r="J1162" s="11" t="e">
        <f>VLOOKUP($B1162,#REF!,6,FALSE)</f>
        <v>#REF!</v>
      </c>
      <c r="L1162" s="3">
        <v>44656.013888885151</v>
      </c>
      <c r="M1162" s="15"/>
    </row>
    <row r="1163" spans="2:13">
      <c r="B1163" s="7"/>
      <c r="C1163" s="8" t="e">
        <f>VLOOKUP($B1163,#REF!,5,FALSE)</f>
        <v>#REF!</v>
      </c>
      <c r="D1163" s="8" t="e">
        <f>VLOOKUP($B1163,#REF!,6,FALSE)</f>
        <v>#REF!</v>
      </c>
      <c r="E1163" s="9" t="e">
        <f>VLOOKUP($B1163,#REF!,17,FALSE)</f>
        <v>#REF!</v>
      </c>
      <c r="F1163" s="10" t="e">
        <f>VLOOKUP($B1163,#REF!,7,FALSE)</f>
        <v>#REF!</v>
      </c>
      <c r="G1163" s="10"/>
      <c r="H1163" s="10"/>
      <c r="I1163" s="11" t="e">
        <f>VLOOKUP($B1163,#REF!,19,FALSE)</f>
        <v>#REF!</v>
      </c>
      <c r="J1163" s="11" t="e">
        <f>VLOOKUP($B1163,#REF!,6,FALSE)</f>
        <v>#REF!</v>
      </c>
      <c r="L1163" s="3">
        <v>44656.01736110737</v>
      </c>
      <c r="M1163" s="15"/>
    </row>
    <row r="1164" spans="2:13">
      <c r="B1164" s="7"/>
      <c r="C1164" s="8" t="e">
        <f>VLOOKUP($B1164,#REF!,5,FALSE)</f>
        <v>#REF!</v>
      </c>
      <c r="D1164" s="8" t="e">
        <f>VLOOKUP($B1164,#REF!,6,FALSE)</f>
        <v>#REF!</v>
      </c>
      <c r="E1164" s="9" t="e">
        <f>VLOOKUP($B1164,#REF!,17,FALSE)</f>
        <v>#REF!</v>
      </c>
      <c r="F1164" s="10" t="e">
        <f>VLOOKUP($B1164,#REF!,7,FALSE)</f>
        <v>#REF!</v>
      </c>
      <c r="G1164" s="10"/>
      <c r="H1164" s="10"/>
      <c r="I1164" s="11" t="e">
        <f>VLOOKUP($B1164,#REF!,19,FALSE)</f>
        <v>#REF!</v>
      </c>
      <c r="J1164" s="11" t="e">
        <f>VLOOKUP($B1164,#REF!,6,FALSE)</f>
        <v>#REF!</v>
      </c>
      <c r="L1164" s="3">
        <v>44656.020833329589</v>
      </c>
      <c r="M1164" s="15"/>
    </row>
    <row r="1165" spans="2:13">
      <c r="B1165" s="7"/>
      <c r="C1165" s="8" t="e">
        <f>VLOOKUP($B1165,#REF!,5,FALSE)</f>
        <v>#REF!</v>
      </c>
      <c r="D1165" s="8" t="e">
        <f>VLOOKUP($B1165,#REF!,6,FALSE)</f>
        <v>#REF!</v>
      </c>
      <c r="E1165" s="9" t="e">
        <f>VLOOKUP($B1165,#REF!,17,FALSE)</f>
        <v>#REF!</v>
      </c>
      <c r="F1165" s="10" t="e">
        <f>VLOOKUP($B1165,#REF!,7,FALSE)</f>
        <v>#REF!</v>
      </c>
      <c r="G1165" s="10"/>
      <c r="H1165" s="10"/>
      <c r="I1165" s="11" t="e">
        <f>VLOOKUP($B1165,#REF!,19,FALSE)</f>
        <v>#REF!</v>
      </c>
      <c r="J1165" s="11" t="e">
        <f>VLOOKUP($B1165,#REF!,6,FALSE)</f>
        <v>#REF!</v>
      </c>
      <c r="L1165" s="3">
        <v>44656.024305551808</v>
      </c>
      <c r="M1165" s="15"/>
    </row>
    <row r="1166" spans="2:13">
      <c r="B1166" s="7"/>
      <c r="C1166" s="8" t="e">
        <f>VLOOKUP($B1166,#REF!,5,FALSE)</f>
        <v>#REF!</v>
      </c>
      <c r="D1166" s="8" t="e">
        <f>VLOOKUP($B1166,#REF!,6,FALSE)</f>
        <v>#REF!</v>
      </c>
      <c r="E1166" s="9" t="e">
        <f>VLOOKUP($B1166,#REF!,17,FALSE)</f>
        <v>#REF!</v>
      </c>
      <c r="F1166" s="10" t="e">
        <f>VLOOKUP($B1166,#REF!,7,FALSE)</f>
        <v>#REF!</v>
      </c>
      <c r="G1166" s="10"/>
      <c r="H1166" s="10"/>
      <c r="I1166" s="11" t="e">
        <f>VLOOKUP($B1166,#REF!,19,FALSE)</f>
        <v>#REF!</v>
      </c>
      <c r="J1166" s="11" t="e">
        <f>VLOOKUP($B1166,#REF!,6,FALSE)</f>
        <v>#REF!</v>
      </c>
      <c r="L1166" s="3">
        <v>44656.027777774027</v>
      </c>
      <c r="M1166" s="15"/>
    </row>
    <row r="1167" spans="2:13">
      <c r="B1167" s="7"/>
      <c r="C1167" s="8" t="e">
        <f>VLOOKUP($B1167,#REF!,5,FALSE)</f>
        <v>#REF!</v>
      </c>
      <c r="D1167" s="8" t="e">
        <f>VLOOKUP($B1167,#REF!,6,FALSE)</f>
        <v>#REF!</v>
      </c>
      <c r="E1167" s="9" t="e">
        <f>VLOOKUP($B1167,#REF!,17,FALSE)</f>
        <v>#REF!</v>
      </c>
      <c r="F1167" s="10" t="e">
        <f>VLOOKUP($B1167,#REF!,7,FALSE)</f>
        <v>#REF!</v>
      </c>
      <c r="G1167" s="10"/>
      <c r="H1167" s="10"/>
      <c r="I1167" s="11" t="e">
        <f>VLOOKUP($B1167,#REF!,19,FALSE)</f>
        <v>#REF!</v>
      </c>
      <c r="J1167" s="11" t="e">
        <f>VLOOKUP($B1167,#REF!,6,FALSE)</f>
        <v>#REF!</v>
      </c>
      <c r="L1167" s="3">
        <v>44656.031249996246</v>
      </c>
      <c r="M1167" s="15"/>
    </row>
    <row r="1168" spans="2:13">
      <c r="B1168" s="7"/>
      <c r="C1168" s="8" t="e">
        <f>VLOOKUP($B1168,#REF!,5,FALSE)</f>
        <v>#REF!</v>
      </c>
      <c r="D1168" s="8" t="e">
        <f>VLOOKUP($B1168,#REF!,6,FALSE)</f>
        <v>#REF!</v>
      </c>
      <c r="E1168" s="9" t="e">
        <f>VLOOKUP($B1168,#REF!,17,FALSE)</f>
        <v>#REF!</v>
      </c>
      <c r="F1168" s="10" t="e">
        <f>VLOOKUP($B1168,#REF!,7,FALSE)</f>
        <v>#REF!</v>
      </c>
      <c r="G1168" s="10"/>
      <c r="H1168" s="10"/>
      <c r="I1168" s="11" t="e">
        <f>VLOOKUP($B1168,#REF!,19,FALSE)</f>
        <v>#REF!</v>
      </c>
      <c r="J1168" s="11" t="e">
        <f>VLOOKUP($B1168,#REF!,6,FALSE)</f>
        <v>#REF!</v>
      </c>
      <c r="L1168" s="3">
        <v>44656.034722218465</v>
      </c>
      <c r="M1168" s="15"/>
    </row>
    <row r="1169" spans="2:13">
      <c r="B1169" s="7"/>
      <c r="C1169" s="8" t="e">
        <f>VLOOKUP($B1169,#REF!,5,FALSE)</f>
        <v>#REF!</v>
      </c>
      <c r="D1169" s="8" t="e">
        <f>VLOOKUP($B1169,#REF!,6,FALSE)</f>
        <v>#REF!</v>
      </c>
      <c r="E1169" s="9" t="e">
        <f>VLOOKUP($B1169,#REF!,17,FALSE)</f>
        <v>#REF!</v>
      </c>
      <c r="F1169" s="10" t="e">
        <f>VLOOKUP($B1169,#REF!,7,FALSE)</f>
        <v>#REF!</v>
      </c>
      <c r="G1169" s="10"/>
      <c r="H1169" s="10"/>
      <c r="I1169" s="11" t="e">
        <f>VLOOKUP($B1169,#REF!,19,FALSE)</f>
        <v>#REF!</v>
      </c>
      <c r="J1169" s="11" t="e">
        <f>VLOOKUP($B1169,#REF!,6,FALSE)</f>
        <v>#REF!</v>
      </c>
      <c r="L1169" s="3">
        <v>44656.038194440684</v>
      </c>
      <c r="M1169" s="15"/>
    </row>
    <row r="1170" spans="2:13">
      <c r="B1170" s="7"/>
      <c r="C1170" s="8" t="e">
        <f>VLOOKUP($B1170,#REF!,5,FALSE)</f>
        <v>#REF!</v>
      </c>
      <c r="D1170" s="8" t="e">
        <f>VLOOKUP($B1170,#REF!,6,FALSE)</f>
        <v>#REF!</v>
      </c>
      <c r="E1170" s="9" t="e">
        <f>VLOOKUP($B1170,#REF!,17,FALSE)</f>
        <v>#REF!</v>
      </c>
      <c r="F1170" s="10" t="e">
        <f>VLOOKUP($B1170,#REF!,7,FALSE)</f>
        <v>#REF!</v>
      </c>
      <c r="G1170" s="10"/>
      <c r="H1170" s="10"/>
      <c r="I1170" s="11" t="e">
        <f>VLOOKUP($B1170,#REF!,19,FALSE)</f>
        <v>#REF!</v>
      </c>
      <c r="J1170" s="11" t="e">
        <f>VLOOKUP($B1170,#REF!,6,FALSE)</f>
        <v>#REF!</v>
      </c>
      <c r="L1170" s="3">
        <v>44656.041666662903</v>
      </c>
      <c r="M1170" s="15"/>
    </row>
    <row r="1171" spans="2:13">
      <c r="B1171" s="7"/>
      <c r="C1171" s="8" t="e">
        <f>VLOOKUP($B1171,#REF!,5,FALSE)</f>
        <v>#REF!</v>
      </c>
      <c r="D1171" s="8" t="e">
        <f>VLOOKUP($B1171,#REF!,6,FALSE)</f>
        <v>#REF!</v>
      </c>
      <c r="E1171" s="9" t="e">
        <f>VLOOKUP($B1171,#REF!,17,FALSE)</f>
        <v>#REF!</v>
      </c>
      <c r="F1171" s="10" t="e">
        <f>VLOOKUP($B1171,#REF!,7,FALSE)</f>
        <v>#REF!</v>
      </c>
      <c r="G1171" s="10"/>
      <c r="H1171" s="10"/>
      <c r="I1171" s="11" t="e">
        <f>VLOOKUP($B1171,#REF!,19,FALSE)</f>
        <v>#REF!</v>
      </c>
      <c r="J1171" s="11" t="e">
        <f>VLOOKUP($B1171,#REF!,6,FALSE)</f>
        <v>#REF!</v>
      </c>
      <c r="L1171" s="3">
        <v>44656.045138885122</v>
      </c>
      <c r="M1171" s="15"/>
    </row>
    <row r="1172" spans="2:13">
      <c r="B1172" s="7"/>
      <c r="C1172" s="8" t="e">
        <f>VLOOKUP($B1172,#REF!,5,FALSE)</f>
        <v>#REF!</v>
      </c>
      <c r="D1172" s="8" t="e">
        <f>VLOOKUP($B1172,#REF!,6,FALSE)</f>
        <v>#REF!</v>
      </c>
      <c r="E1172" s="9" t="e">
        <f>VLOOKUP($B1172,#REF!,17,FALSE)</f>
        <v>#REF!</v>
      </c>
      <c r="F1172" s="10" t="e">
        <f>VLOOKUP($B1172,#REF!,7,FALSE)</f>
        <v>#REF!</v>
      </c>
      <c r="G1172" s="10"/>
      <c r="H1172" s="10"/>
      <c r="I1172" s="11" t="e">
        <f>VLOOKUP($B1172,#REF!,19,FALSE)</f>
        <v>#REF!</v>
      </c>
      <c r="J1172" s="11" t="e">
        <f>VLOOKUP($B1172,#REF!,6,FALSE)</f>
        <v>#REF!</v>
      </c>
      <c r="L1172" s="3">
        <v>44656.048611107341</v>
      </c>
      <c r="M1172" s="15"/>
    </row>
    <row r="1173" spans="2:13">
      <c r="B1173" s="7"/>
      <c r="C1173" s="8" t="e">
        <f>VLOOKUP($B1173,#REF!,5,FALSE)</f>
        <v>#REF!</v>
      </c>
      <c r="D1173" s="8" t="e">
        <f>VLOOKUP($B1173,#REF!,6,FALSE)</f>
        <v>#REF!</v>
      </c>
      <c r="E1173" s="9" t="e">
        <f>VLOOKUP($B1173,#REF!,17,FALSE)</f>
        <v>#REF!</v>
      </c>
      <c r="F1173" s="10" t="e">
        <f>VLOOKUP($B1173,#REF!,7,FALSE)</f>
        <v>#REF!</v>
      </c>
      <c r="G1173" s="10"/>
      <c r="H1173" s="10"/>
      <c r="I1173" s="11" t="e">
        <f>VLOOKUP($B1173,#REF!,19,FALSE)</f>
        <v>#REF!</v>
      </c>
      <c r="J1173" s="11" t="e">
        <f>VLOOKUP($B1173,#REF!,6,FALSE)</f>
        <v>#REF!</v>
      </c>
      <c r="L1173" s="3">
        <v>44656.05208332956</v>
      </c>
      <c r="M1173" s="15"/>
    </row>
    <row r="1174" spans="2:13">
      <c r="B1174" s="7"/>
      <c r="C1174" s="8" t="e">
        <f>VLOOKUP($B1174,#REF!,5,FALSE)</f>
        <v>#REF!</v>
      </c>
      <c r="D1174" s="8" t="e">
        <f>VLOOKUP($B1174,#REF!,6,FALSE)</f>
        <v>#REF!</v>
      </c>
      <c r="E1174" s="9" t="e">
        <f>VLOOKUP($B1174,#REF!,17,FALSE)</f>
        <v>#REF!</v>
      </c>
      <c r="F1174" s="10" t="e">
        <f>VLOOKUP($B1174,#REF!,7,FALSE)</f>
        <v>#REF!</v>
      </c>
      <c r="G1174" s="10"/>
      <c r="H1174" s="10"/>
      <c r="I1174" s="11" t="e">
        <f>VLOOKUP($B1174,#REF!,19,FALSE)</f>
        <v>#REF!</v>
      </c>
      <c r="J1174" s="11" t="e">
        <f>VLOOKUP($B1174,#REF!,6,FALSE)</f>
        <v>#REF!</v>
      </c>
      <c r="L1174" s="3">
        <v>44656.055555551779</v>
      </c>
      <c r="M1174" s="15"/>
    </row>
    <row r="1175" spans="2:13">
      <c r="B1175" s="7"/>
      <c r="C1175" s="8" t="e">
        <f>VLOOKUP($B1175,#REF!,5,FALSE)</f>
        <v>#REF!</v>
      </c>
      <c r="D1175" s="8" t="e">
        <f>VLOOKUP($B1175,#REF!,6,FALSE)</f>
        <v>#REF!</v>
      </c>
      <c r="E1175" s="9" t="e">
        <f>VLOOKUP($B1175,#REF!,17,FALSE)</f>
        <v>#REF!</v>
      </c>
      <c r="F1175" s="10" t="e">
        <f>VLOOKUP($B1175,#REF!,7,FALSE)</f>
        <v>#REF!</v>
      </c>
      <c r="G1175" s="10"/>
      <c r="H1175" s="10"/>
      <c r="I1175" s="11" t="e">
        <f>VLOOKUP($B1175,#REF!,19,FALSE)</f>
        <v>#REF!</v>
      </c>
      <c r="J1175" s="11" t="e">
        <f>VLOOKUP($B1175,#REF!,6,FALSE)</f>
        <v>#REF!</v>
      </c>
      <c r="L1175" s="3">
        <v>44656.059027773998</v>
      </c>
      <c r="M1175" s="15"/>
    </row>
    <row r="1176" spans="2:13">
      <c r="B1176" s="7"/>
      <c r="C1176" s="8" t="e">
        <f>VLOOKUP($B1176,#REF!,5,FALSE)</f>
        <v>#REF!</v>
      </c>
      <c r="D1176" s="8" t="e">
        <f>VLOOKUP($B1176,#REF!,6,FALSE)</f>
        <v>#REF!</v>
      </c>
      <c r="E1176" s="9" t="e">
        <f>VLOOKUP($B1176,#REF!,17,FALSE)</f>
        <v>#REF!</v>
      </c>
      <c r="F1176" s="10" t="e">
        <f>VLOOKUP($B1176,#REF!,7,FALSE)</f>
        <v>#REF!</v>
      </c>
      <c r="G1176" s="10"/>
      <c r="H1176" s="10"/>
      <c r="I1176" s="11" t="e">
        <f>VLOOKUP($B1176,#REF!,19,FALSE)</f>
        <v>#REF!</v>
      </c>
      <c r="J1176" s="11" t="e">
        <f>VLOOKUP($B1176,#REF!,6,FALSE)</f>
        <v>#REF!</v>
      </c>
      <c r="L1176" s="3">
        <v>44656.062499996217</v>
      </c>
      <c r="M1176" s="15"/>
    </row>
    <row r="1177" spans="2:13">
      <c r="B1177" s="7"/>
      <c r="C1177" s="8" t="e">
        <f>VLOOKUP($B1177,#REF!,5,FALSE)</f>
        <v>#REF!</v>
      </c>
      <c r="D1177" s="8" t="e">
        <f>VLOOKUP($B1177,#REF!,6,FALSE)</f>
        <v>#REF!</v>
      </c>
      <c r="E1177" s="9" t="e">
        <f>VLOOKUP($B1177,#REF!,17,FALSE)</f>
        <v>#REF!</v>
      </c>
      <c r="F1177" s="10" t="e">
        <f>VLOOKUP($B1177,#REF!,7,FALSE)</f>
        <v>#REF!</v>
      </c>
      <c r="G1177" s="10"/>
      <c r="H1177" s="10"/>
      <c r="I1177" s="11" t="e">
        <f>VLOOKUP($B1177,#REF!,19,FALSE)</f>
        <v>#REF!</v>
      </c>
      <c r="J1177" s="11" t="e">
        <f>VLOOKUP($B1177,#REF!,6,FALSE)</f>
        <v>#REF!</v>
      </c>
      <c r="L1177" s="3">
        <v>44656.065972218435</v>
      </c>
      <c r="M1177" s="15"/>
    </row>
    <row r="1178" spans="2:13">
      <c r="B1178" s="7"/>
      <c r="C1178" s="8" t="e">
        <f>VLOOKUP($B1178,#REF!,5,FALSE)</f>
        <v>#REF!</v>
      </c>
      <c r="D1178" s="8" t="e">
        <f>VLOOKUP($B1178,#REF!,6,FALSE)</f>
        <v>#REF!</v>
      </c>
      <c r="E1178" s="9" t="e">
        <f>VLOOKUP($B1178,#REF!,17,FALSE)</f>
        <v>#REF!</v>
      </c>
      <c r="F1178" s="10" t="e">
        <f>VLOOKUP($B1178,#REF!,7,FALSE)</f>
        <v>#REF!</v>
      </c>
      <c r="G1178" s="10"/>
      <c r="H1178" s="10"/>
      <c r="I1178" s="11" t="e">
        <f>VLOOKUP($B1178,#REF!,19,FALSE)</f>
        <v>#REF!</v>
      </c>
      <c r="J1178" s="11" t="e">
        <f>VLOOKUP($B1178,#REF!,6,FALSE)</f>
        <v>#REF!</v>
      </c>
      <c r="L1178" s="3">
        <v>44656.069444440654</v>
      </c>
      <c r="M1178" s="15"/>
    </row>
    <row r="1179" spans="2:13">
      <c r="B1179" s="7"/>
      <c r="C1179" s="8" t="e">
        <f>VLOOKUP($B1179,#REF!,5,FALSE)</f>
        <v>#REF!</v>
      </c>
      <c r="D1179" s="8" t="e">
        <f>VLOOKUP($B1179,#REF!,6,FALSE)</f>
        <v>#REF!</v>
      </c>
      <c r="E1179" s="9" t="e">
        <f>VLOOKUP($B1179,#REF!,17,FALSE)</f>
        <v>#REF!</v>
      </c>
      <c r="F1179" s="10" t="e">
        <f>VLOOKUP($B1179,#REF!,7,FALSE)</f>
        <v>#REF!</v>
      </c>
      <c r="G1179" s="10"/>
      <c r="H1179" s="10"/>
      <c r="I1179" s="11" t="e">
        <f>VLOOKUP($B1179,#REF!,19,FALSE)</f>
        <v>#REF!</v>
      </c>
      <c r="J1179" s="11" t="e">
        <f>VLOOKUP($B1179,#REF!,6,FALSE)</f>
        <v>#REF!</v>
      </c>
      <c r="L1179" s="3">
        <v>44656.072916662873</v>
      </c>
      <c r="M1179" s="15"/>
    </row>
    <row r="1180" spans="2:13">
      <c r="B1180" s="7"/>
      <c r="C1180" s="8" t="e">
        <f>VLOOKUP($B1180,#REF!,5,FALSE)</f>
        <v>#REF!</v>
      </c>
      <c r="D1180" s="8" t="e">
        <f>VLOOKUP($B1180,#REF!,6,FALSE)</f>
        <v>#REF!</v>
      </c>
      <c r="E1180" s="9" t="e">
        <f>VLOOKUP($B1180,#REF!,17,FALSE)</f>
        <v>#REF!</v>
      </c>
      <c r="F1180" s="10" t="e">
        <f>VLOOKUP($B1180,#REF!,7,FALSE)</f>
        <v>#REF!</v>
      </c>
      <c r="G1180" s="10"/>
      <c r="H1180" s="10"/>
      <c r="I1180" s="11" t="e">
        <f>VLOOKUP($B1180,#REF!,19,FALSE)</f>
        <v>#REF!</v>
      </c>
      <c r="J1180" s="11" t="e">
        <f>VLOOKUP($B1180,#REF!,6,FALSE)</f>
        <v>#REF!</v>
      </c>
      <c r="L1180" s="3">
        <v>44656.076388885092</v>
      </c>
      <c r="M1180" s="15"/>
    </row>
    <row r="1181" spans="2:13">
      <c r="B1181" s="7"/>
      <c r="C1181" s="8" t="e">
        <f>VLOOKUP($B1181,#REF!,5,FALSE)</f>
        <v>#REF!</v>
      </c>
      <c r="D1181" s="8" t="e">
        <f>VLOOKUP($B1181,#REF!,6,FALSE)</f>
        <v>#REF!</v>
      </c>
      <c r="E1181" s="9" t="e">
        <f>VLOOKUP($B1181,#REF!,17,FALSE)</f>
        <v>#REF!</v>
      </c>
      <c r="F1181" s="10" t="e">
        <f>VLOOKUP($B1181,#REF!,7,FALSE)</f>
        <v>#REF!</v>
      </c>
      <c r="G1181" s="10"/>
      <c r="H1181" s="10"/>
      <c r="I1181" s="11" t="e">
        <f>VLOOKUP($B1181,#REF!,19,FALSE)</f>
        <v>#REF!</v>
      </c>
      <c r="J1181" s="11" t="e">
        <f>VLOOKUP($B1181,#REF!,6,FALSE)</f>
        <v>#REF!</v>
      </c>
      <c r="L1181" s="3">
        <v>44656.079861107311</v>
      </c>
      <c r="M1181" s="15"/>
    </row>
    <row r="1182" spans="2:13">
      <c r="B1182" s="7"/>
      <c r="C1182" s="8" t="e">
        <f>VLOOKUP($B1182,#REF!,5,FALSE)</f>
        <v>#REF!</v>
      </c>
      <c r="D1182" s="8" t="e">
        <f>VLOOKUP($B1182,#REF!,6,FALSE)</f>
        <v>#REF!</v>
      </c>
      <c r="E1182" s="9" t="e">
        <f>VLOOKUP($B1182,#REF!,17,FALSE)</f>
        <v>#REF!</v>
      </c>
      <c r="F1182" s="10" t="e">
        <f>VLOOKUP($B1182,#REF!,7,FALSE)</f>
        <v>#REF!</v>
      </c>
      <c r="G1182" s="10"/>
      <c r="H1182" s="10"/>
      <c r="I1182" s="11" t="e">
        <f>VLOOKUP($B1182,#REF!,19,FALSE)</f>
        <v>#REF!</v>
      </c>
      <c r="J1182" s="11" t="e">
        <f>VLOOKUP($B1182,#REF!,6,FALSE)</f>
        <v>#REF!</v>
      </c>
      <c r="L1182" s="3">
        <v>44656.08333332953</v>
      </c>
      <c r="M1182" s="15"/>
    </row>
    <row r="1183" spans="2:13">
      <c r="B1183" s="7"/>
      <c r="C1183" s="8" t="e">
        <f>VLOOKUP($B1183,#REF!,5,FALSE)</f>
        <v>#REF!</v>
      </c>
      <c r="D1183" s="8" t="e">
        <f>VLOOKUP($B1183,#REF!,6,FALSE)</f>
        <v>#REF!</v>
      </c>
      <c r="E1183" s="9" t="e">
        <f>VLOOKUP($B1183,#REF!,17,FALSE)</f>
        <v>#REF!</v>
      </c>
      <c r="F1183" s="10" t="e">
        <f>VLOOKUP($B1183,#REF!,7,FALSE)</f>
        <v>#REF!</v>
      </c>
      <c r="G1183" s="10"/>
      <c r="H1183" s="10"/>
      <c r="I1183" s="11" t="e">
        <f>VLOOKUP($B1183,#REF!,19,FALSE)</f>
        <v>#REF!</v>
      </c>
      <c r="J1183" s="11" t="e">
        <f>VLOOKUP($B1183,#REF!,6,FALSE)</f>
        <v>#REF!</v>
      </c>
      <c r="L1183" s="3">
        <v>44656.086805551749</v>
      </c>
      <c r="M1183" s="15"/>
    </row>
    <row r="1184" spans="2:13">
      <c r="B1184" s="7"/>
      <c r="C1184" s="8" t="e">
        <f>VLOOKUP($B1184,#REF!,5,FALSE)</f>
        <v>#REF!</v>
      </c>
      <c r="D1184" s="8" t="e">
        <f>VLOOKUP($B1184,#REF!,6,FALSE)</f>
        <v>#REF!</v>
      </c>
      <c r="E1184" s="9" t="e">
        <f>VLOOKUP($B1184,#REF!,17,FALSE)</f>
        <v>#REF!</v>
      </c>
      <c r="F1184" s="10" t="e">
        <f>VLOOKUP($B1184,#REF!,7,FALSE)</f>
        <v>#REF!</v>
      </c>
      <c r="G1184" s="10"/>
      <c r="H1184" s="10"/>
      <c r="I1184" s="11" t="e">
        <f>VLOOKUP($B1184,#REF!,19,FALSE)</f>
        <v>#REF!</v>
      </c>
      <c r="J1184" s="11" t="e">
        <f>VLOOKUP($B1184,#REF!,6,FALSE)</f>
        <v>#REF!</v>
      </c>
      <c r="L1184" s="3">
        <v>44656.090277773968</v>
      </c>
      <c r="M1184" s="15"/>
    </row>
    <row r="1185" spans="2:13">
      <c r="B1185" s="7"/>
      <c r="C1185" s="8" t="e">
        <f>VLOOKUP($B1185,#REF!,5,FALSE)</f>
        <v>#REF!</v>
      </c>
      <c r="D1185" s="8" t="e">
        <f>VLOOKUP($B1185,#REF!,6,FALSE)</f>
        <v>#REF!</v>
      </c>
      <c r="E1185" s="9" t="e">
        <f>VLOOKUP($B1185,#REF!,17,FALSE)</f>
        <v>#REF!</v>
      </c>
      <c r="F1185" s="10" t="e">
        <f>VLOOKUP($B1185,#REF!,7,FALSE)</f>
        <v>#REF!</v>
      </c>
      <c r="G1185" s="10"/>
      <c r="H1185" s="10"/>
      <c r="I1185" s="11" t="e">
        <f>VLOOKUP($B1185,#REF!,19,FALSE)</f>
        <v>#REF!</v>
      </c>
      <c r="J1185" s="11" t="e">
        <f>VLOOKUP($B1185,#REF!,6,FALSE)</f>
        <v>#REF!</v>
      </c>
      <c r="L1185" s="3">
        <v>44656.093749996187</v>
      </c>
      <c r="M1185" s="15"/>
    </row>
    <row r="1186" spans="2:13">
      <c r="B1186" s="7"/>
      <c r="C1186" s="8" t="e">
        <f>VLOOKUP($B1186,#REF!,5,FALSE)</f>
        <v>#REF!</v>
      </c>
      <c r="D1186" s="8" t="e">
        <f>VLOOKUP($B1186,#REF!,6,FALSE)</f>
        <v>#REF!</v>
      </c>
      <c r="E1186" s="9" t="e">
        <f>VLOOKUP($B1186,#REF!,17,FALSE)</f>
        <v>#REF!</v>
      </c>
      <c r="F1186" s="10" t="e">
        <f>VLOOKUP($B1186,#REF!,7,FALSE)</f>
        <v>#REF!</v>
      </c>
      <c r="G1186" s="10"/>
      <c r="H1186" s="10"/>
      <c r="I1186" s="11" t="e">
        <f>VLOOKUP($B1186,#REF!,19,FALSE)</f>
        <v>#REF!</v>
      </c>
      <c r="J1186" s="11" t="e">
        <f>VLOOKUP($B1186,#REF!,6,FALSE)</f>
        <v>#REF!</v>
      </c>
      <c r="L1186" s="3">
        <v>44656.097222218406</v>
      </c>
      <c r="M1186" s="15"/>
    </row>
    <row r="1187" spans="2:13">
      <c r="B1187" s="7"/>
      <c r="C1187" s="8" t="e">
        <f>VLOOKUP($B1187,#REF!,5,FALSE)</f>
        <v>#REF!</v>
      </c>
      <c r="D1187" s="8" t="e">
        <f>VLOOKUP($B1187,#REF!,6,FALSE)</f>
        <v>#REF!</v>
      </c>
      <c r="E1187" s="9" t="e">
        <f>VLOOKUP($B1187,#REF!,17,FALSE)</f>
        <v>#REF!</v>
      </c>
      <c r="F1187" s="10" t="e">
        <f>VLOOKUP($B1187,#REF!,7,FALSE)</f>
        <v>#REF!</v>
      </c>
      <c r="G1187" s="10"/>
      <c r="H1187" s="10"/>
      <c r="I1187" s="11" t="e">
        <f>VLOOKUP($B1187,#REF!,19,FALSE)</f>
        <v>#REF!</v>
      </c>
      <c r="J1187" s="11" t="e">
        <f>VLOOKUP($B1187,#REF!,6,FALSE)</f>
        <v>#REF!</v>
      </c>
      <c r="L1187" s="3">
        <v>44656.100694440625</v>
      </c>
      <c r="M1187" s="15"/>
    </row>
    <row r="1188" spans="2:13">
      <c r="B1188" s="7"/>
      <c r="C1188" s="8" t="e">
        <f>VLOOKUP($B1188,#REF!,5,FALSE)</f>
        <v>#REF!</v>
      </c>
      <c r="D1188" s="8" t="e">
        <f>VLOOKUP($B1188,#REF!,6,FALSE)</f>
        <v>#REF!</v>
      </c>
      <c r="E1188" s="9" t="e">
        <f>VLOOKUP($B1188,#REF!,17,FALSE)</f>
        <v>#REF!</v>
      </c>
      <c r="F1188" s="10" t="e">
        <f>VLOOKUP($B1188,#REF!,7,FALSE)</f>
        <v>#REF!</v>
      </c>
      <c r="G1188" s="10"/>
      <c r="H1188" s="10"/>
      <c r="I1188" s="11" t="e">
        <f>VLOOKUP($B1188,#REF!,19,FALSE)</f>
        <v>#REF!</v>
      </c>
      <c r="J1188" s="11" t="e">
        <f>VLOOKUP($B1188,#REF!,6,FALSE)</f>
        <v>#REF!</v>
      </c>
      <c r="L1188" s="3">
        <v>44656.104166662844</v>
      </c>
      <c r="M1188" s="15"/>
    </row>
    <row r="1189" spans="2:13">
      <c r="B1189" s="7"/>
      <c r="C1189" s="8" t="e">
        <f>VLOOKUP($B1189,#REF!,5,FALSE)</f>
        <v>#REF!</v>
      </c>
      <c r="D1189" s="8" t="e">
        <f>VLOOKUP($B1189,#REF!,6,FALSE)</f>
        <v>#REF!</v>
      </c>
      <c r="E1189" s="9" t="e">
        <f>VLOOKUP($B1189,#REF!,17,FALSE)</f>
        <v>#REF!</v>
      </c>
      <c r="F1189" s="10" t="e">
        <f>VLOOKUP($B1189,#REF!,7,FALSE)</f>
        <v>#REF!</v>
      </c>
      <c r="G1189" s="10"/>
      <c r="H1189" s="10"/>
      <c r="I1189" s="11" t="e">
        <f>VLOOKUP($B1189,#REF!,19,FALSE)</f>
        <v>#REF!</v>
      </c>
      <c r="J1189" s="11" t="e">
        <f>VLOOKUP($B1189,#REF!,6,FALSE)</f>
        <v>#REF!</v>
      </c>
      <c r="L1189" s="3">
        <v>44656.107638885063</v>
      </c>
      <c r="M1189" s="15"/>
    </row>
    <row r="1190" spans="2:13">
      <c r="B1190" s="7"/>
      <c r="C1190" s="8" t="e">
        <f>VLOOKUP($B1190,#REF!,5,FALSE)</f>
        <v>#REF!</v>
      </c>
      <c r="D1190" s="8" t="e">
        <f>VLOOKUP($B1190,#REF!,6,FALSE)</f>
        <v>#REF!</v>
      </c>
      <c r="E1190" s="9" t="e">
        <f>VLOOKUP($B1190,#REF!,17,FALSE)</f>
        <v>#REF!</v>
      </c>
      <c r="F1190" s="10" t="e">
        <f>VLOOKUP($B1190,#REF!,7,FALSE)</f>
        <v>#REF!</v>
      </c>
      <c r="G1190" s="10"/>
      <c r="H1190" s="10"/>
      <c r="I1190" s="11" t="e">
        <f>VLOOKUP($B1190,#REF!,19,FALSE)</f>
        <v>#REF!</v>
      </c>
      <c r="J1190" s="11" t="e">
        <f>VLOOKUP($B1190,#REF!,6,FALSE)</f>
        <v>#REF!</v>
      </c>
      <c r="L1190" s="3">
        <v>44656.111111107282</v>
      </c>
      <c r="M1190" s="15"/>
    </row>
    <row r="1191" spans="2:13">
      <c r="B1191" s="7"/>
      <c r="C1191" s="8" t="e">
        <f>VLOOKUP($B1191,#REF!,5,FALSE)</f>
        <v>#REF!</v>
      </c>
      <c r="D1191" s="8" t="e">
        <f>VLOOKUP($B1191,#REF!,6,FALSE)</f>
        <v>#REF!</v>
      </c>
      <c r="E1191" s="9" t="e">
        <f>VLOOKUP($B1191,#REF!,17,FALSE)</f>
        <v>#REF!</v>
      </c>
      <c r="F1191" s="10" t="e">
        <f>VLOOKUP($B1191,#REF!,7,FALSE)</f>
        <v>#REF!</v>
      </c>
      <c r="G1191" s="10"/>
      <c r="H1191" s="10"/>
      <c r="I1191" s="11" t="e">
        <f>VLOOKUP($B1191,#REF!,19,FALSE)</f>
        <v>#REF!</v>
      </c>
      <c r="J1191" s="11" t="e">
        <f>VLOOKUP($B1191,#REF!,6,FALSE)</f>
        <v>#REF!</v>
      </c>
      <c r="L1191" s="3">
        <v>44656.114583329501</v>
      </c>
      <c r="M1191" s="15"/>
    </row>
    <row r="1192" spans="2:13">
      <c r="B1192" s="7"/>
      <c r="C1192" s="8" t="e">
        <f>VLOOKUP($B1192,#REF!,5,FALSE)</f>
        <v>#REF!</v>
      </c>
      <c r="D1192" s="8" t="e">
        <f>VLOOKUP($B1192,#REF!,6,FALSE)</f>
        <v>#REF!</v>
      </c>
      <c r="E1192" s="9" t="e">
        <f>VLOOKUP($B1192,#REF!,17,FALSE)</f>
        <v>#REF!</v>
      </c>
      <c r="F1192" s="10" t="e">
        <f>VLOOKUP($B1192,#REF!,7,FALSE)</f>
        <v>#REF!</v>
      </c>
      <c r="G1192" s="10"/>
      <c r="H1192" s="10"/>
      <c r="I1192" s="11" t="e">
        <f>VLOOKUP($B1192,#REF!,19,FALSE)</f>
        <v>#REF!</v>
      </c>
      <c r="J1192" s="11" t="e">
        <f>VLOOKUP($B1192,#REF!,6,FALSE)</f>
        <v>#REF!</v>
      </c>
      <c r="L1192" s="3">
        <v>44656.11805555172</v>
      </c>
      <c r="M1192" s="15"/>
    </row>
    <row r="1193" spans="2:13">
      <c r="B1193" s="7"/>
      <c r="C1193" s="8" t="e">
        <f>VLOOKUP($B1193,#REF!,5,FALSE)</f>
        <v>#REF!</v>
      </c>
      <c r="D1193" s="8" t="e">
        <f>VLOOKUP($B1193,#REF!,6,FALSE)</f>
        <v>#REF!</v>
      </c>
      <c r="E1193" s="9" t="e">
        <f>VLOOKUP($B1193,#REF!,17,FALSE)</f>
        <v>#REF!</v>
      </c>
      <c r="F1193" s="10" t="e">
        <f>VLOOKUP($B1193,#REF!,7,FALSE)</f>
        <v>#REF!</v>
      </c>
      <c r="G1193" s="10"/>
      <c r="H1193" s="10"/>
      <c r="I1193" s="11" t="e">
        <f>VLOOKUP($B1193,#REF!,19,FALSE)</f>
        <v>#REF!</v>
      </c>
      <c r="J1193" s="11" t="e">
        <f>VLOOKUP($B1193,#REF!,6,FALSE)</f>
        <v>#REF!</v>
      </c>
      <c r="L1193" s="3">
        <v>44656.121527773939</v>
      </c>
      <c r="M1193" s="15"/>
    </row>
    <row r="1194" spans="2:13">
      <c r="B1194" s="7"/>
      <c r="C1194" s="8" t="e">
        <f>VLOOKUP($B1194,#REF!,5,FALSE)</f>
        <v>#REF!</v>
      </c>
      <c r="D1194" s="8" t="e">
        <f>VLOOKUP($B1194,#REF!,6,FALSE)</f>
        <v>#REF!</v>
      </c>
      <c r="E1194" s="9" t="e">
        <f>VLOOKUP($B1194,#REF!,17,FALSE)</f>
        <v>#REF!</v>
      </c>
      <c r="F1194" s="10" t="e">
        <f>VLOOKUP($B1194,#REF!,7,FALSE)</f>
        <v>#REF!</v>
      </c>
      <c r="G1194" s="10"/>
      <c r="H1194" s="10"/>
      <c r="I1194" s="11" t="e">
        <f>VLOOKUP($B1194,#REF!,19,FALSE)</f>
        <v>#REF!</v>
      </c>
      <c r="J1194" s="11" t="e">
        <f>VLOOKUP($B1194,#REF!,6,FALSE)</f>
        <v>#REF!</v>
      </c>
      <c r="L1194" s="3">
        <v>44656.124999996158</v>
      </c>
      <c r="M1194" s="15"/>
    </row>
    <row r="1195" spans="2:13">
      <c r="B1195" s="7"/>
      <c r="C1195" s="8" t="e">
        <f>VLOOKUP($B1195,#REF!,5,FALSE)</f>
        <v>#REF!</v>
      </c>
      <c r="D1195" s="8" t="e">
        <f>VLOOKUP($B1195,#REF!,6,FALSE)</f>
        <v>#REF!</v>
      </c>
      <c r="E1195" s="9" t="e">
        <f>VLOOKUP($B1195,#REF!,17,FALSE)</f>
        <v>#REF!</v>
      </c>
      <c r="F1195" s="10" t="e">
        <f>VLOOKUP($B1195,#REF!,7,FALSE)</f>
        <v>#REF!</v>
      </c>
      <c r="G1195" s="10"/>
      <c r="H1195" s="10"/>
      <c r="I1195" s="11" t="e">
        <f>VLOOKUP($B1195,#REF!,19,FALSE)</f>
        <v>#REF!</v>
      </c>
      <c r="J1195" s="11" t="e">
        <f>VLOOKUP($B1195,#REF!,6,FALSE)</f>
        <v>#REF!</v>
      </c>
      <c r="L1195" s="3">
        <v>44656.128472218377</v>
      </c>
      <c r="M1195" s="15"/>
    </row>
    <row r="1196" spans="2:13">
      <c r="B1196" s="7"/>
      <c r="C1196" s="8" t="e">
        <f>VLOOKUP($B1196,#REF!,5,FALSE)</f>
        <v>#REF!</v>
      </c>
      <c r="D1196" s="8" t="e">
        <f>VLOOKUP($B1196,#REF!,6,FALSE)</f>
        <v>#REF!</v>
      </c>
      <c r="E1196" s="9" t="e">
        <f>VLOOKUP($B1196,#REF!,17,FALSE)</f>
        <v>#REF!</v>
      </c>
      <c r="F1196" s="10" t="e">
        <f>VLOOKUP($B1196,#REF!,7,FALSE)</f>
        <v>#REF!</v>
      </c>
      <c r="G1196" s="10"/>
      <c r="H1196" s="10"/>
      <c r="I1196" s="11" t="e">
        <f>VLOOKUP($B1196,#REF!,19,FALSE)</f>
        <v>#REF!</v>
      </c>
      <c r="J1196" s="11" t="e">
        <f>VLOOKUP($B1196,#REF!,6,FALSE)</f>
        <v>#REF!</v>
      </c>
      <c r="L1196" s="3">
        <v>44656.131944440596</v>
      </c>
      <c r="M1196" s="15"/>
    </row>
    <row r="1197" spans="2:13">
      <c r="B1197" s="7"/>
      <c r="C1197" s="8" t="e">
        <f>VLOOKUP($B1197,#REF!,5,FALSE)</f>
        <v>#REF!</v>
      </c>
      <c r="D1197" s="8" t="e">
        <f>VLOOKUP($B1197,#REF!,6,FALSE)</f>
        <v>#REF!</v>
      </c>
      <c r="E1197" s="9" t="e">
        <f>VLOOKUP($B1197,#REF!,17,FALSE)</f>
        <v>#REF!</v>
      </c>
      <c r="F1197" s="10" t="e">
        <f>VLOOKUP($B1197,#REF!,7,FALSE)</f>
        <v>#REF!</v>
      </c>
      <c r="G1197" s="10"/>
      <c r="H1197" s="10"/>
      <c r="I1197" s="11" t="e">
        <f>VLOOKUP($B1197,#REF!,19,FALSE)</f>
        <v>#REF!</v>
      </c>
      <c r="J1197" s="11" t="e">
        <f>VLOOKUP($B1197,#REF!,6,FALSE)</f>
        <v>#REF!</v>
      </c>
      <c r="L1197" s="3">
        <v>44656.135416662815</v>
      </c>
      <c r="M1197" s="15"/>
    </row>
    <row r="1198" spans="2:13">
      <c r="B1198" s="7"/>
      <c r="C1198" s="8" t="e">
        <f>VLOOKUP($B1198,#REF!,5,FALSE)</f>
        <v>#REF!</v>
      </c>
      <c r="D1198" s="8" t="e">
        <f>VLOOKUP($B1198,#REF!,6,FALSE)</f>
        <v>#REF!</v>
      </c>
      <c r="E1198" s="9" t="e">
        <f>VLOOKUP($B1198,#REF!,17,FALSE)</f>
        <v>#REF!</v>
      </c>
      <c r="F1198" s="10" t="e">
        <f>VLOOKUP($B1198,#REF!,7,FALSE)</f>
        <v>#REF!</v>
      </c>
      <c r="G1198" s="10"/>
      <c r="H1198" s="10"/>
      <c r="I1198" s="11" t="e">
        <f>VLOOKUP($B1198,#REF!,19,FALSE)</f>
        <v>#REF!</v>
      </c>
      <c r="J1198" s="11" t="e">
        <f>VLOOKUP($B1198,#REF!,6,FALSE)</f>
        <v>#REF!</v>
      </c>
      <c r="L1198" s="3">
        <v>44656.138888885034</v>
      </c>
      <c r="M1198" s="15"/>
    </row>
    <row r="1199" spans="2:13">
      <c r="B1199" s="7"/>
      <c r="C1199" s="8" t="e">
        <f>VLOOKUP($B1199,#REF!,5,FALSE)</f>
        <v>#REF!</v>
      </c>
      <c r="D1199" s="8" t="e">
        <f>VLOOKUP($B1199,#REF!,6,FALSE)</f>
        <v>#REF!</v>
      </c>
      <c r="E1199" s="9" t="e">
        <f>VLOOKUP($B1199,#REF!,17,FALSE)</f>
        <v>#REF!</v>
      </c>
      <c r="F1199" s="10" t="e">
        <f>VLOOKUP($B1199,#REF!,7,FALSE)</f>
        <v>#REF!</v>
      </c>
      <c r="G1199" s="10"/>
      <c r="H1199" s="10"/>
      <c r="I1199" s="11" t="e">
        <f>VLOOKUP($B1199,#REF!,19,FALSE)</f>
        <v>#REF!</v>
      </c>
      <c r="J1199" s="11" t="e">
        <f>VLOOKUP($B1199,#REF!,6,FALSE)</f>
        <v>#REF!</v>
      </c>
      <c r="L1199" s="3">
        <v>44656.142361107253</v>
      </c>
      <c r="M1199" s="15"/>
    </row>
    <row r="1200" spans="2:13">
      <c r="B1200" s="7"/>
      <c r="C1200" s="8" t="e">
        <f>VLOOKUP($B1200,#REF!,5,FALSE)</f>
        <v>#REF!</v>
      </c>
      <c r="D1200" s="8" t="e">
        <f>VLOOKUP($B1200,#REF!,6,FALSE)</f>
        <v>#REF!</v>
      </c>
      <c r="E1200" s="9" t="e">
        <f>VLOOKUP($B1200,#REF!,17,FALSE)</f>
        <v>#REF!</v>
      </c>
      <c r="F1200" s="10" t="e">
        <f>VLOOKUP($B1200,#REF!,7,FALSE)</f>
        <v>#REF!</v>
      </c>
      <c r="G1200" s="10"/>
      <c r="H1200" s="10"/>
      <c r="I1200" s="11" t="e">
        <f>VLOOKUP($B1200,#REF!,19,FALSE)</f>
        <v>#REF!</v>
      </c>
      <c r="J1200" s="11" t="e">
        <f>VLOOKUP($B1200,#REF!,6,FALSE)</f>
        <v>#REF!</v>
      </c>
      <c r="L1200" s="3">
        <v>44656.145833329472</v>
      </c>
      <c r="M1200" s="15"/>
    </row>
    <row r="1201" spans="2:13">
      <c r="B1201" s="7"/>
      <c r="C1201" s="8" t="e">
        <f>VLOOKUP($B1201,#REF!,5,FALSE)</f>
        <v>#REF!</v>
      </c>
      <c r="D1201" s="8" t="e">
        <f>VLOOKUP($B1201,#REF!,6,FALSE)</f>
        <v>#REF!</v>
      </c>
      <c r="E1201" s="9" t="e">
        <f>VLOOKUP($B1201,#REF!,17,FALSE)</f>
        <v>#REF!</v>
      </c>
      <c r="F1201" s="10" t="e">
        <f>VLOOKUP($B1201,#REF!,7,FALSE)</f>
        <v>#REF!</v>
      </c>
      <c r="G1201" s="10"/>
      <c r="H1201" s="10"/>
      <c r="I1201" s="11" t="e">
        <f>VLOOKUP($B1201,#REF!,19,FALSE)</f>
        <v>#REF!</v>
      </c>
      <c r="J1201" s="11" t="e">
        <f>VLOOKUP($B1201,#REF!,6,FALSE)</f>
        <v>#REF!</v>
      </c>
      <c r="L1201" s="3">
        <v>44656.149305551691</v>
      </c>
      <c r="M1201" s="15"/>
    </row>
    <row r="1202" spans="2:13">
      <c r="B1202" s="7"/>
      <c r="C1202" s="8" t="e">
        <f>VLOOKUP($B1202,#REF!,5,FALSE)</f>
        <v>#REF!</v>
      </c>
      <c r="D1202" s="8" t="e">
        <f>VLOOKUP($B1202,#REF!,6,FALSE)</f>
        <v>#REF!</v>
      </c>
      <c r="E1202" s="9" t="e">
        <f>VLOOKUP($B1202,#REF!,17,FALSE)</f>
        <v>#REF!</v>
      </c>
      <c r="F1202" s="10" t="e">
        <f>VLOOKUP($B1202,#REF!,7,FALSE)</f>
        <v>#REF!</v>
      </c>
      <c r="G1202" s="10"/>
      <c r="H1202" s="10"/>
      <c r="I1202" s="11" t="e">
        <f>VLOOKUP($B1202,#REF!,19,FALSE)</f>
        <v>#REF!</v>
      </c>
      <c r="J1202" s="11" t="e">
        <f>VLOOKUP($B1202,#REF!,6,FALSE)</f>
        <v>#REF!</v>
      </c>
      <c r="L1202" s="3">
        <v>44656.15277777391</v>
      </c>
      <c r="M1202" s="15"/>
    </row>
    <row r="1203" spans="2:13">
      <c r="B1203" s="7"/>
      <c r="C1203" s="8" t="e">
        <f>VLOOKUP($B1203,#REF!,5,FALSE)</f>
        <v>#REF!</v>
      </c>
      <c r="D1203" s="8" t="e">
        <f>VLOOKUP($B1203,#REF!,6,FALSE)</f>
        <v>#REF!</v>
      </c>
      <c r="E1203" s="9" t="e">
        <f>VLOOKUP($B1203,#REF!,17,FALSE)</f>
        <v>#REF!</v>
      </c>
      <c r="F1203" s="10" t="e">
        <f>VLOOKUP($B1203,#REF!,7,FALSE)</f>
        <v>#REF!</v>
      </c>
      <c r="G1203" s="10"/>
      <c r="H1203" s="10"/>
      <c r="I1203" s="11" t="e">
        <f>VLOOKUP($B1203,#REF!,19,FALSE)</f>
        <v>#REF!</v>
      </c>
      <c r="J1203" s="11" t="e">
        <f>VLOOKUP($B1203,#REF!,6,FALSE)</f>
        <v>#REF!</v>
      </c>
      <c r="L1203" s="3">
        <v>44656.156249996129</v>
      </c>
      <c r="M1203" s="15"/>
    </row>
    <row r="1204" spans="2:13">
      <c r="B1204" s="7"/>
      <c r="C1204" s="8" t="e">
        <f>VLOOKUP($B1204,#REF!,5,FALSE)</f>
        <v>#REF!</v>
      </c>
      <c r="D1204" s="8" t="e">
        <f>VLOOKUP($B1204,#REF!,6,FALSE)</f>
        <v>#REF!</v>
      </c>
      <c r="E1204" s="9" t="e">
        <f>VLOOKUP($B1204,#REF!,17,FALSE)</f>
        <v>#REF!</v>
      </c>
      <c r="F1204" s="10" t="e">
        <f>VLOOKUP($B1204,#REF!,7,FALSE)</f>
        <v>#REF!</v>
      </c>
      <c r="G1204" s="10"/>
      <c r="H1204" s="10"/>
      <c r="I1204" s="11" t="e">
        <f>VLOOKUP($B1204,#REF!,19,FALSE)</f>
        <v>#REF!</v>
      </c>
      <c r="J1204" s="11" t="e">
        <f>VLOOKUP($B1204,#REF!,6,FALSE)</f>
        <v>#REF!</v>
      </c>
      <c r="L1204" s="3">
        <v>44656.159722218348</v>
      </c>
      <c r="M1204" s="15"/>
    </row>
    <row r="1205" spans="2:13">
      <c r="B1205" s="7"/>
      <c r="C1205" s="8" t="e">
        <f>VLOOKUP($B1205,#REF!,5,FALSE)</f>
        <v>#REF!</v>
      </c>
      <c r="D1205" s="8" t="e">
        <f>VLOOKUP($B1205,#REF!,6,FALSE)</f>
        <v>#REF!</v>
      </c>
      <c r="E1205" s="9" t="e">
        <f>VLOOKUP($B1205,#REF!,17,FALSE)</f>
        <v>#REF!</v>
      </c>
      <c r="F1205" s="10" t="e">
        <f>VLOOKUP($B1205,#REF!,7,FALSE)</f>
        <v>#REF!</v>
      </c>
      <c r="G1205" s="10"/>
      <c r="H1205" s="10"/>
      <c r="I1205" s="11" t="e">
        <f>VLOOKUP($B1205,#REF!,19,FALSE)</f>
        <v>#REF!</v>
      </c>
      <c r="J1205" s="11" t="e">
        <f>VLOOKUP($B1205,#REF!,6,FALSE)</f>
        <v>#REF!</v>
      </c>
      <c r="L1205" s="3">
        <v>44656.163194440567</v>
      </c>
      <c r="M1205" s="15"/>
    </row>
    <row r="1206" spans="2:13">
      <c r="B1206" s="7"/>
      <c r="C1206" s="8" t="e">
        <f>VLOOKUP($B1206,#REF!,5,FALSE)</f>
        <v>#REF!</v>
      </c>
      <c r="D1206" s="8" t="e">
        <f>VLOOKUP($B1206,#REF!,6,FALSE)</f>
        <v>#REF!</v>
      </c>
      <c r="E1206" s="9" t="e">
        <f>VLOOKUP($B1206,#REF!,17,FALSE)</f>
        <v>#REF!</v>
      </c>
      <c r="F1206" s="10" t="e">
        <f>VLOOKUP($B1206,#REF!,7,FALSE)</f>
        <v>#REF!</v>
      </c>
      <c r="G1206" s="10"/>
      <c r="H1206" s="10"/>
      <c r="I1206" s="11" t="e">
        <f>VLOOKUP($B1206,#REF!,19,FALSE)</f>
        <v>#REF!</v>
      </c>
      <c r="J1206" s="11" t="e">
        <f>VLOOKUP($B1206,#REF!,6,FALSE)</f>
        <v>#REF!</v>
      </c>
      <c r="L1206" s="3">
        <v>44656.166666662786</v>
      </c>
      <c r="M1206" s="15"/>
    </row>
    <row r="1207" spans="2:13">
      <c r="B1207" s="7"/>
      <c r="C1207" s="8" t="e">
        <f>VLOOKUP($B1207,#REF!,5,FALSE)</f>
        <v>#REF!</v>
      </c>
      <c r="D1207" s="8" t="e">
        <f>VLOOKUP($B1207,#REF!,6,FALSE)</f>
        <v>#REF!</v>
      </c>
      <c r="E1207" s="9" t="e">
        <f>VLOOKUP($B1207,#REF!,17,FALSE)</f>
        <v>#REF!</v>
      </c>
      <c r="F1207" s="10" t="e">
        <f>VLOOKUP($B1207,#REF!,7,FALSE)</f>
        <v>#REF!</v>
      </c>
      <c r="G1207" s="10"/>
      <c r="H1207" s="10"/>
      <c r="I1207" s="11" t="e">
        <f>VLOOKUP($B1207,#REF!,19,FALSE)</f>
        <v>#REF!</v>
      </c>
      <c r="J1207" s="11" t="e">
        <f>VLOOKUP($B1207,#REF!,6,FALSE)</f>
        <v>#REF!</v>
      </c>
      <c r="L1207" s="3">
        <v>44656.170138885005</v>
      </c>
      <c r="M1207" s="15"/>
    </row>
    <row r="1208" spans="2:13">
      <c r="B1208" s="7"/>
      <c r="C1208" s="8" t="e">
        <f>VLOOKUP($B1208,#REF!,5,FALSE)</f>
        <v>#REF!</v>
      </c>
      <c r="D1208" s="8" t="e">
        <f>VLOOKUP($B1208,#REF!,6,FALSE)</f>
        <v>#REF!</v>
      </c>
      <c r="E1208" s="9" t="e">
        <f>VLOOKUP($B1208,#REF!,17,FALSE)</f>
        <v>#REF!</v>
      </c>
      <c r="F1208" s="10" t="e">
        <f>VLOOKUP($B1208,#REF!,7,FALSE)</f>
        <v>#REF!</v>
      </c>
      <c r="G1208" s="10"/>
      <c r="H1208" s="10"/>
      <c r="I1208" s="11" t="e">
        <f>VLOOKUP($B1208,#REF!,19,FALSE)</f>
        <v>#REF!</v>
      </c>
      <c r="J1208" s="11" t="e">
        <f>VLOOKUP($B1208,#REF!,6,FALSE)</f>
        <v>#REF!</v>
      </c>
      <c r="L1208" s="3">
        <v>44656.173611107224</v>
      </c>
      <c r="M1208" s="15"/>
    </row>
    <row r="1209" spans="2:13">
      <c r="B1209" s="7"/>
      <c r="C1209" s="8" t="e">
        <f>VLOOKUP($B1209,#REF!,5,FALSE)</f>
        <v>#REF!</v>
      </c>
      <c r="D1209" s="8" t="e">
        <f>VLOOKUP($B1209,#REF!,6,FALSE)</f>
        <v>#REF!</v>
      </c>
      <c r="E1209" s="9" t="e">
        <f>VLOOKUP($B1209,#REF!,17,FALSE)</f>
        <v>#REF!</v>
      </c>
      <c r="F1209" s="10" t="e">
        <f>VLOOKUP($B1209,#REF!,7,FALSE)</f>
        <v>#REF!</v>
      </c>
      <c r="G1209" s="10"/>
      <c r="H1209" s="10"/>
      <c r="I1209" s="11" t="e">
        <f>VLOOKUP($B1209,#REF!,19,FALSE)</f>
        <v>#REF!</v>
      </c>
      <c r="J1209" s="11" t="e">
        <f>VLOOKUP($B1209,#REF!,6,FALSE)</f>
        <v>#REF!</v>
      </c>
      <c r="L1209" s="3">
        <v>44656.177083329443</v>
      </c>
      <c r="M1209" s="15"/>
    </row>
    <row r="1210" spans="2:13">
      <c r="B1210" s="7"/>
      <c r="C1210" s="8" t="e">
        <f>VLOOKUP($B1210,#REF!,5,FALSE)</f>
        <v>#REF!</v>
      </c>
      <c r="D1210" s="8" t="e">
        <f>VLOOKUP($B1210,#REF!,6,FALSE)</f>
        <v>#REF!</v>
      </c>
      <c r="E1210" s="9" t="e">
        <f>VLOOKUP($B1210,#REF!,17,FALSE)</f>
        <v>#REF!</v>
      </c>
      <c r="F1210" s="10" t="e">
        <f>VLOOKUP($B1210,#REF!,7,FALSE)</f>
        <v>#REF!</v>
      </c>
      <c r="G1210" s="10"/>
      <c r="H1210" s="10"/>
      <c r="I1210" s="11" t="e">
        <f>VLOOKUP($B1210,#REF!,19,FALSE)</f>
        <v>#REF!</v>
      </c>
      <c r="J1210" s="11" t="e">
        <f>VLOOKUP($B1210,#REF!,6,FALSE)</f>
        <v>#REF!</v>
      </c>
      <c r="L1210" s="3">
        <v>44656.180555551662</v>
      </c>
      <c r="M1210" s="15"/>
    </row>
    <row r="1211" spans="2:13">
      <c r="B1211" s="7"/>
      <c r="C1211" s="8" t="e">
        <f>VLOOKUP($B1211,#REF!,5,FALSE)</f>
        <v>#REF!</v>
      </c>
      <c r="D1211" s="8" t="e">
        <f>VLOOKUP($B1211,#REF!,6,FALSE)</f>
        <v>#REF!</v>
      </c>
      <c r="E1211" s="9" t="e">
        <f>VLOOKUP($B1211,#REF!,17,FALSE)</f>
        <v>#REF!</v>
      </c>
      <c r="F1211" s="10" t="e">
        <f>VLOOKUP($B1211,#REF!,7,FALSE)</f>
        <v>#REF!</v>
      </c>
      <c r="G1211" s="10"/>
      <c r="H1211" s="10"/>
      <c r="I1211" s="11" t="e">
        <f>VLOOKUP($B1211,#REF!,19,FALSE)</f>
        <v>#REF!</v>
      </c>
      <c r="J1211" s="11" t="e">
        <f>VLOOKUP($B1211,#REF!,6,FALSE)</f>
        <v>#REF!</v>
      </c>
      <c r="L1211" s="3">
        <v>44656.184027773881</v>
      </c>
      <c r="M1211" s="15"/>
    </row>
    <row r="1212" spans="2:13">
      <c r="B1212" s="7"/>
      <c r="C1212" s="8" t="e">
        <f>VLOOKUP($B1212,#REF!,5,FALSE)</f>
        <v>#REF!</v>
      </c>
      <c r="D1212" s="8" t="e">
        <f>VLOOKUP($B1212,#REF!,6,FALSE)</f>
        <v>#REF!</v>
      </c>
      <c r="E1212" s="9" t="e">
        <f>VLOOKUP($B1212,#REF!,17,FALSE)</f>
        <v>#REF!</v>
      </c>
      <c r="F1212" s="10" t="e">
        <f>VLOOKUP($B1212,#REF!,7,FALSE)</f>
        <v>#REF!</v>
      </c>
      <c r="G1212" s="10"/>
      <c r="H1212" s="10"/>
      <c r="I1212" s="11" t="e">
        <f>VLOOKUP($B1212,#REF!,19,FALSE)</f>
        <v>#REF!</v>
      </c>
      <c r="J1212" s="11" t="e">
        <f>VLOOKUP($B1212,#REF!,6,FALSE)</f>
        <v>#REF!</v>
      </c>
      <c r="L1212" s="3">
        <v>44656.1874999961</v>
      </c>
      <c r="M1212" s="15"/>
    </row>
    <row r="1213" spans="2:13">
      <c r="B1213" s="7"/>
      <c r="C1213" s="8" t="e">
        <f>VLOOKUP($B1213,#REF!,5,FALSE)</f>
        <v>#REF!</v>
      </c>
      <c r="D1213" s="8" t="e">
        <f>VLOOKUP($B1213,#REF!,6,FALSE)</f>
        <v>#REF!</v>
      </c>
      <c r="E1213" s="9" t="e">
        <f>VLOOKUP($B1213,#REF!,17,FALSE)</f>
        <v>#REF!</v>
      </c>
      <c r="F1213" s="10" t="e">
        <f>VLOOKUP($B1213,#REF!,7,FALSE)</f>
        <v>#REF!</v>
      </c>
      <c r="G1213" s="10"/>
      <c r="H1213" s="10"/>
      <c r="I1213" s="11" t="e">
        <f>VLOOKUP($B1213,#REF!,19,FALSE)</f>
        <v>#REF!</v>
      </c>
      <c r="J1213" s="11" t="e">
        <f>VLOOKUP($B1213,#REF!,6,FALSE)</f>
        <v>#REF!</v>
      </c>
      <c r="L1213" s="3">
        <v>44656.190972218319</v>
      </c>
      <c r="M1213" s="15"/>
    </row>
    <row r="1214" spans="2:13">
      <c r="B1214" s="7"/>
      <c r="C1214" s="8" t="e">
        <f>VLOOKUP($B1214,#REF!,5,FALSE)</f>
        <v>#REF!</v>
      </c>
      <c r="D1214" s="8" t="e">
        <f>VLOOKUP($B1214,#REF!,6,FALSE)</f>
        <v>#REF!</v>
      </c>
      <c r="E1214" s="9" t="e">
        <f>VLOOKUP($B1214,#REF!,17,FALSE)</f>
        <v>#REF!</v>
      </c>
      <c r="F1214" s="10" t="e">
        <f>VLOOKUP($B1214,#REF!,7,FALSE)</f>
        <v>#REF!</v>
      </c>
      <c r="G1214" s="10"/>
      <c r="H1214" s="10"/>
      <c r="I1214" s="11" t="e">
        <f>VLOOKUP($B1214,#REF!,19,FALSE)</f>
        <v>#REF!</v>
      </c>
      <c r="J1214" s="11" t="e">
        <f>VLOOKUP($B1214,#REF!,6,FALSE)</f>
        <v>#REF!</v>
      </c>
      <c r="L1214" s="3">
        <v>44656.194444440538</v>
      </c>
      <c r="M1214" s="15"/>
    </row>
    <row r="1215" spans="2:13">
      <c r="B1215" s="7"/>
      <c r="C1215" s="8" t="e">
        <f>VLOOKUP($B1215,#REF!,5,FALSE)</f>
        <v>#REF!</v>
      </c>
      <c r="D1215" s="8" t="e">
        <f>VLOOKUP($B1215,#REF!,6,FALSE)</f>
        <v>#REF!</v>
      </c>
      <c r="E1215" s="9" t="e">
        <f>VLOOKUP($B1215,#REF!,17,FALSE)</f>
        <v>#REF!</v>
      </c>
      <c r="F1215" s="10" t="e">
        <f>VLOOKUP($B1215,#REF!,7,FALSE)</f>
        <v>#REF!</v>
      </c>
      <c r="G1215" s="10"/>
      <c r="H1215" s="10"/>
      <c r="I1215" s="11" t="e">
        <f>VLOOKUP($B1215,#REF!,19,FALSE)</f>
        <v>#REF!</v>
      </c>
      <c r="J1215" s="11" t="e">
        <f>VLOOKUP($B1215,#REF!,6,FALSE)</f>
        <v>#REF!</v>
      </c>
      <c r="L1215" s="3">
        <v>44656.197916662757</v>
      </c>
      <c r="M1215" s="15"/>
    </row>
    <row r="1216" spans="2:13">
      <c r="B1216" s="7"/>
      <c r="C1216" s="8" t="e">
        <f>VLOOKUP($B1216,#REF!,5,FALSE)</f>
        <v>#REF!</v>
      </c>
      <c r="D1216" s="8" t="e">
        <f>VLOOKUP($B1216,#REF!,6,FALSE)</f>
        <v>#REF!</v>
      </c>
      <c r="E1216" s="9" t="e">
        <f>VLOOKUP($B1216,#REF!,17,FALSE)</f>
        <v>#REF!</v>
      </c>
      <c r="F1216" s="10" t="e">
        <f>VLOOKUP($B1216,#REF!,7,FALSE)</f>
        <v>#REF!</v>
      </c>
      <c r="G1216" s="10"/>
      <c r="H1216" s="10"/>
      <c r="I1216" s="11" t="e">
        <f>VLOOKUP($B1216,#REF!,19,FALSE)</f>
        <v>#REF!</v>
      </c>
      <c r="J1216" s="11" t="e">
        <f>VLOOKUP($B1216,#REF!,6,FALSE)</f>
        <v>#REF!</v>
      </c>
      <c r="L1216" s="3">
        <v>44656.201388884976</v>
      </c>
      <c r="M1216" s="15"/>
    </row>
    <row r="1217" spans="2:13">
      <c r="B1217" s="7"/>
      <c r="C1217" s="8" t="e">
        <f>VLOOKUP($B1217,#REF!,5,FALSE)</f>
        <v>#REF!</v>
      </c>
      <c r="D1217" s="8" t="e">
        <f>VLOOKUP($B1217,#REF!,6,FALSE)</f>
        <v>#REF!</v>
      </c>
      <c r="E1217" s="9" t="e">
        <f>VLOOKUP($B1217,#REF!,17,FALSE)</f>
        <v>#REF!</v>
      </c>
      <c r="F1217" s="10" t="e">
        <f>VLOOKUP($B1217,#REF!,7,FALSE)</f>
        <v>#REF!</v>
      </c>
      <c r="G1217" s="10"/>
      <c r="H1217" s="10"/>
      <c r="I1217" s="11" t="e">
        <f>VLOOKUP($B1217,#REF!,19,FALSE)</f>
        <v>#REF!</v>
      </c>
      <c r="J1217" s="11" t="e">
        <f>VLOOKUP($B1217,#REF!,6,FALSE)</f>
        <v>#REF!</v>
      </c>
      <c r="L1217" s="3">
        <v>44656.204861107195</v>
      </c>
      <c r="M1217" s="15"/>
    </row>
    <row r="1218" spans="2:13">
      <c r="B1218" s="7"/>
      <c r="C1218" s="8" t="e">
        <f>VLOOKUP($B1218,#REF!,5,FALSE)</f>
        <v>#REF!</v>
      </c>
      <c r="D1218" s="8" t="e">
        <f>VLOOKUP($B1218,#REF!,6,FALSE)</f>
        <v>#REF!</v>
      </c>
      <c r="E1218" s="9" t="e">
        <f>VLOOKUP($B1218,#REF!,17,FALSE)</f>
        <v>#REF!</v>
      </c>
      <c r="F1218" s="10" t="e">
        <f>VLOOKUP($B1218,#REF!,7,FALSE)</f>
        <v>#REF!</v>
      </c>
      <c r="G1218" s="10"/>
      <c r="H1218" s="10"/>
      <c r="I1218" s="11" t="e">
        <f>VLOOKUP($B1218,#REF!,19,FALSE)</f>
        <v>#REF!</v>
      </c>
      <c r="J1218" s="11" t="e">
        <f>VLOOKUP($B1218,#REF!,6,FALSE)</f>
        <v>#REF!</v>
      </c>
      <c r="L1218" s="3">
        <v>44656.208333329414</v>
      </c>
      <c r="M1218" s="15"/>
    </row>
    <row r="1219" spans="2:13">
      <c r="B1219" s="7"/>
      <c r="C1219" s="8" t="e">
        <f>VLOOKUP($B1219,#REF!,5,FALSE)</f>
        <v>#REF!</v>
      </c>
      <c r="D1219" s="8" t="e">
        <f>VLOOKUP($B1219,#REF!,6,FALSE)</f>
        <v>#REF!</v>
      </c>
      <c r="E1219" s="9" t="e">
        <f>VLOOKUP($B1219,#REF!,17,FALSE)</f>
        <v>#REF!</v>
      </c>
      <c r="F1219" s="10" t="e">
        <f>VLOOKUP($B1219,#REF!,7,FALSE)</f>
        <v>#REF!</v>
      </c>
      <c r="G1219" s="10"/>
      <c r="H1219" s="10"/>
      <c r="I1219" s="11" t="e">
        <f>VLOOKUP($B1219,#REF!,19,FALSE)</f>
        <v>#REF!</v>
      </c>
      <c r="J1219" s="11" t="e">
        <f>VLOOKUP($B1219,#REF!,6,FALSE)</f>
        <v>#REF!</v>
      </c>
      <c r="L1219" s="3">
        <v>44656.211805551633</v>
      </c>
      <c r="M1219" s="15"/>
    </row>
    <row r="1220" spans="2:13">
      <c r="B1220" s="7"/>
      <c r="C1220" s="8" t="e">
        <f>VLOOKUP($B1220,#REF!,5,FALSE)</f>
        <v>#REF!</v>
      </c>
      <c r="D1220" s="8" t="e">
        <f>VLOOKUP($B1220,#REF!,6,FALSE)</f>
        <v>#REF!</v>
      </c>
      <c r="E1220" s="9" t="e">
        <f>VLOOKUP($B1220,#REF!,17,FALSE)</f>
        <v>#REF!</v>
      </c>
      <c r="F1220" s="10" t="e">
        <f>VLOOKUP($B1220,#REF!,7,FALSE)</f>
        <v>#REF!</v>
      </c>
      <c r="G1220" s="10"/>
      <c r="H1220" s="10"/>
      <c r="I1220" s="11" t="e">
        <f>VLOOKUP($B1220,#REF!,19,FALSE)</f>
        <v>#REF!</v>
      </c>
      <c r="J1220" s="11" t="e">
        <f>VLOOKUP($B1220,#REF!,6,FALSE)</f>
        <v>#REF!</v>
      </c>
      <c r="L1220" s="3">
        <v>44656.215277773852</v>
      </c>
      <c r="M1220" s="15"/>
    </row>
    <row r="1221" spans="2:13">
      <c r="B1221" s="7"/>
      <c r="C1221" s="8" t="e">
        <f>VLOOKUP($B1221,#REF!,5,FALSE)</f>
        <v>#REF!</v>
      </c>
      <c r="D1221" s="8" t="e">
        <f>VLOOKUP($B1221,#REF!,6,FALSE)</f>
        <v>#REF!</v>
      </c>
      <c r="E1221" s="9" t="e">
        <f>VLOOKUP($B1221,#REF!,17,FALSE)</f>
        <v>#REF!</v>
      </c>
      <c r="F1221" s="10" t="e">
        <f>VLOOKUP($B1221,#REF!,7,FALSE)</f>
        <v>#REF!</v>
      </c>
      <c r="G1221" s="10"/>
      <c r="H1221" s="10"/>
      <c r="I1221" s="11" t="e">
        <f>VLOOKUP($B1221,#REF!,19,FALSE)</f>
        <v>#REF!</v>
      </c>
      <c r="J1221" s="11" t="e">
        <f>VLOOKUP($B1221,#REF!,6,FALSE)</f>
        <v>#REF!</v>
      </c>
      <c r="L1221" s="3">
        <v>44656.218749996071</v>
      </c>
      <c r="M1221" s="15"/>
    </row>
    <row r="1222" spans="2:13">
      <c r="B1222" s="7"/>
      <c r="C1222" s="8" t="e">
        <f>VLOOKUP($B1222,#REF!,5,FALSE)</f>
        <v>#REF!</v>
      </c>
      <c r="D1222" s="8" t="e">
        <f>VLOOKUP($B1222,#REF!,6,FALSE)</f>
        <v>#REF!</v>
      </c>
      <c r="E1222" s="9" t="e">
        <f>VLOOKUP($B1222,#REF!,17,FALSE)</f>
        <v>#REF!</v>
      </c>
      <c r="F1222" s="10" t="e">
        <f>VLOOKUP($B1222,#REF!,7,FALSE)</f>
        <v>#REF!</v>
      </c>
      <c r="G1222" s="10"/>
      <c r="H1222" s="10"/>
      <c r="I1222" s="11" t="e">
        <f>VLOOKUP($B1222,#REF!,19,FALSE)</f>
        <v>#REF!</v>
      </c>
      <c r="J1222" s="11" t="e">
        <f>VLOOKUP($B1222,#REF!,6,FALSE)</f>
        <v>#REF!</v>
      </c>
      <c r="L1222" s="3">
        <v>44656.22222221829</v>
      </c>
      <c r="M1222" s="15"/>
    </row>
    <row r="1223" spans="2:13">
      <c r="B1223" s="7"/>
      <c r="C1223" s="8" t="e">
        <f>VLOOKUP($B1223,#REF!,5,FALSE)</f>
        <v>#REF!</v>
      </c>
      <c r="D1223" s="8" t="e">
        <f>VLOOKUP($B1223,#REF!,6,FALSE)</f>
        <v>#REF!</v>
      </c>
      <c r="E1223" s="9" t="e">
        <f>VLOOKUP($B1223,#REF!,17,FALSE)</f>
        <v>#REF!</v>
      </c>
      <c r="F1223" s="10" t="e">
        <f>VLOOKUP($B1223,#REF!,7,FALSE)</f>
        <v>#REF!</v>
      </c>
      <c r="G1223" s="10"/>
      <c r="H1223" s="10"/>
      <c r="I1223" s="11" t="e">
        <f>VLOOKUP($B1223,#REF!,19,FALSE)</f>
        <v>#REF!</v>
      </c>
      <c r="J1223" s="11" t="e">
        <f>VLOOKUP($B1223,#REF!,6,FALSE)</f>
        <v>#REF!</v>
      </c>
      <c r="L1223" s="3">
        <v>44656.225694440509</v>
      </c>
      <c r="M1223" s="15"/>
    </row>
    <row r="1224" spans="2:13">
      <c r="B1224" s="7"/>
      <c r="C1224" s="8" t="e">
        <f>VLOOKUP($B1224,#REF!,5,FALSE)</f>
        <v>#REF!</v>
      </c>
      <c r="D1224" s="8" t="e">
        <f>VLOOKUP($B1224,#REF!,6,FALSE)</f>
        <v>#REF!</v>
      </c>
      <c r="E1224" s="9" t="e">
        <f>VLOOKUP($B1224,#REF!,17,FALSE)</f>
        <v>#REF!</v>
      </c>
      <c r="F1224" s="10" t="e">
        <f>VLOOKUP($B1224,#REF!,7,FALSE)</f>
        <v>#REF!</v>
      </c>
      <c r="G1224" s="10"/>
      <c r="H1224" s="10"/>
      <c r="I1224" s="11" t="e">
        <f>VLOOKUP($B1224,#REF!,19,FALSE)</f>
        <v>#REF!</v>
      </c>
      <c r="J1224" s="11" t="e">
        <f>VLOOKUP($B1224,#REF!,6,FALSE)</f>
        <v>#REF!</v>
      </c>
      <c r="L1224" s="3">
        <v>44656.229166662728</v>
      </c>
      <c r="M1224" s="15"/>
    </row>
    <row r="1225" spans="2:13">
      <c r="B1225" s="7"/>
      <c r="C1225" s="8" t="e">
        <f>VLOOKUP($B1225,#REF!,5,FALSE)</f>
        <v>#REF!</v>
      </c>
      <c r="D1225" s="8" t="e">
        <f>VLOOKUP($B1225,#REF!,6,FALSE)</f>
        <v>#REF!</v>
      </c>
      <c r="E1225" s="9" t="e">
        <f>VLOOKUP($B1225,#REF!,17,FALSE)</f>
        <v>#REF!</v>
      </c>
      <c r="F1225" s="10" t="e">
        <f>VLOOKUP($B1225,#REF!,7,FALSE)</f>
        <v>#REF!</v>
      </c>
      <c r="G1225" s="10"/>
      <c r="H1225" s="10"/>
      <c r="I1225" s="11" t="e">
        <f>VLOOKUP($B1225,#REF!,19,FALSE)</f>
        <v>#REF!</v>
      </c>
      <c r="J1225" s="11" t="e">
        <f>VLOOKUP($B1225,#REF!,6,FALSE)</f>
        <v>#REF!</v>
      </c>
      <c r="L1225" s="3">
        <v>44656.232638884947</v>
      </c>
      <c r="M1225" s="15"/>
    </row>
    <row r="1226" spans="2:13">
      <c r="B1226" s="7"/>
      <c r="C1226" s="8" t="e">
        <f>VLOOKUP($B1226,#REF!,5,FALSE)</f>
        <v>#REF!</v>
      </c>
      <c r="D1226" s="8" t="e">
        <f>VLOOKUP($B1226,#REF!,6,FALSE)</f>
        <v>#REF!</v>
      </c>
      <c r="E1226" s="9" t="e">
        <f>VLOOKUP($B1226,#REF!,17,FALSE)</f>
        <v>#REF!</v>
      </c>
      <c r="F1226" s="10" t="e">
        <f>VLOOKUP($B1226,#REF!,7,FALSE)</f>
        <v>#REF!</v>
      </c>
      <c r="G1226" s="10"/>
      <c r="H1226" s="10"/>
      <c r="I1226" s="11" t="e">
        <f>VLOOKUP($B1226,#REF!,19,FALSE)</f>
        <v>#REF!</v>
      </c>
      <c r="J1226" s="11" t="e">
        <f>VLOOKUP($B1226,#REF!,6,FALSE)</f>
        <v>#REF!</v>
      </c>
      <c r="L1226" s="3">
        <v>44656.236111107166</v>
      </c>
      <c r="M1226" s="15"/>
    </row>
    <row r="1227" spans="2:13">
      <c r="B1227" s="7"/>
      <c r="C1227" s="8" t="e">
        <f>VLOOKUP($B1227,#REF!,5,FALSE)</f>
        <v>#REF!</v>
      </c>
      <c r="D1227" s="8" t="e">
        <f>VLOOKUP($B1227,#REF!,6,FALSE)</f>
        <v>#REF!</v>
      </c>
      <c r="E1227" s="9" t="e">
        <f>VLOOKUP($B1227,#REF!,17,FALSE)</f>
        <v>#REF!</v>
      </c>
      <c r="F1227" s="10" t="e">
        <f>VLOOKUP($B1227,#REF!,7,FALSE)</f>
        <v>#REF!</v>
      </c>
      <c r="G1227" s="10"/>
      <c r="H1227" s="10"/>
      <c r="I1227" s="11" t="e">
        <f>VLOOKUP($B1227,#REF!,19,FALSE)</f>
        <v>#REF!</v>
      </c>
      <c r="J1227" s="11" t="e">
        <f>VLOOKUP($B1227,#REF!,6,FALSE)</f>
        <v>#REF!</v>
      </c>
      <c r="L1227" s="3">
        <v>44656.239583329385</v>
      </c>
      <c r="M1227" s="15"/>
    </row>
    <row r="1228" spans="2:13">
      <c r="B1228" s="7"/>
      <c r="C1228" s="8" t="e">
        <f>VLOOKUP($B1228,#REF!,5,FALSE)</f>
        <v>#REF!</v>
      </c>
      <c r="D1228" s="8" t="e">
        <f>VLOOKUP($B1228,#REF!,6,FALSE)</f>
        <v>#REF!</v>
      </c>
      <c r="E1228" s="9" t="e">
        <f>VLOOKUP($B1228,#REF!,17,FALSE)</f>
        <v>#REF!</v>
      </c>
      <c r="F1228" s="10" t="e">
        <f>VLOOKUP($B1228,#REF!,7,FALSE)</f>
        <v>#REF!</v>
      </c>
      <c r="G1228" s="10"/>
      <c r="H1228" s="10"/>
      <c r="I1228" s="11" t="e">
        <f>VLOOKUP($B1228,#REF!,19,FALSE)</f>
        <v>#REF!</v>
      </c>
      <c r="J1228" s="11" t="e">
        <f>VLOOKUP($B1228,#REF!,6,FALSE)</f>
        <v>#REF!</v>
      </c>
      <c r="L1228" s="3">
        <v>44656.243055551604</v>
      </c>
      <c r="M1228" s="15"/>
    </row>
    <row r="1229" spans="2:13">
      <c r="B1229" s="7"/>
      <c r="C1229" s="8" t="e">
        <f>VLOOKUP($B1229,#REF!,5,FALSE)</f>
        <v>#REF!</v>
      </c>
      <c r="D1229" s="8" t="e">
        <f>VLOOKUP($B1229,#REF!,6,FALSE)</f>
        <v>#REF!</v>
      </c>
      <c r="E1229" s="9" t="e">
        <f>VLOOKUP($B1229,#REF!,17,FALSE)</f>
        <v>#REF!</v>
      </c>
      <c r="F1229" s="10" t="e">
        <f>VLOOKUP($B1229,#REF!,7,FALSE)</f>
        <v>#REF!</v>
      </c>
      <c r="G1229" s="10"/>
      <c r="H1229" s="10"/>
      <c r="I1229" s="11" t="e">
        <f>VLOOKUP($B1229,#REF!,19,FALSE)</f>
        <v>#REF!</v>
      </c>
      <c r="J1229" s="11" t="e">
        <f>VLOOKUP($B1229,#REF!,6,FALSE)</f>
        <v>#REF!</v>
      </c>
      <c r="L1229" s="3">
        <v>44656.246527773823</v>
      </c>
      <c r="M1229" s="15"/>
    </row>
    <row r="1230" spans="2:13">
      <c r="B1230" s="7"/>
      <c r="C1230" s="8" t="e">
        <f>VLOOKUP($B1230,#REF!,5,FALSE)</f>
        <v>#REF!</v>
      </c>
      <c r="D1230" s="8" t="e">
        <f>VLOOKUP($B1230,#REF!,6,FALSE)</f>
        <v>#REF!</v>
      </c>
      <c r="E1230" s="9" t="e">
        <f>VLOOKUP($B1230,#REF!,17,FALSE)</f>
        <v>#REF!</v>
      </c>
      <c r="F1230" s="10" t="e">
        <f>VLOOKUP($B1230,#REF!,7,FALSE)</f>
        <v>#REF!</v>
      </c>
      <c r="G1230" s="10"/>
      <c r="H1230" s="10"/>
      <c r="I1230" s="11" t="e">
        <f>VLOOKUP($B1230,#REF!,19,FALSE)</f>
        <v>#REF!</v>
      </c>
      <c r="J1230" s="11" t="e">
        <f>VLOOKUP($B1230,#REF!,6,FALSE)</f>
        <v>#REF!</v>
      </c>
      <c r="L1230" s="3">
        <v>44656.249999996042</v>
      </c>
      <c r="M1230" s="15"/>
    </row>
    <row r="1231" spans="2:13">
      <c r="B1231" s="7"/>
      <c r="C1231" s="8" t="e">
        <f>VLOOKUP($B1231,#REF!,5,FALSE)</f>
        <v>#REF!</v>
      </c>
      <c r="D1231" s="8" t="e">
        <f>VLOOKUP($B1231,#REF!,6,FALSE)</f>
        <v>#REF!</v>
      </c>
      <c r="E1231" s="9" t="e">
        <f>VLOOKUP($B1231,#REF!,17,FALSE)</f>
        <v>#REF!</v>
      </c>
      <c r="F1231" s="10" t="e">
        <f>VLOOKUP($B1231,#REF!,7,FALSE)</f>
        <v>#REF!</v>
      </c>
      <c r="G1231" s="10"/>
      <c r="H1231" s="10"/>
      <c r="I1231" s="11" t="e">
        <f>VLOOKUP($B1231,#REF!,19,FALSE)</f>
        <v>#REF!</v>
      </c>
      <c r="J1231" s="11" t="e">
        <f>VLOOKUP($B1231,#REF!,6,FALSE)</f>
        <v>#REF!</v>
      </c>
      <c r="L1231" s="3">
        <v>44656.253472218261</v>
      </c>
      <c r="M1231" s="15"/>
    </row>
    <row r="1232" spans="2:13">
      <c r="B1232" s="7"/>
      <c r="C1232" s="8" t="e">
        <f>VLOOKUP($B1232,#REF!,5,FALSE)</f>
        <v>#REF!</v>
      </c>
      <c r="D1232" s="8" t="e">
        <f>VLOOKUP($B1232,#REF!,6,FALSE)</f>
        <v>#REF!</v>
      </c>
      <c r="E1232" s="9" t="e">
        <f>VLOOKUP($B1232,#REF!,17,FALSE)</f>
        <v>#REF!</v>
      </c>
      <c r="F1232" s="10" t="e">
        <f>VLOOKUP($B1232,#REF!,7,FALSE)</f>
        <v>#REF!</v>
      </c>
      <c r="G1232" s="10"/>
      <c r="H1232" s="10"/>
      <c r="I1232" s="11" t="e">
        <f>VLOOKUP($B1232,#REF!,19,FALSE)</f>
        <v>#REF!</v>
      </c>
      <c r="J1232" s="11" t="e">
        <f>VLOOKUP($B1232,#REF!,6,FALSE)</f>
        <v>#REF!</v>
      </c>
      <c r="L1232" s="3">
        <v>44656.25694444048</v>
      </c>
      <c r="M1232" s="15"/>
    </row>
    <row r="1233" spans="2:13">
      <c r="B1233" s="7"/>
      <c r="C1233" s="8" t="e">
        <f>VLOOKUP($B1233,#REF!,5,FALSE)</f>
        <v>#REF!</v>
      </c>
      <c r="D1233" s="8" t="e">
        <f>VLOOKUP($B1233,#REF!,6,FALSE)</f>
        <v>#REF!</v>
      </c>
      <c r="E1233" s="9" t="e">
        <f>VLOOKUP($B1233,#REF!,17,FALSE)</f>
        <v>#REF!</v>
      </c>
      <c r="F1233" s="10" t="e">
        <f>VLOOKUP($B1233,#REF!,7,FALSE)</f>
        <v>#REF!</v>
      </c>
      <c r="G1233" s="10"/>
      <c r="H1233" s="10"/>
      <c r="I1233" s="11" t="e">
        <f>VLOOKUP($B1233,#REF!,19,FALSE)</f>
        <v>#REF!</v>
      </c>
      <c r="J1233" s="11" t="e">
        <f>VLOOKUP($B1233,#REF!,6,FALSE)</f>
        <v>#REF!</v>
      </c>
      <c r="L1233" s="3">
        <v>44656.260416662699</v>
      </c>
      <c r="M1233" s="15"/>
    </row>
    <row r="1234" spans="2:13">
      <c r="B1234" s="7"/>
      <c r="C1234" s="8" t="e">
        <f>VLOOKUP($B1234,#REF!,5,FALSE)</f>
        <v>#REF!</v>
      </c>
      <c r="D1234" s="8" t="e">
        <f>VLOOKUP($B1234,#REF!,6,FALSE)</f>
        <v>#REF!</v>
      </c>
      <c r="E1234" s="9" t="e">
        <f>VLOOKUP($B1234,#REF!,17,FALSE)</f>
        <v>#REF!</v>
      </c>
      <c r="F1234" s="10" t="e">
        <f>VLOOKUP($B1234,#REF!,7,FALSE)</f>
        <v>#REF!</v>
      </c>
      <c r="G1234" s="10"/>
      <c r="H1234" s="10"/>
      <c r="I1234" s="11" t="e">
        <f>VLOOKUP($B1234,#REF!,19,FALSE)</f>
        <v>#REF!</v>
      </c>
      <c r="J1234" s="11" t="e">
        <f>VLOOKUP($B1234,#REF!,6,FALSE)</f>
        <v>#REF!</v>
      </c>
      <c r="L1234" s="3">
        <v>44656.263888884918</v>
      </c>
      <c r="M1234" s="15"/>
    </row>
    <row r="1235" spans="2:13">
      <c r="B1235" s="7"/>
      <c r="C1235" s="8" t="e">
        <f>VLOOKUP($B1235,#REF!,5,FALSE)</f>
        <v>#REF!</v>
      </c>
      <c r="D1235" s="8" t="e">
        <f>VLOOKUP($B1235,#REF!,6,FALSE)</f>
        <v>#REF!</v>
      </c>
      <c r="E1235" s="9" t="e">
        <f>VLOOKUP($B1235,#REF!,17,FALSE)</f>
        <v>#REF!</v>
      </c>
      <c r="F1235" s="10" t="e">
        <f>VLOOKUP($B1235,#REF!,7,FALSE)</f>
        <v>#REF!</v>
      </c>
      <c r="G1235" s="10"/>
      <c r="H1235" s="10"/>
      <c r="I1235" s="11" t="e">
        <f>VLOOKUP($B1235,#REF!,19,FALSE)</f>
        <v>#REF!</v>
      </c>
      <c r="J1235" s="11" t="e">
        <f>VLOOKUP($B1235,#REF!,6,FALSE)</f>
        <v>#REF!</v>
      </c>
      <c r="L1235" s="3">
        <v>44656.267361107137</v>
      </c>
      <c r="M1235" s="15"/>
    </row>
    <row r="1236" spans="2:13">
      <c r="B1236" s="7"/>
      <c r="C1236" s="8" t="e">
        <f>VLOOKUP($B1236,#REF!,5,FALSE)</f>
        <v>#REF!</v>
      </c>
      <c r="D1236" s="8" t="e">
        <f>VLOOKUP($B1236,#REF!,6,FALSE)</f>
        <v>#REF!</v>
      </c>
      <c r="E1236" s="9" t="e">
        <f>VLOOKUP($B1236,#REF!,17,FALSE)</f>
        <v>#REF!</v>
      </c>
      <c r="F1236" s="10" t="e">
        <f>VLOOKUP($B1236,#REF!,7,FALSE)</f>
        <v>#REF!</v>
      </c>
      <c r="G1236" s="10"/>
      <c r="H1236" s="10"/>
      <c r="I1236" s="11" t="e">
        <f>VLOOKUP($B1236,#REF!,19,FALSE)</f>
        <v>#REF!</v>
      </c>
      <c r="J1236" s="11" t="e">
        <f>VLOOKUP($B1236,#REF!,6,FALSE)</f>
        <v>#REF!</v>
      </c>
      <c r="L1236" s="3">
        <v>44656.270833329356</v>
      </c>
      <c r="M1236" s="15"/>
    </row>
    <row r="1237" spans="2:13">
      <c r="B1237" s="7"/>
      <c r="C1237" s="8" t="e">
        <f>VLOOKUP($B1237,#REF!,5,FALSE)</f>
        <v>#REF!</v>
      </c>
      <c r="D1237" s="8" t="e">
        <f>VLOOKUP($B1237,#REF!,6,FALSE)</f>
        <v>#REF!</v>
      </c>
      <c r="E1237" s="9" t="e">
        <f>VLOOKUP($B1237,#REF!,17,FALSE)</f>
        <v>#REF!</v>
      </c>
      <c r="F1237" s="10" t="e">
        <f>VLOOKUP($B1237,#REF!,7,FALSE)</f>
        <v>#REF!</v>
      </c>
      <c r="G1237" s="10"/>
      <c r="H1237" s="10"/>
      <c r="I1237" s="11" t="e">
        <f>VLOOKUP($B1237,#REF!,19,FALSE)</f>
        <v>#REF!</v>
      </c>
      <c r="J1237" s="11" t="e">
        <f>VLOOKUP($B1237,#REF!,6,FALSE)</f>
        <v>#REF!</v>
      </c>
      <c r="L1237" s="3">
        <v>44656.274305551575</v>
      </c>
      <c r="M1237" s="15"/>
    </row>
    <row r="1238" spans="2:13">
      <c r="B1238" s="7"/>
      <c r="C1238" s="8" t="e">
        <f>VLOOKUP($B1238,#REF!,5,FALSE)</f>
        <v>#REF!</v>
      </c>
      <c r="D1238" s="8" t="e">
        <f>VLOOKUP($B1238,#REF!,6,FALSE)</f>
        <v>#REF!</v>
      </c>
      <c r="E1238" s="9" t="e">
        <f>VLOOKUP($B1238,#REF!,17,FALSE)</f>
        <v>#REF!</v>
      </c>
      <c r="F1238" s="10" t="e">
        <f>VLOOKUP($B1238,#REF!,7,FALSE)</f>
        <v>#REF!</v>
      </c>
      <c r="G1238" s="10"/>
      <c r="H1238" s="10"/>
      <c r="I1238" s="11" t="e">
        <f>VLOOKUP($B1238,#REF!,19,FALSE)</f>
        <v>#REF!</v>
      </c>
      <c r="J1238" s="11" t="e">
        <f>VLOOKUP($B1238,#REF!,6,FALSE)</f>
        <v>#REF!</v>
      </c>
      <c r="L1238" s="3">
        <v>44656.277777773794</v>
      </c>
      <c r="M1238" s="15"/>
    </row>
    <row r="1239" spans="2:13">
      <c r="B1239" s="7"/>
      <c r="C1239" s="8" t="e">
        <f>VLOOKUP($B1239,#REF!,5,FALSE)</f>
        <v>#REF!</v>
      </c>
      <c r="D1239" s="8" t="e">
        <f>VLOOKUP($B1239,#REF!,6,FALSE)</f>
        <v>#REF!</v>
      </c>
      <c r="E1239" s="9" t="e">
        <f>VLOOKUP($B1239,#REF!,17,FALSE)</f>
        <v>#REF!</v>
      </c>
      <c r="F1239" s="10" t="e">
        <f>VLOOKUP($B1239,#REF!,7,FALSE)</f>
        <v>#REF!</v>
      </c>
      <c r="G1239" s="10"/>
      <c r="H1239" s="10"/>
      <c r="I1239" s="11" t="e">
        <f>VLOOKUP($B1239,#REF!,19,FALSE)</f>
        <v>#REF!</v>
      </c>
      <c r="J1239" s="11" t="e">
        <f>VLOOKUP($B1239,#REF!,6,FALSE)</f>
        <v>#REF!</v>
      </c>
      <c r="L1239" s="3">
        <v>44656.281249996013</v>
      </c>
      <c r="M1239" s="15"/>
    </row>
    <row r="1240" spans="2:13">
      <c r="B1240" s="7"/>
      <c r="C1240" s="8" t="e">
        <f>VLOOKUP($B1240,#REF!,5,FALSE)</f>
        <v>#REF!</v>
      </c>
      <c r="D1240" s="8" t="e">
        <f>VLOOKUP($B1240,#REF!,6,FALSE)</f>
        <v>#REF!</v>
      </c>
      <c r="E1240" s="9" t="e">
        <f>VLOOKUP($B1240,#REF!,17,FALSE)</f>
        <v>#REF!</v>
      </c>
      <c r="F1240" s="10" t="e">
        <f>VLOOKUP($B1240,#REF!,7,FALSE)</f>
        <v>#REF!</v>
      </c>
      <c r="G1240" s="10"/>
      <c r="H1240" s="10"/>
      <c r="I1240" s="11" t="e">
        <f>VLOOKUP($B1240,#REF!,19,FALSE)</f>
        <v>#REF!</v>
      </c>
      <c r="J1240" s="11" t="e">
        <f>VLOOKUP($B1240,#REF!,6,FALSE)</f>
        <v>#REF!</v>
      </c>
      <c r="L1240" s="3">
        <v>44656.284722218232</v>
      </c>
      <c r="M1240" s="15"/>
    </row>
    <row r="1241" spans="2:13">
      <c r="B1241" s="7"/>
      <c r="C1241" s="8" t="e">
        <f>VLOOKUP($B1241,#REF!,5,FALSE)</f>
        <v>#REF!</v>
      </c>
      <c r="D1241" s="8" t="e">
        <f>VLOOKUP($B1241,#REF!,6,FALSE)</f>
        <v>#REF!</v>
      </c>
      <c r="E1241" s="9" t="e">
        <f>VLOOKUP($B1241,#REF!,17,FALSE)</f>
        <v>#REF!</v>
      </c>
      <c r="F1241" s="10" t="e">
        <f>VLOOKUP($B1241,#REF!,7,FALSE)</f>
        <v>#REF!</v>
      </c>
      <c r="G1241" s="10"/>
      <c r="H1241" s="10"/>
      <c r="I1241" s="11" t="e">
        <f>VLOOKUP($B1241,#REF!,19,FALSE)</f>
        <v>#REF!</v>
      </c>
      <c r="J1241" s="11" t="e">
        <f>VLOOKUP($B1241,#REF!,6,FALSE)</f>
        <v>#REF!</v>
      </c>
      <c r="L1241" s="3">
        <v>44656.288194440451</v>
      </c>
      <c r="M1241" s="15"/>
    </row>
    <row r="1242" spans="2:13">
      <c r="B1242" s="7"/>
      <c r="C1242" s="8" t="e">
        <f>VLOOKUP($B1242,#REF!,5,FALSE)</f>
        <v>#REF!</v>
      </c>
      <c r="D1242" s="8" t="e">
        <f>VLOOKUP($B1242,#REF!,6,FALSE)</f>
        <v>#REF!</v>
      </c>
      <c r="E1242" s="9" t="e">
        <f>VLOOKUP($B1242,#REF!,17,FALSE)</f>
        <v>#REF!</v>
      </c>
      <c r="F1242" s="10" t="e">
        <f>VLOOKUP($B1242,#REF!,7,FALSE)</f>
        <v>#REF!</v>
      </c>
      <c r="G1242" s="10"/>
      <c r="H1242" s="10"/>
      <c r="I1242" s="11" t="e">
        <f>VLOOKUP($B1242,#REF!,19,FALSE)</f>
        <v>#REF!</v>
      </c>
      <c r="J1242" s="11" t="e">
        <f>VLOOKUP($B1242,#REF!,6,FALSE)</f>
        <v>#REF!</v>
      </c>
      <c r="L1242" s="3">
        <v>44656.29166666267</v>
      </c>
      <c r="M1242" s="15"/>
    </row>
    <row r="1243" spans="2:13">
      <c r="B1243" s="7"/>
      <c r="C1243" s="8" t="e">
        <f>VLOOKUP($B1243,#REF!,5,FALSE)</f>
        <v>#REF!</v>
      </c>
      <c r="D1243" s="8" t="e">
        <f>VLOOKUP($B1243,#REF!,6,FALSE)</f>
        <v>#REF!</v>
      </c>
      <c r="E1243" s="9" t="e">
        <f>VLOOKUP($B1243,#REF!,17,FALSE)</f>
        <v>#REF!</v>
      </c>
      <c r="F1243" s="10" t="e">
        <f>VLOOKUP($B1243,#REF!,7,FALSE)</f>
        <v>#REF!</v>
      </c>
      <c r="G1243" s="10"/>
      <c r="H1243" s="10"/>
      <c r="I1243" s="11" t="e">
        <f>VLOOKUP($B1243,#REF!,19,FALSE)</f>
        <v>#REF!</v>
      </c>
      <c r="J1243" s="11" t="e">
        <f>VLOOKUP($B1243,#REF!,6,FALSE)</f>
        <v>#REF!</v>
      </c>
      <c r="L1243" s="3">
        <v>44656.295138884889</v>
      </c>
      <c r="M1243" s="15"/>
    </row>
    <row r="1244" spans="2:13">
      <c r="B1244" s="7"/>
      <c r="C1244" s="8" t="e">
        <f>VLOOKUP($B1244,#REF!,5,FALSE)</f>
        <v>#REF!</v>
      </c>
      <c r="D1244" s="8" t="e">
        <f>VLOOKUP($B1244,#REF!,6,FALSE)</f>
        <v>#REF!</v>
      </c>
      <c r="E1244" s="9" t="e">
        <f>VLOOKUP($B1244,#REF!,17,FALSE)</f>
        <v>#REF!</v>
      </c>
      <c r="F1244" s="10" t="e">
        <f>VLOOKUP($B1244,#REF!,7,FALSE)</f>
        <v>#REF!</v>
      </c>
      <c r="G1244" s="10"/>
      <c r="H1244" s="10"/>
      <c r="I1244" s="11" t="e">
        <f>VLOOKUP($B1244,#REF!,19,FALSE)</f>
        <v>#REF!</v>
      </c>
      <c r="J1244" s="11" t="e">
        <f>VLOOKUP($B1244,#REF!,6,FALSE)</f>
        <v>#REF!</v>
      </c>
      <c r="L1244" s="3">
        <v>44656.298611107108</v>
      </c>
      <c r="M1244" s="15"/>
    </row>
    <row r="1245" spans="2:13">
      <c r="B1245" s="7"/>
      <c r="C1245" s="8" t="e">
        <f>VLOOKUP($B1245,#REF!,5,FALSE)</f>
        <v>#REF!</v>
      </c>
      <c r="D1245" s="8" t="e">
        <f>VLOOKUP($B1245,#REF!,6,FALSE)</f>
        <v>#REF!</v>
      </c>
      <c r="E1245" s="9" t="e">
        <f>VLOOKUP($B1245,#REF!,17,FALSE)</f>
        <v>#REF!</v>
      </c>
      <c r="F1245" s="10" t="e">
        <f>VLOOKUP($B1245,#REF!,7,FALSE)</f>
        <v>#REF!</v>
      </c>
      <c r="G1245" s="10"/>
      <c r="H1245" s="10"/>
      <c r="I1245" s="11" t="e">
        <f>VLOOKUP($B1245,#REF!,19,FALSE)</f>
        <v>#REF!</v>
      </c>
      <c r="J1245" s="11" t="e">
        <f>VLOOKUP($B1245,#REF!,6,FALSE)</f>
        <v>#REF!</v>
      </c>
      <c r="L1245" s="3">
        <v>44656.302083329327</v>
      </c>
      <c r="M1245" s="15"/>
    </row>
    <row r="1246" spans="2:13">
      <c r="B1246" s="7"/>
      <c r="C1246" s="8" t="e">
        <f>VLOOKUP($B1246,#REF!,5,FALSE)</f>
        <v>#REF!</v>
      </c>
      <c r="D1246" s="8" t="e">
        <f>VLOOKUP($B1246,#REF!,6,FALSE)</f>
        <v>#REF!</v>
      </c>
      <c r="E1246" s="9" t="e">
        <f>VLOOKUP($B1246,#REF!,17,FALSE)</f>
        <v>#REF!</v>
      </c>
      <c r="F1246" s="10" t="e">
        <f>VLOOKUP($B1246,#REF!,7,FALSE)</f>
        <v>#REF!</v>
      </c>
      <c r="G1246" s="10"/>
      <c r="H1246" s="10"/>
      <c r="I1246" s="11" t="e">
        <f>VLOOKUP($B1246,#REF!,19,FALSE)</f>
        <v>#REF!</v>
      </c>
      <c r="J1246" s="11" t="e">
        <f>VLOOKUP($B1246,#REF!,6,FALSE)</f>
        <v>#REF!</v>
      </c>
      <c r="L1246" s="3">
        <v>44656.305555551546</v>
      </c>
      <c r="M1246" s="15"/>
    </row>
    <row r="1247" spans="2:13">
      <c r="B1247" s="7"/>
      <c r="C1247" s="8" t="e">
        <f>VLOOKUP($B1247,#REF!,5,FALSE)</f>
        <v>#REF!</v>
      </c>
      <c r="D1247" s="8" t="e">
        <f>VLOOKUP($B1247,#REF!,6,FALSE)</f>
        <v>#REF!</v>
      </c>
      <c r="E1247" s="9" t="e">
        <f>VLOOKUP($B1247,#REF!,17,FALSE)</f>
        <v>#REF!</v>
      </c>
      <c r="F1247" s="10" t="e">
        <f>VLOOKUP($B1247,#REF!,7,FALSE)</f>
        <v>#REF!</v>
      </c>
      <c r="G1247" s="10"/>
      <c r="H1247" s="10"/>
      <c r="I1247" s="11" t="e">
        <f>VLOOKUP($B1247,#REF!,19,FALSE)</f>
        <v>#REF!</v>
      </c>
      <c r="J1247" s="11" t="e">
        <f>VLOOKUP($B1247,#REF!,6,FALSE)</f>
        <v>#REF!</v>
      </c>
      <c r="L1247" s="3">
        <v>44656.309027773765</v>
      </c>
      <c r="M1247" s="15"/>
    </row>
    <row r="1248" spans="2:13">
      <c r="B1248" s="7"/>
      <c r="C1248" s="8" t="e">
        <f>VLOOKUP($B1248,#REF!,5,FALSE)</f>
        <v>#REF!</v>
      </c>
      <c r="D1248" s="8" t="e">
        <f>VLOOKUP($B1248,#REF!,6,FALSE)</f>
        <v>#REF!</v>
      </c>
      <c r="E1248" s="9" t="e">
        <f>VLOOKUP($B1248,#REF!,17,FALSE)</f>
        <v>#REF!</v>
      </c>
      <c r="F1248" s="10" t="e">
        <f>VLOOKUP($B1248,#REF!,7,FALSE)</f>
        <v>#REF!</v>
      </c>
      <c r="G1248" s="10"/>
      <c r="H1248" s="10"/>
      <c r="I1248" s="11" t="e">
        <f>VLOOKUP($B1248,#REF!,19,FALSE)</f>
        <v>#REF!</v>
      </c>
      <c r="J1248" s="11" t="e">
        <f>VLOOKUP($B1248,#REF!,6,FALSE)</f>
        <v>#REF!</v>
      </c>
      <c r="L1248" s="3">
        <v>44656.312499995984</v>
      </c>
      <c r="M1248" s="15"/>
    </row>
    <row r="1249" spans="2:13">
      <c r="B1249" s="7"/>
      <c r="C1249" s="8" t="e">
        <f>VLOOKUP($B1249,#REF!,5,FALSE)</f>
        <v>#REF!</v>
      </c>
      <c r="D1249" s="8" t="e">
        <f>VLOOKUP($B1249,#REF!,6,FALSE)</f>
        <v>#REF!</v>
      </c>
      <c r="E1249" s="9" t="e">
        <f>VLOOKUP($B1249,#REF!,17,FALSE)</f>
        <v>#REF!</v>
      </c>
      <c r="F1249" s="10" t="e">
        <f>VLOOKUP($B1249,#REF!,7,FALSE)</f>
        <v>#REF!</v>
      </c>
      <c r="G1249" s="10"/>
      <c r="H1249" s="10"/>
      <c r="I1249" s="11" t="e">
        <f>VLOOKUP($B1249,#REF!,19,FALSE)</f>
        <v>#REF!</v>
      </c>
      <c r="J1249" s="11" t="e">
        <f>VLOOKUP($B1249,#REF!,6,FALSE)</f>
        <v>#REF!</v>
      </c>
      <c r="L1249" s="3">
        <v>44656.315972218203</v>
      </c>
      <c r="M1249" s="15"/>
    </row>
    <row r="1250" spans="2:13">
      <c r="B1250" s="7"/>
      <c r="C1250" s="8" t="e">
        <f>VLOOKUP($B1250,#REF!,5,FALSE)</f>
        <v>#REF!</v>
      </c>
      <c r="D1250" s="8" t="e">
        <f>VLOOKUP($B1250,#REF!,6,FALSE)</f>
        <v>#REF!</v>
      </c>
      <c r="E1250" s="9" t="e">
        <f>VLOOKUP($B1250,#REF!,17,FALSE)</f>
        <v>#REF!</v>
      </c>
      <c r="F1250" s="10" t="e">
        <f>VLOOKUP($B1250,#REF!,7,FALSE)</f>
        <v>#REF!</v>
      </c>
      <c r="G1250" s="10"/>
      <c r="H1250" s="10"/>
      <c r="I1250" s="11" t="e">
        <f>VLOOKUP($B1250,#REF!,19,FALSE)</f>
        <v>#REF!</v>
      </c>
      <c r="J1250" s="11" t="e">
        <f>VLOOKUP($B1250,#REF!,6,FALSE)</f>
        <v>#REF!</v>
      </c>
      <c r="L1250" s="3">
        <v>44656.319444440422</v>
      </c>
      <c r="M1250" s="15"/>
    </row>
    <row r="1251" spans="2:13">
      <c r="B1251" s="7"/>
      <c r="C1251" s="8" t="e">
        <f>VLOOKUP($B1251,#REF!,5,FALSE)</f>
        <v>#REF!</v>
      </c>
      <c r="D1251" s="8" t="e">
        <f>VLOOKUP($B1251,#REF!,6,FALSE)</f>
        <v>#REF!</v>
      </c>
      <c r="E1251" s="9" t="e">
        <f>VLOOKUP($B1251,#REF!,17,FALSE)</f>
        <v>#REF!</v>
      </c>
      <c r="F1251" s="10" t="e">
        <f>VLOOKUP($B1251,#REF!,7,FALSE)</f>
        <v>#REF!</v>
      </c>
      <c r="G1251" s="10"/>
      <c r="H1251" s="10"/>
      <c r="I1251" s="11" t="e">
        <f>VLOOKUP($B1251,#REF!,19,FALSE)</f>
        <v>#REF!</v>
      </c>
      <c r="J1251" s="11" t="e">
        <f>VLOOKUP($B1251,#REF!,6,FALSE)</f>
        <v>#REF!</v>
      </c>
      <c r="L1251" s="3">
        <v>44656.322916662641</v>
      </c>
      <c r="M1251" s="15"/>
    </row>
    <row r="1252" spans="2:13">
      <c r="B1252" s="7"/>
      <c r="C1252" s="8" t="e">
        <f>VLOOKUP($B1252,#REF!,5,FALSE)</f>
        <v>#REF!</v>
      </c>
      <c r="D1252" s="8" t="e">
        <f>VLOOKUP($B1252,#REF!,6,FALSE)</f>
        <v>#REF!</v>
      </c>
      <c r="E1252" s="9" t="e">
        <f>VLOOKUP($B1252,#REF!,17,FALSE)</f>
        <v>#REF!</v>
      </c>
      <c r="F1252" s="10" t="e">
        <f>VLOOKUP($B1252,#REF!,7,FALSE)</f>
        <v>#REF!</v>
      </c>
      <c r="G1252" s="10"/>
      <c r="H1252" s="10"/>
      <c r="I1252" s="11" t="e">
        <f>VLOOKUP($B1252,#REF!,19,FALSE)</f>
        <v>#REF!</v>
      </c>
      <c r="J1252" s="11" t="e">
        <f>VLOOKUP($B1252,#REF!,6,FALSE)</f>
        <v>#REF!</v>
      </c>
      <c r="L1252" s="3">
        <v>44656.32638888486</v>
      </c>
      <c r="M1252" s="15"/>
    </row>
    <row r="1253" spans="2:13">
      <c r="B1253" s="7"/>
      <c r="C1253" s="8" t="e">
        <f>VLOOKUP($B1253,#REF!,5,FALSE)</f>
        <v>#REF!</v>
      </c>
      <c r="D1253" s="8" t="e">
        <f>VLOOKUP($B1253,#REF!,6,FALSE)</f>
        <v>#REF!</v>
      </c>
      <c r="E1253" s="9" t="e">
        <f>VLOOKUP($B1253,#REF!,17,FALSE)</f>
        <v>#REF!</v>
      </c>
      <c r="F1253" s="10" t="e">
        <f>VLOOKUP($B1253,#REF!,7,FALSE)</f>
        <v>#REF!</v>
      </c>
      <c r="G1253" s="10"/>
      <c r="H1253" s="10"/>
      <c r="I1253" s="11" t="e">
        <f>VLOOKUP($B1253,#REF!,19,FALSE)</f>
        <v>#REF!</v>
      </c>
      <c r="J1253" s="11" t="e">
        <f>VLOOKUP($B1253,#REF!,6,FALSE)</f>
        <v>#REF!</v>
      </c>
      <c r="L1253" s="3">
        <v>44656.329861107079</v>
      </c>
      <c r="M1253" s="15"/>
    </row>
    <row r="1254" spans="2:13">
      <c r="B1254" s="7"/>
      <c r="C1254" s="8" t="e">
        <f>VLOOKUP($B1254,#REF!,5,FALSE)</f>
        <v>#REF!</v>
      </c>
      <c r="D1254" s="8" t="e">
        <f>VLOOKUP($B1254,#REF!,6,FALSE)</f>
        <v>#REF!</v>
      </c>
      <c r="E1254" s="9" t="e">
        <f>VLOOKUP($B1254,#REF!,17,FALSE)</f>
        <v>#REF!</v>
      </c>
      <c r="F1254" s="10" t="e">
        <f>VLOOKUP($B1254,#REF!,7,FALSE)</f>
        <v>#REF!</v>
      </c>
      <c r="G1254" s="10"/>
      <c r="H1254" s="10"/>
      <c r="I1254" s="11" t="e">
        <f>VLOOKUP($B1254,#REF!,19,FALSE)</f>
        <v>#REF!</v>
      </c>
      <c r="J1254" s="11" t="e">
        <f>VLOOKUP($B1254,#REF!,6,FALSE)</f>
        <v>#REF!</v>
      </c>
      <c r="L1254" s="3">
        <v>44656.333333329298</v>
      </c>
      <c r="M1254" s="15"/>
    </row>
    <row r="1255" spans="2:13">
      <c r="B1255" s="7"/>
      <c r="C1255" s="8" t="e">
        <f>VLOOKUP($B1255,#REF!,5,FALSE)</f>
        <v>#REF!</v>
      </c>
      <c r="D1255" s="8" t="e">
        <f>VLOOKUP($B1255,#REF!,6,FALSE)</f>
        <v>#REF!</v>
      </c>
      <c r="E1255" s="9" t="e">
        <f>VLOOKUP($B1255,#REF!,17,FALSE)</f>
        <v>#REF!</v>
      </c>
      <c r="F1255" s="10" t="e">
        <f>VLOOKUP($B1255,#REF!,7,FALSE)</f>
        <v>#REF!</v>
      </c>
      <c r="G1255" s="10"/>
      <c r="H1255" s="10"/>
      <c r="I1255" s="11" t="e">
        <f>VLOOKUP($B1255,#REF!,19,FALSE)</f>
        <v>#REF!</v>
      </c>
      <c r="J1255" s="11" t="e">
        <f>VLOOKUP($B1255,#REF!,6,FALSE)</f>
        <v>#REF!</v>
      </c>
      <c r="L1255" s="3">
        <v>44656.336805551517</v>
      </c>
      <c r="M1255" s="15"/>
    </row>
    <row r="1256" spans="2:13">
      <c r="B1256" s="7"/>
      <c r="C1256" s="8" t="e">
        <f>VLOOKUP($B1256,#REF!,5,FALSE)</f>
        <v>#REF!</v>
      </c>
      <c r="D1256" s="8" t="e">
        <f>VLOOKUP($B1256,#REF!,6,FALSE)</f>
        <v>#REF!</v>
      </c>
      <c r="E1256" s="9" t="e">
        <f>VLOOKUP($B1256,#REF!,17,FALSE)</f>
        <v>#REF!</v>
      </c>
      <c r="F1256" s="10" t="e">
        <f>VLOOKUP($B1256,#REF!,7,FALSE)</f>
        <v>#REF!</v>
      </c>
      <c r="G1256" s="10"/>
      <c r="H1256" s="10"/>
      <c r="I1256" s="11" t="e">
        <f>VLOOKUP($B1256,#REF!,19,FALSE)</f>
        <v>#REF!</v>
      </c>
      <c r="J1256" s="11" t="e">
        <f>VLOOKUP($B1256,#REF!,6,FALSE)</f>
        <v>#REF!</v>
      </c>
      <c r="L1256" s="3">
        <v>44656.340277773736</v>
      </c>
      <c r="M1256" s="15"/>
    </row>
    <row r="1257" spans="2:13">
      <c r="B1257" s="7"/>
      <c r="C1257" s="8" t="e">
        <f>VLOOKUP($B1257,#REF!,5,FALSE)</f>
        <v>#REF!</v>
      </c>
      <c r="D1257" s="8" t="e">
        <f>VLOOKUP($B1257,#REF!,6,FALSE)</f>
        <v>#REF!</v>
      </c>
      <c r="E1257" s="9" t="e">
        <f>VLOOKUP($B1257,#REF!,17,FALSE)</f>
        <v>#REF!</v>
      </c>
      <c r="F1257" s="10" t="e">
        <f>VLOOKUP($B1257,#REF!,7,FALSE)</f>
        <v>#REF!</v>
      </c>
      <c r="G1257" s="10"/>
      <c r="H1257" s="10"/>
      <c r="I1257" s="11" t="e">
        <f>VLOOKUP($B1257,#REF!,19,FALSE)</f>
        <v>#REF!</v>
      </c>
      <c r="J1257" s="11" t="e">
        <f>VLOOKUP($B1257,#REF!,6,FALSE)</f>
        <v>#REF!</v>
      </c>
      <c r="L1257" s="3">
        <v>44656.343749995955</v>
      </c>
      <c r="M1257" s="15"/>
    </row>
    <row r="1258" spans="2:13">
      <c r="B1258" s="7"/>
      <c r="C1258" s="8" t="e">
        <f>VLOOKUP($B1258,#REF!,5,FALSE)</f>
        <v>#REF!</v>
      </c>
      <c r="D1258" s="8" t="e">
        <f>VLOOKUP($B1258,#REF!,6,FALSE)</f>
        <v>#REF!</v>
      </c>
      <c r="E1258" s="9" t="e">
        <f>VLOOKUP($B1258,#REF!,17,FALSE)</f>
        <v>#REF!</v>
      </c>
      <c r="F1258" s="10" t="e">
        <f>VLOOKUP($B1258,#REF!,7,FALSE)</f>
        <v>#REF!</v>
      </c>
      <c r="G1258" s="10"/>
      <c r="H1258" s="10"/>
      <c r="I1258" s="11" t="e">
        <f>VLOOKUP($B1258,#REF!,19,FALSE)</f>
        <v>#REF!</v>
      </c>
      <c r="J1258" s="11" t="e">
        <f>VLOOKUP($B1258,#REF!,6,FALSE)</f>
        <v>#REF!</v>
      </c>
      <c r="L1258" s="3">
        <v>44656.347222218174</v>
      </c>
      <c r="M1258" s="15"/>
    </row>
    <row r="1259" spans="2:13">
      <c r="B1259" s="7"/>
      <c r="C1259" s="8" t="e">
        <f>VLOOKUP($B1259,#REF!,5,FALSE)</f>
        <v>#REF!</v>
      </c>
      <c r="D1259" s="8" t="e">
        <f>VLOOKUP($B1259,#REF!,6,FALSE)</f>
        <v>#REF!</v>
      </c>
      <c r="E1259" s="9" t="e">
        <f>VLOOKUP($B1259,#REF!,17,FALSE)</f>
        <v>#REF!</v>
      </c>
      <c r="F1259" s="10" t="e">
        <f>VLOOKUP($B1259,#REF!,7,FALSE)</f>
        <v>#REF!</v>
      </c>
      <c r="G1259" s="10"/>
      <c r="H1259" s="10"/>
      <c r="I1259" s="11" t="e">
        <f>VLOOKUP($B1259,#REF!,19,FALSE)</f>
        <v>#REF!</v>
      </c>
      <c r="J1259" s="11" t="e">
        <f>VLOOKUP($B1259,#REF!,6,FALSE)</f>
        <v>#REF!</v>
      </c>
      <c r="L1259" s="3">
        <v>44656.350694440393</v>
      </c>
      <c r="M1259" s="15"/>
    </row>
    <row r="1260" spans="2:13">
      <c r="B1260" s="7"/>
      <c r="C1260" s="8" t="e">
        <f>VLOOKUP($B1260,#REF!,5,FALSE)</f>
        <v>#REF!</v>
      </c>
      <c r="D1260" s="8" t="e">
        <f>VLOOKUP($B1260,#REF!,6,FALSE)</f>
        <v>#REF!</v>
      </c>
      <c r="E1260" s="9" t="e">
        <f>VLOOKUP($B1260,#REF!,17,FALSE)</f>
        <v>#REF!</v>
      </c>
      <c r="F1260" s="10" t="e">
        <f>VLOOKUP($B1260,#REF!,7,FALSE)</f>
        <v>#REF!</v>
      </c>
      <c r="G1260" s="10"/>
      <c r="H1260" s="10"/>
      <c r="I1260" s="11" t="e">
        <f>VLOOKUP($B1260,#REF!,19,FALSE)</f>
        <v>#REF!</v>
      </c>
      <c r="J1260" s="11" t="e">
        <f>VLOOKUP($B1260,#REF!,6,FALSE)</f>
        <v>#REF!</v>
      </c>
      <c r="L1260" s="3">
        <v>44656.354166662612</v>
      </c>
      <c r="M1260" s="15"/>
    </row>
    <row r="1261" spans="2:13">
      <c r="B1261" s="7"/>
      <c r="C1261" s="8" t="e">
        <f>VLOOKUP($B1261,#REF!,5,FALSE)</f>
        <v>#REF!</v>
      </c>
      <c r="D1261" s="8" t="e">
        <f>VLOOKUP($B1261,#REF!,6,FALSE)</f>
        <v>#REF!</v>
      </c>
      <c r="E1261" s="9" t="e">
        <f>VLOOKUP($B1261,#REF!,17,FALSE)</f>
        <v>#REF!</v>
      </c>
      <c r="F1261" s="10" t="e">
        <f>VLOOKUP($B1261,#REF!,7,FALSE)</f>
        <v>#REF!</v>
      </c>
      <c r="G1261" s="10"/>
      <c r="H1261" s="10"/>
      <c r="I1261" s="11" t="e">
        <f>VLOOKUP($B1261,#REF!,19,FALSE)</f>
        <v>#REF!</v>
      </c>
      <c r="J1261" s="11" t="e">
        <f>VLOOKUP($B1261,#REF!,6,FALSE)</f>
        <v>#REF!</v>
      </c>
      <c r="L1261" s="3">
        <v>44656.357638884831</v>
      </c>
      <c r="M1261" s="15"/>
    </row>
    <row r="1262" spans="2:13">
      <c r="B1262" s="7"/>
      <c r="C1262" s="8" t="e">
        <f>VLOOKUP($B1262,#REF!,5,FALSE)</f>
        <v>#REF!</v>
      </c>
      <c r="D1262" s="8" t="e">
        <f>VLOOKUP($B1262,#REF!,6,FALSE)</f>
        <v>#REF!</v>
      </c>
      <c r="E1262" s="9" t="e">
        <f>VLOOKUP($B1262,#REF!,17,FALSE)</f>
        <v>#REF!</v>
      </c>
      <c r="F1262" s="10" t="e">
        <f>VLOOKUP($B1262,#REF!,7,FALSE)</f>
        <v>#REF!</v>
      </c>
      <c r="G1262" s="10"/>
      <c r="H1262" s="10"/>
      <c r="I1262" s="11" t="e">
        <f>VLOOKUP($B1262,#REF!,19,FALSE)</f>
        <v>#REF!</v>
      </c>
      <c r="J1262" s="11" t="e">
        <f>VLOOKUP($B1262,#REF!,6,FALSE)</f>
        <v>#REF!</v>
      </c>
      <c r="L1262" s="3">
        <v>44656.36111110705</v>
      </c>
      <c r="M1262" s="15"/>
    </row>
    <row r="1263" spans="2:13">
      <c r="B1263" s="7"/>
      <c r="C1263" s="8" t="e">
        <f>VLOOKUP($B1263,#REF!,5,FALSE)</f>
        <v>#REF!</v>
      </c>
      <c r="D1263" s="8" t="e">
        <f>VLOOKUP($B1263,#REF!,6,FALSE)</f>
        <v>#REF!</v>
      </c>
      <c r="E1263" s="9" t="e">
        <f>VLOOKUP($B1263,#REF!,17,FALSE)</f>
        <v>#REF!</v>
      </c>
      <c r="F1263" s="10" t="e">
        <f>VLOOKUP($B1263,#REF!,7,FALSE)</f>
        <v>#REF!</v>
      </c>
      <c r="G1263" s="10"/>
      <c r="H1263" s="10"/>
      <c r="I1263" s="11" t="e">
        <f>VLOOKUP($B1263,#REF!,19,FALSE)</f>
        <v>#REF!</v>
      </c>
      <c r="J1263" s="11" t="e">
        <f>VLOOKUP($B1263,#REF!,6,FALSE)</f>
        <v>#REF!</v>
      </c>
      <c r="L1263" s="3">
        <v>44656.364583329268</v>
      </c>
      <c r="M1263" s="15"/>
    </row>
    <row r="1264" spans="2:13">
      <c r="B1264" s="7"/>
      <c r="C1264" s="8" t="e">
        <f>VLOOKUP($B1264,#REF!,5,FALSE)</f>
        <v>#REF!</v>
      </c>
      <c r="D1264" s="8" t="e">
        <f>VLOOKUP($B1264,#REF!,6,FALSE)</f>
        <v>#REF!</v>
      </c>
      <c r="E1264" s="9" t="e">
        <f>VLOOKUP($B1264,#REF!,17,FALSE)</f>
        <v>#REF!</v>
      </c>
      <c r="F1264" s="10" t="e">
        <f>VLOOKUP($B1264,#REF!,7,FALSE)</f>
        <v>#REF!</v>
      </c>
      <c r="G1264" s="10"/>
      <c r="H1264" s="10"/>
      <c r="I1264" s="11" t="e">
        <f>VLOOKUP($B1264,#REF!,19,FALSE)</f>
        <v>#REF!</v>
      </c>
      <c r="J1264" s="11" t="e">
        <f>VLOOKUP($B1264,#REF!,6,FALSE)</f>
        <v>#REF!</v>
      </c>
      <c r="L1264" s="3">
        <v>44656.368055551487</v>
      </c>
      <c r="M1264" s="15"/>
    </row>
    <row r="1265" spans="2:13">
      <c r="B1265" s="7"/>
      <c r="C1265" s="8" t="e">
        <f>VLOOKUP($B1265,#REF!,5,FALSE)</f>
        <v>#REF!</v>
      </c>
      <c r="D1265" s="8" t="e">
        <f>VLOOKUP($B1265,#REF!,6,FALSE)</f>
        <v>#REF!</v>
      </c>
      <c r="E1265" s="9" t="e">
        <f>VLOOKUP($B1265,#REF!,17,FALSE)</f>
        <v>#REF!</v>
      </c>
      <c r="F1265" s="10" t="e">
        <f>VLOOKUP($B1265,#REF!,7,FALSE)</f>
        <v>#REF!</v>
      </c>
      <c r="G1265" s="10"/>
      <c r="H1265" s="10"/>
      <c r="I1265" s="11" t="e">
        <f>VLOOKUP($B1265,#REF!,19,FALSE)</f>
        <v>#REF!</v>
      </c>
      <c r="J1265" s="11" t="e">
        <f>VLOOKUP($B1265,#REF!,6,FALSE)</f>
        <v>#REF!</v>
      </c>
      <c r="L1265" s="3">
        <v>44656.371527773706</v>
      </c>
      <c r="M1265" s="15"/>
    </row>
    <row r="1266" spans="2:13">
      <c r="B1266" s="7"/>
      <c r="C1266" s="8" t="e">
        <f>VLOOKUP($B1266,#REF!,5,FALSE)</f>
        <v>#REF!</v>
      </c>
      <c r="D1266" s="8" t="e">
        <f>VLOOKUP($B1266,#REF!,6,FALSE)</f>
        <v>#REF!</v>
      </c>
      <c r="E1266" s="9" t="e">
        <f>VLOOKUP($B1266,#REF!,17,FALSE)</f>
        <v>#REF!</v>
      </c>
      <c r="F1266" s="10" t="e">
        <f>VLOOKUP($B1266,#REF!,7,FALSE)</f>
        <v>#REF!</v>
      </c>
      <c r="G1266" s="10"/>
      <c r="H1266" s="10"/>
      <c r="I1266" s="11" t="e">
        <f>VLOOKUP($B1266,#REF!,19,FALSE)</f>
        <v>#REF!</v>
      </c>
      <c r="J1266" s="11" t="e">
        <f>VLOOKUP($B1266,#REF!,6,FALSE)</f>
        <v>#REF!</v>
      </c>
      <c r="L1266" s="3">
        <v>44656.374999995925</v>
      </c>
      <c r="M1266" s="15"/>
    </row>
    <row r="1267" spans="2:13">
      <c r="B1267" s="7"/>
      <c r="C1267" s="8" t="e">
        <f>VLOOKUP($B1267,#REF!,5,FALSE)</f>
        <v>#REF!</v>
      </c>
      <c r="D1267" s="8" t="e">
        <f>VLOOKUP($B1267,#REF!,6,FALSE)</f>
        <v>#REF!</v>
      </c>
      <c r="E1267" s="9" t="e">
        <f>VLOOKUP($B1267,#REF!,17,FALSE)</f>
        <v>#REF!</v>
      </c>
      <c r="F1267" s="10" t="e">
        <f>VLOOKUP($B1267,#REF!,7,FALSE)</f>
        <v>#REF!</v>
      </c>
      <c r="G1267" s="10"/>
      <c r="H1267" s="10"/>
      <c r="I1267" s="11" t="e">
        <f>VLOOKUP($B1267,#REF!,19,FALSE)</f>
        <v>#REF!</v>
      </c>
      <c r="J1267" s="11" t="e">
        <f>VLOOKUP($B1267,#REF!,6,FALSE)</f>
        <v>#REF!</v>
      </c>
      <c r="L1267" s="3">
        <v>44656.378472218144</v>
      </c>
      <c r="M1267" s="15"/>
    </row>
    <row r="1268" spans="2:13">
      <c r="B1268" s="7"/>
      <c r="C1268" s="8" t="e">
        <f>VLOOKUP($B1268,#REF!,5,FALSE)</f>
        <v>#REF!</v>
      </c>
      <c r="D1268" s="8" t="e">
        <f>VLOOKUP($B1268,#REF!,6,FALSE)</f>
        <v>#REF!</v>
      </c>
      <c r="E1268" s="9" t="e">
        <f>VLOOKUP($B1268,#REF!,17,FALSE)</f>
        <v>#REF!</v>
      </c>
      <c r="F1268" s="10" t="e">
        <f>VLOOKUP($B1268,#REF!,7,FALSE)</f>
        <v>#REF!</v>
      </c>
      <c r="G1268" s="10"/>
      <c r="H1268" s="10"/>
      <c r="I1268" s="11" t="e">
        <f>VLOOKUP($B1268,#REF!,19,FALSE)</f>
        <v>#REF!</v>
      </c>
      <c r="J1268" s="11" t="e">
        <f>VLOOKUP($B1268,#REF!,6,FALSE)</f>
        <v>#REF!</v>
      </c>
      <c r="L1268" s="3">
        <v>44656.381944440363</v>
      </c>
      <c r="M1268" s="15"/>
    </row>
    <row r="1269" spans="2:13">
      <c r="B1269" s="7"/>
      <c r="C1269" s="8" t="e">
        <f>VLOOKUP($B1269,#REF!,5,FALSE)</f>
        <v>#REF!</v>
      </c>
      <c r="D1269" s="8" t="e">
        <f>VLOOKUP($B1269,#REF!,6,FALSE)</f>
        <v>#REF!</v>
      </c>
      <c r="E1269" s="9" t="e">
        <f>VLOOKUP($B1269,#REF!,17,FALSE)</f>
        <v>#REF!</v>
      </c>
      <c r="F1269" s="10" t="e">
        <f>VLOOKUP($B1269,#REF!,7,FALSE)</f>
        <v>#REF!</v>
      </c>
      <c r="G1269" s="10"/>
      <c r="H1269" s="10"/>
      <c r="I1269" s="11" t="e">
        <f>VLOOKUP($B1269,#REF!,19,FALSE)</f>
        <v>#REF!</v>
      </c>
      <c r="J1269" s="11" t="e">
        <f>VLOOKUP($B1269,#REF!,6,FALSE)</f>
        <v>#REF!</v>
      </c>
      <c r="L1269" s="3">
        <v>44656.385416662582</v>
      </c>
      <c r="M1269" s="15"/>
    </row>
    <row r="1270" spans="2:13">
      <c r="B1270" s="7"/>
      <c r="C1270" s="8" t="e">
        <f>VLOOKUP($B1270,#REF!,5,FALSE)</f>
        <v>#REF!</v>
      </c>
      <c r="D1270" s="8" t="e">
        <f>VLOOKUP($B1270,#REF!,6,FALSE)</f>
        <v>#REF!</v>
      </c>
      <c r="E1270" s="9" t="e">
        <f>VLOOKUP($B1270,#REF!,17,FALSE)</f>
        <v>#REF!</v>
      </c>
      <c r="F1270" s="10" t="e">
        <f>VLOOKUP($B1270,#REF!,7,FALSE)</f>
        <v>#REF!</v>
      </c>
      <c r="G1270" s="10"/>
      <c r="H1270" s="10"/>
      <c r="I1270" s="11" t="e">
        <f>VLOOKUP($B1270,#REF!,19,FALSE)</f>
        <v>#REF!</v>
      </c>
      <c r="J1270" s="11" t="e">
        <f>VLOOKUP($B1270,#REF!,6,FALSE)</f>
        <v>#REF!</v>
      </c>
      <c r="L1270" s="3">
        <v>44656.388888884801</v>
      </c>
      <c r="M1270" s="15"/>
    </row>
    <row r="1271" spans="2:13">
      <c r="B1271" s="7"/>
      <c r="C1271" s="8" t="e">
        <f>VLOOKUP($B1271,#REF!,5,FALSE)</f>
        <v>#REF!</v>
      </c>
      <c r="D1271" s="8" t="e">
        <f>VLOOKUP($B1271,#REF!,6,FALSE)</f>
        <v>#REF!</v>
      </c>
      <c r="E1271" s="9" t="e">
        <f>VLOOKUP($B1271,#REF!,17,FALSE)</f>
        <v>#REF!</v>
      </c>
      <c r="F1271" s="10" t="e">
        <f>VLOOKUP($B1271,#REF!,7,FALSE)</f>
        <v>#REF!</v>
      </c>
      <c r="G1271" s="10"/>
      <c r="H1271" s="10"/>
      <c r="I1271" s="11" t="e">
        <f>VLOOKUP($B1271,#REF!,19,FALSE)</f>
        <v>#REF!</v>
      </c>
      <c r="J1271" s="11" t="e">
        <f>VLOOKUP($B1271,#REF!,6,FALSE)</f>
        <v>#REF!</v>
      </c>
      <c r="L1271" s="3">
        <v>44656.39236110702</v>
      </c>
      <c r="M1271" s="15"/>
    </row>
    <row r="1272" spans="2:13">
      <c r="B1272" s="7"/>
      <c r="C1272" s="8" t="e">
        <f>VLOOKUP($B1272,#REF!,5,FALSE)</f>
        <v>#REF!</v>
      </c>
      <c r="D1272" s="8" t="e">
        <f>VLOOKUP($B1272,#REF!,6,FALSE)</f>
        <v>#REF!</v>
      </c>
      <c r="E1272" s="9" t="e">
        <f>VLOOKUP($B1272,#REF!,17,FALSE)</f>
        <v>#REF!</v>
      </c>
      <c r="F1272" s="10" t="e">
        <f>VLOOKUP($B1272,#REF!,7,FALSE)</f>
        <v>#REF!</v>
      </c>
      <c r="G1272" s="10"/>
      <c r="H1272" s="10"/>
      <c r="I1272" s="11" t="e">
        <f>VLOOKUP($B1272,#REF!,19,FALSE)</f>
        <v>#REF!</v>
      </c>
      <c r="J1272" s="11" t="e">
        <f>VLOOKUP($B1272,#REF!,6,FALSE)</f>
        <v>#REF!</v>
      </c>
      <c r="L1272" s="3">
        <v>44656.395833329239</v>
      </c>
      <c r="M1272" s="15"/>
    </row>
    <row r="1273" spans="2:13">
      <c r="B1273" s="7"/>
      <c r="C1273" s="8" t="e">
        <f>VLOOKUP($B1273,#REF!,5,FALSE)</f>
        <v>#REF!</v>
      </c>
      <c r="D1273" s="8" t="e">
        <f>VLOOKUP($B1273,#REF!,6,FALSE)</f>
        <v>#REF!</v>
      </c>
      <c r="E1273" s="9" t="e">
        <f>VLOOKUP($B1273,#REF!,17,FALSE)</f>
        <v>#REF!</v>
      </c>
      <c r="F1273" s="10" t="e">
        <f>VLOOKUP($B1273,#REF!,7,FALSE)</f>
        <v>#REF!</v>
      </c>
      <c r="G1273" s="10"/>
      <c r="H1273" s="10"/>
      <c r="I1273" s="11" t="e">
        <f>VLOOKUP($B1273,#REF!,19,FALSE)</f>
        <v>#REF!</v>
      </c>
      <c r="J1273" s="11" t="e">
        <f>VLOOKUP($B1273,#REF!,6,FALSE)</f>
        <v>#REF!</v>
      </c>
      <c r="L1273" s="3">
        <v>44656.399305551458</v>
      </c>
      <c r="M1273" s="15"/>
    </row>
    <row r="1274" spans="2:13">
      <c r="B1274" s="7"/>
      <c r="C1274" s="8" t="e">
        <f>VLOOKUP($B1274,#REF!,5,FALSE)</f>
        <v>#REF!</v>
      </c>
      <c r="D1274" s="8" t="e">
        <f>VLOOKUP($B1274,#REF!,6,FALSE)</f>
        <v>#REF!</v>
      </c>
      <c r="E1274" s="9" t="e">
        <f>VLOOKUP($B1274,#REF!,17,FALSE)</f>
        <v>#REF!</v>
      </c>
      <c r="F1274" s="10" t="e">
        <f>VLOOKUP($B1274,#REF!,7,FALSE)</f>
        <v>#REF!</v>
      </c>
      <c r="G1274" s="10"/>
      <c r="H1274" s="10"/>
      <c r="I1274" s="11" t="e">
        <f>VLOOKUP($B1274,#REF!,19,FALSE)</f>
        <v>#REF!</v>
      </c>
      <c r="J1274" s="11" t="e">
        <f>VLOOKUP($B1274,#REF!,6,FALSE)</f>
        <v>#REF!</v>
      </c>
      <c r="L1274" s="3">
        <v>44656.402777773677</v>
      </c>
      <c r="M1274" s="15"/>
    </row>
    <row r="1275" spans="2:13">
      <c r="B1275" s="7"/>
      <c r="C1275" s="8" t="e">
        <f>VLOOKUP($B1275,#REF!,5,FALSE)</f>
        <v>#REF!</v>
      </c>
      <c r="D1275" s="8" t="e">
        <f>VLOOKUP($B1275,#REF!,6,FALSE)</f>
        <v>#REF!</v>
      </c>
      <c r="E1275" s="9" t="e">
        <f>VLOOKUP($B1275,#REF!,17,FALSE)</f>
        <v>#REF!</v>
      </c>
      <c r="F1275" s="10" t="e">
        <f>VLOOKUP($B1275,#REF!,7,FALSE)</f>
        <v>#REF!</v>
      </c>
      <c r="G1275" s="10"/>
      <c r="H1275" s="10"/>
      <c r="I1275" s="11" t="e">
        <f>VLOOKUP($B1275,#REF!,19,FALSE)</f>
        <v>#REF!</v>
      </c>
      <c r="J1275" s="11" t="e">
        <f>VLOOKUP($B1275,#REF!,6,FALSE)</f>
        <v>#REF!</v>
      </c>
      <c r="L1275" s="3">
        <v>44656.406249995896</v>
      </c>
      <c r="M1275" s="15"/>
    </row>
    <row r="1276" spans="2:13">
      <c r="B1276" s="7"/>
      <c r="C1276" s="8" t="e">
        <f>VLOOKUP($B1276,#REF!,5,FALSE)</f>
        <v>#REF!</v>
      </c>
      <c r="D1276" s="8" t="e">
        <f>VLOOKUP($B1276,#REF!,6,FALSE)</f>
        <v>#REF!</v>
      </c>
      <c r="E1276" s="9" t="e">
        <f>VLOOKUP($B1276,#REF!,17,FALSE)</f>
        <v>#REF!</v>
      </c>
      <c r="F1276" s="10" t="e">
        <f>VLOOKUP($B1276,#REF!,7,FALSE)</f>
        <v>#REF!</v>
      </c>
      <c r="G1276" s="10"/>
      <c r="H1276" s="10"/>
      <c r="I1276" s="11" t="e">
        <f>VLOOKUP($B1276,#REF!,19,FALSE)</f>
        <v>#REF!</v>
      </c>
      <c r="J1276" s="11" t="e">
        <f>VLOOKUP($B1276,#REF!,6,FALSE)</f>
        <v>#REF!</v>
      </c>
      <c r="L1276" s="3">
        <v>44656.409722218115</v>
      </c>
      <c r="M1276" s="15"/>
    </row>
    <row r="1277" spans="2:13">
      <c r="B1277" s="7"/>
      <c r="C1277" s="8" t="e">
        <f>VLOOKUP($B1277,#REF!,5,FALSE)</f>
        <v>#REF!</v>
      </c>
      <c r="D1277" s="8" t="e">
        <f>VLOOKUP($B1277,#REF!,6,FALSE)</f>
        <v>#REF!</v>
      </c>
      <c r="E1277" s="9" t="e">
        <f>VLOOKUP($B1277,#REF!,17,FALSE)</f>
        <v>#REF!</v>
      </c>
      <c r="F1277" s="10" t="e">
        <f>VLOOKUP($B1277,#REF!,7,FALSE)</f>
        <v>#REF!</v>
      </c>
      <c r="G1277" s="10"/>
      <c r="H1277" s="10"/>
      <c r="I1277" s="11" t="e">
        <f>VLOOKUP($B1277,#REF!,19,FALSE)</f>
        <v>#REF!</v>
      </c>
      <c r="J1277" s="11" t="e">
        <f>VLOOKUP($B1277,#REF!,6,FALSE)</f>
        <v>#REF!</v>
      </c>
      <c r="L1277" s="3">
        <v>44656.413194440334</v>
      </c>
      <c r="M1277" s="15"/>
    </row>
    <row r="1278" spans="2:13">
      <c r="B1278" s="7"/>
      <c r="C1278" s="8" t="e">
        <f>VLOOKUP($B1278,#REF!,5,FALSE)</f>
        <v>#REF!</v>
      </c>
      <c r="D1278" s="8" t="e">
        <f>VLOOKUP($B1278,#REF!,6,FALSE)</f>
        <v>#REF!</v>
      </c>
      <c r="E1278" s="9" t="e">
        <f>VLOOKUP($B1278,#REF!,17,FALSE)</f>
        <v>#REF!</v>
      </c>
      <c r="F1278" s="10" t="e">
        <f>VLOOKUP($B1278,#REF!,7,FALSE)</f>
        <v>#REF!</v>
      </c>
      <c r="G1278" s="10"/>
      <c r="H1278" s="10"/>
      <c r="I1278" s="11" t="e">
        <f>VLOOKUP($B1278,#REF!,19,FALSE)</f>
        <v>#REF!</v>
      </c>
      <c r="J1278" s="11" t="e">
        <f>VLOOKUP($B1278,#REF!,6,FALSE)</f>
        <v>#REF!</v>
      </c>
      <c r="L1278" s="3">
        <v>44656.416666662553</v>
      </c>
      <c r="M1278" s="15"/>
    </row>
    <row r="1279" spans="2:13">
      <c r="B1279" s="7"/>
      <c r="C1279" s="8" t="e">
        <f>VLOOKUP($B1279,#REF!,5,FALSE)</f>
        <v>#REF!</v>
      </c>
      <c r="D1279" s="8" t="e">
        <f>VLOOKUP($B1279,#REF!,6,FALSE)</f>
        <v>#REF!</v>
      </c>
      <c r="E1279" s="9" t="e">
        <f>VLOOKUP($B1279,#REF!,17,FALSE)</f>
        <v>#REF!</v>
      </c>
      <c r="F1279" s="10" t="e">
        <f>VLOOKUP($B1279,#REF!,7,FALSE)</f>
        <v>#REF!</v>
      </c>
      <c r="G1279" s="10"/>
      <c r="H1279" s="10"/>
      <c r="I1279" s="11" t="e">
        <f>VLOOKUP($B1279,#REF!,19,FALSE)</f>
        <v>#REF!</v>
      </c>
      <c r="J1279" s="11" t="e">
        <f>VLOOKUP($B1279,#REF!,6,FALSE)</f>
        <v>#REF!</v>
      </c>
      <c r="L1279" s="3">
        <v>44656.420138884772</v>
      </c>
      <c r="M1279" s="15"/>
    </row>
    <row r="1280" spans="2:13">
      <c r="B1280" s="7"/>
      <c r="C1280" s="8" t="e">
        <f>VLOOKUP($B1280,#REF!,5,FALSE)</f>
        <v>#REF!</v>
      </c>
      <c r="D1280" s="8" t="e">
        <f>VLOOKUP($B1280,#REF!,6,FALSE)</f>
        <v>#REF!</v>
      </c>
      <c r="E1280" s="9" t="e">
        <f>VLOOKUP($B1280,#REF!,17,FALSE)</f>
        <v>#REF!</v>
      </c>
      <c r="F1280" s="10" t="e">
        <f>VLOOKUP($B1280,#REF!,7,FALSE)</f>
        <v>#REF!</v>
      </c>
      <c r="G1280" s="10"/>
      <c r="H1280" s="10"/>
      <c r="I1280" s="11" t="e">
        <f>VLOOKUP($B1280,#REF!,19,FALSE)</f>
        <v>#REF!</v>
      </c>
      <c r="J1280" s="11" t="e">
        <f>VLOOKUP($B1280,#REF!,6,FALSE)</f>
        <v>#REF!</v>
      </c>
      <c r="L1280" s="3">
        <v>44656.423611106991</v>
      </c>
      <c r="M1280" s="15"/>
    </row>
    <row r="1281" spans="2:13">
      <c r="B1281" s="7"/>
      <c r="C1281" s="8" t="e">
        <f>VLOOKUP($B1281,#REF!,5,FALSE)</f>
        <v>#REF!</v>
      </c>
      <c r="D1281" s="8" t="e">
        <f>VLOOKUP($B1281,#REF!,6,FALSE)</f>
        <v>#REF!</v>
      </c>
      <c r="E1281" s="9" t="e">
        <f>VLOOKUP($B1281,#REF!,17,FALSE)</f>
        <v>#REF!</v>
      </c>
      <c r="F1281" s="10" t="e">
        <f>VLOOKUP($B1281,#REF!,7,FALSE)</f>
        <v>#REF!</v>
      </c>
      <c r="G1281" s="10"/>
      <c r="H1281" s="10"/>
      <c r="I1281" s="11" t="e">
        <f>VLOOKUP($B1281,#REF!,19,FALSE)</f>
        <v>#REF!</v>
      </c>
      <c r="J1281" s="11" t="e">
        <f>VLOOKUP($B1281,#REF!,6,FALSE)</f>
        <v>#REF!</v>
      </c>
      <c r="L1281" s="3">
        <v>44656.42708332921</v>
      </c>
      <c r="M1281" s="15"/>
    </row>
    <row r="1282" spans="2:13">
      <c r="B1282" s="7"/>
      <c r="C1282" s="8" t="e">
        <f>VLOOKUP($B1282,#REF!,5,FALSE)</f>
        <v>#REF!</v>
      </c>
      <c r="D1282" s="8" t="e">
        <f>VLOOKUP($B1282,#REF!,6,FALSE)</f>
        <v>#REF!</v>
      </c>
      <c r="E1282" s="9" t="e">
        <f>VLOOKUP($B1282,#REF!,17,FALSE)</f>
        <v>#REF!</v>
      </c>
      <c r="F1282" s="10" t="e">
        <f>VLOOKUP($B1282,#REF!,7,FALSE)</f>
        <v>#REF!</v>
      </c>
      <c r="G1282" s="10"/>
      <c r="H1282" s="10"/>
      <c r="I1282" s="11" t="e">
        <f>VLOOKUP($B1282,#REF!,19,FALSE)</f>
        <v>#REF!</v>
      </c>
      <c r="J1282" s="11" t="e">
        <f>VLOOKUP($B1282,#REF!,6,FALSE)</f>
        <v>#REF!</v>
      </c>
      <c r="L1282" s="3">
        <v>44656.430555551429</v>
      </c>
      <c r="M1282" s="15"/>
    </row>
    <row r="1283" spans="2:13">
      <c r="B1283" s="7"/>
      <c r="C1283" s="8" t="e">
        <f>VLOOKUP($B1283,#REF!,5,FALSE)</f>
        <v>#REF!</v>
      </c>
      <c r="D1283" s="8" t="e">
        <f>VLOOKUP($B1283,#REF!,6,FALSE)</f>
        <v>#REF!</v>
      </c>
      <c r="E1283" s="9" t="e">
        <f>VLOOKUP($B1283,#REF!,17,FALSE)</f>
        <v>#REF!</v>
      </c>
      <c r="F1283" s="10" t="e">
        <f>VLOOKUP($B1283,#REF!,7,FALSE)</f>
        <v>#REF!</v>
      </c>
      <c r="G1283" s="10"/>
      <c r="H1283" s="10"/>
      <c r="I1283" s="11" t="e">
        <f>VLOOKUP($B1283,#REF!,19,FALSE)</f>
        <v>#REF!</v>
      </c>
      <c r="J1283" s="11" t="e">
        <f>VLOOKUP($B1283,#REF!,6,FALSE)</f>
        <v>#REF!</v>
      </c>
      <c r="L1283" s="3">
        <v>44656.434027773648</v>
      </c>
      <c r="M1283" s="15"/>
    </row>
    <row r="1284" spans="2:13">
      <c r="B1284" s="7"/>
      <c r="C1284" s="8" t="e">
        <f>VLOOKUP($B1284,#REF!,5,FALSE)</f>
        <v>#REF!</v>
      </c>
      <c r="D1284" s="8" t="e">
        <f>VLOOKUP($B1284,#REF!,6,FALSE)</f>
        <v>#REF!</v>
      </c>
      <c r="E1284" s="9" t="e">
        <f>VLOOKUP($B1284,#REF!,17,FALSE)</f>
        <v>#REF!</v>
      </c>
      <c r="F1284" s="10" t="e">
        <f>VLOOKUP($B1284,#REF!,7,FALSE)</f>
        <v>#REF!</v>
      </c>
      <c r="G1284" s="10"/>
      <c r="H1284" s="10"/>
      <c r="I1284" s="11" t="e">
        <f>VLOOKUP($B1284,#REF!,19,FALSE)</f>
        <v>#REF!</v>
      </c>
      <c r="J1284" s="11" t="e">
        <f>VLOOKUP($B1284,#REF!,6,FALSE)</f>
        <v>#REF!</v>
      </c>
      <c r="L1284" s="3">
        <v>44656.437499995867</v>
      </c>
      <c r="M1284" s="15"/>
    </row>
    <row r="1285" spans="2:13">
      <c r="B1285" s="7"/>
      <c r="C1285" s="8" t="e">
        <f>VLOOKUP($B1285,#REF!,5,FALSE)</f>
        <v>#REF!</v>
      </c>
      <c r="D1285" s="8" t="e">
        <f>VLOOKUP($B1285,#REF!,6,FALSE)</f>
        <v>#REF!</v>
      </c>
      <c r="E1285" s="9" t="e">
        <f>VLOOKUP($B1285,#REF!,17,FALSE)</f>
        <v>#REF!</v>
      </c>
      <c r="F1285" s="10" t="e">
        <f>VLOOKUP($B1285,#REF!,7,FALSE)</f>
        <v>#REF!</v>
      </c>
      <c r="G1285" s="10"/>
      <c r="H1285" s="10"/>
      <c r="I1285" s="11" t="e">
        <f>VLOOKUP($B1285,#REF!,19,FALSE)</f>
        <v>#REF!</v>
      </c>
      <c r="J1285" s="11" t="e">
        <f>VLOOKUP($B1285,#REF!,6,FALSE)</f>
        <v>#REF!</v>
      </c>
      <c r="L1285" s="3">
        <v>44656.440972218086</v>
      </c>
      <c r="M1285" s="15"/>
    </row>
    <row r="1286" spans="2:13">
      <c r="B1286" s="7"/>
      <c r="C1286" s="8" t="e">
        <f>VLOOKUP($B1286,#REF!,5,FALSE)</f>
        <v>#REF!</v>
      </c>
      <c r="D1286" s="8" t="e">
        <f>VLOOKUP($B1286,#REF!,6,FALSE)</f>
        <v>#REF!</v>
      </c>
      <c r="E1286" s="9" t="e">
        <f>VLOOKUP($B1286,#REF!,17,FALSE)</f>
        <v>#REF!</v>
      </c>
      <c r="F1286" s="10" t="e">
        <f>VLOOKUP($B1286,#REF!,7,FALSE)</f>
        <v>#REF!</v>
      </c>
      <c r="G1286" s="10"/>
      <c r="H1286" s="10"/>
      <c r="I1286" s="11" t="e">
        <f>VLOOKUP($B1286,#REF!,19,FALSE)</f>
        <v>#REF!</v>
      </c>
      <c r="J1286" s="11" t="e">
        <f>VLOOKUP($B1286,#REF!,6,FALSE)</f>
        <v>#REF!</v>
      </c>
      <c r="L1286" s="3">
        <v>44656.444444440305</v>
      </c>
      <c r="M1286" s="15"/>
    </row>
    <row r="1287" spans="2:13">
      <c r="B1287" s="7"/>
      <c r="C1287" s="8" t="e">
        <f>VLOOKUP($B1287,#REF!,5,FALSE)</f>
        <v>#REF!</v>
      </c>
      <c r="D1287" s="8" t="e">
        <f>VLOOKUP($B1287,#REF!,6,FALSE)</f>
        <v>#REF!</v>
      </c>
      <c r="E1287" s="9" t="e">
        <f>VLOOKUP($B1287,#REF!,17,FALSE)</f>
        <v>#REF!</v>
      </c>
      <c r="F1287" s="10" t="e">
        <f>VLOOKUP($B1287,#REF!,7,FALSE)</f>
        <v>#REF!</v>
      </c>
      <c r="G1287" s="10"/>
      <c r="H1287" s="10"/>
      <c r="I1287" s="11" t="e">
        <f>VLOOKUP($B1287,#REF!,19,FALSE)</f>
        <v>#REF!</v>
      </c>
      <c r="J1287" s="11" t="e">
        <f>VLOOKUP($B1287,#REF!,6,FALSE)</f>
        <v>#REF!</v>
      </c>
      <c r="L1287" s="3">
        <v>44656.447916662524</v>
      </c>
      <c r="M1287" s="15"/>
    </row>
    <row r="1288" spans="2:13">
      <c r="B1288" s="7"/>
      <c r="C1288" s="8" t="e">
        <f>VLOOKUP($B1288,#REF!,5,FALSE)</f>
        <v>#REF!</v>
      </c>
      <c r="D1288" s="8" t="e">
        <f>VLOOKUP($B1288,#REF!,6,FALSE)</f>
        <v>#REF!</v>
      </c>
      <c r="E1288" s="9" t="e">
        <f>VLOOKUP($B1288,#REF!,17,FALSE)</f>
        <v>#REF!</v>
      </c>
      <c r="F1288" s="10" t="e">
        <f>VLOOKUP($B1288,#REF!,7,FALSE)</f>
        <v>#REF!</v>
      </c>
      <c r="G1288" s="10"/>
      <c r="H1288" s="10"/>
      <c r="I1288" s="11" t="e">
        <f>VLOOKUP($B1288,#REF!,19,FALSE)</f>
        <v>#REF!</v>
      </c>
      <c r="J1288" s="11" t="e">
        <f>VLOOKUP($B1288,#REF!,6,FALSE)</f>
        <v>#REF!</v>
      </c>
      <c r="L1288" s="3">
        <v>44656.451388884743</v>
      </c>
      <c r="M1288" s="15"/>
    </row>
    <row r="1289" spans="2:13">
      <c r="B1289" s="7"/>
      <c r="C1289" s="8" t="e">
        <f>VLOOKUP($B1289,#REF!,5,FALSE)</f>
        <v>#REF!</v>
      </c>
      <c r="D1289" s="8" t="e">
        <f>VLOOKUP($B1289,#REF!,6,FALSE)</f>
        <v>#REF!</v>
      </c>
      <c r="E1289" s="9" t="e">
        <f>VLOOKUP($B1289,#REF!,17,FALSE)</f>
        <v>#REF!</v>
      </c>
      <c r="F1289" s="10" t="e">
        <f>VLOOKUP($B1289,#REF!,7,FALSE)</f>
        <v>#REF!</v>
      </c>
      <c r="G1289" s="10"/>
      <c r="H1289" s="10"/>
      <c r="I1289" s="11" t="e">
        <f>VLOOKUP($B1289,#REF!,19,FALSE)</f>
        <v>#REF!</v>
      </c>
      <c r="J1289" s="11" t="e">
        <f>VLOOKUP($B1289,#REF!,6,FALSE)</f>
        <v>#REF!</v>
      </c>
      <c r="L1289" s="3">
        <v>44656.454861106962</v>
      </c>
      <c r="M1289" s="15"/>
    </row>
    <row r="1290" spans="2:13">
      <c r="B1290" s="7"/>
      <c r="C1290" s="8" t="e">
        <f>VLOOKUP($B1290,#REF!,5,FALSE)</f>
        <v>#REF!</v>
      </c>
      <c r="D1290" s="8" t="e">
        <f>VLOOKUP($B1290,#REF!,6,FALSE)</f>
        <v>#REF!</v>
      </c>
      <c r="E1290" s="9" t="e">
        <f>VLOOKUP($B1290,#REF!,17,FALSE)</f>
        <v>#REF!</v>
      </c>
      <c r="F1290" s="10" t="e">
        <f>VLOOKUP($B1290,#REF!,7,FALSE)</f>
        <v>#REF!</v>
      </c>
      <c r="G1290" s="10"/>
      <c r="H1290" s="10"/>
      <c r="I1290" s="11" t="e">
        <f>VLOOKUP($B1290,#REF!,19,FALSE)</f>
        <v>#REF!</v>
      </c>
      <c r="J1290" s="11" t="e">
        <f>VLOOKUP($B1290,#REF!,6,FALSE)</f>
        <v>#REF!</v>
      </c>
      <c r="L1290" s="3">
        <v>44656.458333329181</v>
      </c>
      <c r="M1290" s="15"/>
    </row>
    <row r="1291" spans="2:13">
      <c r="B1291" s="7"/>
      <c r="C1291" s="8" t="e">
        <f>VLOOKUP($B1291,#REF!,5,FALSE)</f>
        <v>#REF!</v>
      </c>
      <c r="D1291" s="8" t="e">
        <f>VLOOKUP($B1291,#REF!,6,FALSE)</f>
        <v>#REF!</v>
      </c>
      <c r="E1291" s="9" t="e">
        <f>VLOOKUP($B1291,#REF!,17,FALSE)</f>
        <v>#REF!</v>
      </c>
      <c r="F1291" s="10" t="e">
        <f>VLOOKUP($B1291,#REF!,7,FALSE)</f>
        <v>#REF!</v>
      </c>
      <c r="G1291" s="10"/>
      <c r="H1291" s="10"/>
      <c r="I1291" s="11" t="e">
        <f>VLOOKUP($B1291,#REF!,19,FALSE)</f>
        <v>#REF!</v>
      </c>
      <c r="J1291" s="11" t="e">
        <f>VLOOKUP($B1291,#REF!,6,FALSE)</f>
        <v>#REF!</v>
      </c>
      <c r="L1291" s="3">
        <v>44656.4618055514</v>
      </c>
      <c r="M1291" s="15"/>
    </row>
    <row r="1292" spans="2:13">
      <c r="B1292" s="7"/>
      <c r="C1292" s="8" t="e">
        <f>VLOOKUP($B1292,#REF!,5,FALSE)</f>
        <v>#REF!</v>
      </c>
      <c r="D1292" s="8" t="e">
        <f>VLOOKUP($B1292,#REF!,6,FALSE)</f>
        <v>#REF!</v>
      </c>
      <c r="E1292" s="9" t="e">
        <f>VLOOKUP($B1292,#REF!,17,FALSE)</f>
        <v>#REF!</v>
      </c>
      <c r="F1292" s="10" t="e">
        <f>VLOOKUP($B1292,#REF!,7,FALSE)</f>
        <v>#REF!</v>
      </c>
      <c r="G1292" s="10"/>
      <c r="H1292" s="10"/>
      <c r="I1292" s="11" t="e">
        <f>VLOOKUP($B1292,#REF!,19,FALSE)</f>
        <v>#REF!</v>
      </c>
      <c r="J1292" s="11" t="e">
        <f>VLOOKUP($B1292,#REF!,6,FALSE)</f>
        <v>#REF!</v>
      </c>
      <c r="L1292" s="3">
        <v>44656.465277773619</v>
      </c>
      <c r="M1292" s="15"/>
    </row>
    <row r="1293" spans="2:13">
      <c r="B1293" s="7"/>
      <c r="C1293" s="8" t="e">
        <f>VLOOKUP($B1293,#REF!,5,FALSE)</f>
        <v>#REF!</v>
      </c>
      <c r="D1293" s="8" t="e">
        <f>VLOOKUP($B1293,#REF!,6,FALSE)</f>
        <v>#REF!</v>
      </c>
      <c r="E1293" s="9" t="e">
        <f>VLOOKUP($B1293,#REF!,17,FALSE)</f>
        <v>#REF!</v>
      </c>
      <c r="F1293" s="10" t="e">
        <f>VLOOKUP($B1293,#REF!,7,FALSE)</f>
        <v>#REF!</v>
      </c>
      <c r="G1293" s="10"/>
      <c r="H1293" s="10"/>
      <c r="I1293" s="11" t="e">
        <f>VLOOKUP($B1293,#REF!,19,FALSE)</f>
        <v>#REF!</v>
      </c>
      <c r="J1293" s="11" t="e">
        <f>VLOOKUP($B1293,#REF!,6,FALSE)</f>
        <v>#REF!</v>
      </c>
      <c r="L1293" s="3">
        <v>44656.468749995838</v>
      </c>
      <c r="M1293" s="15"/>
    </row>
    <row r="1294" spans="2:13">
      <c r="B1294" s="7"/>
      <c r="C1294" s="8" t="e">
        <f>VLOOKUP($B1294,#REF!,5,FALSE)</f>
        <v>#REF!</v>
      </c>
      <c r="D1294" s="8" t="e">
        <f>VLOOKUP($B1294,#REF!,6,FALSE)</f>
        <v>#REF!</v>
      </c>
      <c r="E1294" s="9" t="e">
        <f>VLOOKUP($B1294,#REF!,17,FALSE)</f>
        <v>#REF!</v>
      </c>
      <c r="F1294" s="10" t="e">
        <f>VLOOKUP($B1294,#REF!,7,FALSE)</f>
        <v>#REF!</v>
      </c>
      <c r="G1294" s="10"/>
      <c r="H1294" s="10"/>
      <c r="I1294" s="11" t="e">
        <f>VLOOKUP($B1294,#REF!,19,FALSE)</f>
        <v>#REF!</v>
      </c>
      <c r="J1294" s="11" t="e">
        <f>VLOOKUP($B1294,#REF!,6,FALSE)</f>
        <v>#REF!</v>
      </c>
      <c r="L1294" s="3">
        <v>44656.472222218057</v>
      </c>
      <c r="M1294" s="15"/>
    </row>
    <row r="1295" spans="2:13">
      <c r="B1295" s="7"/>
      <c r="C1295" s="8" t="e">
        <f>VLOOKUP($B1295,#REF!,5,FALSE)</f>
        <v>#REF!</v>
      </c>
      <c r="D1295" s="8" t="e">
        <f>VLOOKUP($B1295,#REF!,6,FALSE)</f>
        <v>#REF!</v>
      </c>
      <c r="E1295" s="9" t="e">
        <f>VLOOKUP($B1295,#REF!,17,FALSE)</f>
        <v>#REF!</v>
      </c>
      <c r="F1295" s="10" t="e">
        <f>VLOOKUP($B1295,#REF!,7,FALSE)</f>
        <v>#REF!</v>
      </c>
      <c r="G1295" s="10"/>
      <c r="H1295" s="10"/>
      <c r="I1295" s="11" t="e">
        <f>VLOOKUP($B1295,#REF!,19,FALSE)</f>
        <v>#REF!</v>
      </c>
      <c r="J1295" s="11" t="e">
        <f>VLOOKUP($B1295,#REF!,6,FALSE)</f>
        <v>#REF!</v>
      </c>
      <c r="L1295" s="3">
        <v>44656.475694440276</v>
      </c>
      <c r="M1295" s="15"/>
    </row>
    <row r="1296" spans="2:13">
      <c r="B1296" s="7"/>
      <c r="C1296" s="8" t="e">
        <f>VLOOKUP($B1296,#REF!,5,FALSE)</f>
        <v>#REF!</v>
      </c>
      <c r="D1296" s="8" t="e">
        <f>VLOOKUP($B1296,#REF!,6,FALSE)</f>
        <v>#REF!</v>
      </c>
      <c r="E1296" s="9" t="e">
        <f>VLOOKUP($B1296,#REF!,17,FALSE)</f>
        <v>#REF!</v>
      </c>
      <c r="F1296" s="10" t="e">
        <f>VLOOKUP($B1296,#REF!,7,FALSE)</f>
        <v>#REF!</v>
      </c>
      <c r="G1296" s="10"/>
      <c r="H1296" s="10"/>
      <c r="I1296" s="11" t="e">
        <f>VLOOKUP($B1296,#REF!,19,FALSE)</f>
        <v>#REF!</v>
      </c>
      <c r="J1296" s="11" t="e">
        <f>VLOOKUP($B1296,#REF!,6,FALSE)</f>
        <v>#REF!</v>
      </c>
      <c r="L1296" s="3">
        <v>44656.479166662495</v>
      </c>
      <c r="M1296" s="15"/>
    </row>
    <row r="1297" spans="2:13">
      <c r="B1297" s="7"/>
      <c r="C1297" s="8" t="e">
        <f>VLOOKUP($B1297,#REF!,5,FALSE)</f>
        <v>#REF!</v>
      </c>
      <c r="D1297" s="8" t="e">
        <f>VLOOKUP($B1297,#REF!,6,FALSE)</f>
        <v>#REF!</v>
      </c>
      <c r="E1297" s="9" t="e">
        <f>VLOOKUP($B1297,#REF!,17,FALSE)</f>
        <v>#REF!</v>
      </c>
      <c r="F1297" s="10" t="e">
        <f>VLOOKUP($B1297,#REF!,7,FALSE)</f>
        <v>#REF!</v>
      </c>
      <c r="G1297" s="10"/>
      <c r="H1297" s="10"/>
      <c r="I1297" s="11" t="e">
        <f>VLOOKUP($B1297,#REF!,19,FALSE)</f>
        <v>#REF!</v>
      </c>
      <c r="J1297" s="11" t="e">
        <f>VLOOKUP($B1297,#REF!,6,FALSE)</f>
        <v>#REF!</v>
      </c>
      <c r="L1297" s="3">
        <v>44656.482638884714</v>
      </c>
      <c r="M1297" s="15"/>
    </row>
    <row r="1298" spans="2:13">
      <c r="B1298" s="7"/>
      <c r="C1298" s="8" t="e">
        <f>VLOOKUP($B1298,#REF!,5,FALSE)</f>
        <v>#REF!</v>
      </c>
      <c r="D1298" s="8" t="e">
        <f>VLOOKUP($B1298,#REF!,6,FALSE)</f>
        <v>#REF!</v>
      </c>
      <c r="E1298" s="9" t="e">
        <f>VLOOKUP($B1298,#REF!,17,FALSE)</f>
        <v>#REF!</v>
      </c>
      <c r="F1298" s="10" t="e">
        <f>VLOOKUP($B1298,#REF!,7,FALSE)</f>
        <v>#REF!</v>
      </c>
      <c r="G1298" s="10"/>
      <c r="H1298" s="10"/>
      <c r="I1298" s="11" t="e">
        <f>VLOOKUP($B1298,#REF!,19,FALSE)</f>
        <v>#REF!</v>
      </c>
      <c r="J1298" s="11" t="e">
        <f>VLOOKUP($B1298,#REF!,6,FALSE)</f>
        <v>#REF!</v>
      </c>
      <c r="L1298" s="3">
        <v>44656.486111106933</v>
      </c>
      <c r="M1298" s="15"/>
    </row>
    <row r="1299" spans="2:13">
      <c r="B1299" s="7"/>
      <c r="C1299" s="8" t="e">
        <f>VLOOKUP($B1299,#REF!,5,FALSE)</f>
        <v>#REF!</v>
      </c>
      <c r="D1299" s="8" t="e">
        <f>VLOOKUP($B1299,#REF!,6,FALSE)</f>
        <v>#REF!</v>
      </c>
      <c r="E1299" s="9" t="e">
        <f>VLOOKUP($B1299,#REF!,17,FALSE)</f>
        <v>#REF!</v>
      </c>
      <c r="F1299" s="10" t="e">
        <f>VLOOKUP($B1299,#REF!,7,FALSE)</f>
        <v>#REF!</v>
      </c>
      <c r="G1299" s="10"/>
      <c r="H1299" s="10"/>
      <c r="I1299" s="11" t="e">
        <f>VLOOKUP($B1299,#REF!,19,FALSE)</f>
        <v>#REF!</v>
      </c>
      <c r="J1299" s="11" t="e">
        <f>VLOOKUP($B1299,#REF!,6,FALSE)</f>
        <v>#REF!</v>
      </c>
      <c r="L1299" s="3">
        <v>44656.489583329152</v>
      </c>
      <c r="M1299" s="15"/>
    </row>
    <row r="1300" spans="2:13">
      <c r="B1300" s="7"/>
      <c r="C1300" s="8" t="e">
        <f>VLOOKUP($B1300,#REF!,5,FALSE)</f>
        <v>#REF!</v>
      </c>
      <c r="D1300" s="8" t="e">
        <f>VLOOKUP($B1300,#REF!,6,FALSE)</f>
        <v>#REF!</v>
      </c>
      <c r="E1300" s="9" t="e">
        <f>VLOOKUP($B1300,#REF!,17,FALSE)</f>
        <v>#REF!</v>
      </c>
      <c r="F1300" s="10" t="e">
        <f>VLOOKUP($B1300,#REF!,7,FALSE)</f>
        <v>#REF!</v>
      </c>
      <c r="G1300" s="10"/>
      <c r="H1300" s="10"/>
      <c r="I1300" s="11" t="e">
        <f>VLOOKUP($B1300,#REF!,19,FALSE)</f>
        <v>#REF!</v>
      </c>
      <c r="J1300" s="11" t="e">
        <f>VLOOKUP($B1300,#REF!,6,FALSE)</f>
        <v>#REF!</v>
      </c>
      <c r="L1300" s="3">
        <v>44656.493055551371</v>
      </c>
      <c r="M1300" s="15"/>
    </row>
    <row r="1301" spans="2:13">
      <c r="B1301" s="7"/>
      <c r="C1301" s="8" t="e">
        <f>VLOOKUP($B1301,#REF!,5,FALSE)</f>
        <v>#REF!</v>
      </c>
      <c r="D1301" s="8" t="e">
        <f>VLOOKUP($B1301,#REF!,6,FALSE)</f>
        <v>#REF!</v>
      </c>
      <c r="E1301" s="9" t="e">
        <f>VLOOKUP($B1301,#REF!,17,FALSE)</f>
        <v>#REF!</v>
      </c>
      <c r="F1301" s="10" t="e">
        <f>VLOOKUP($B1301,#REF!,7,FALSE)</f>
        <v>#REF!</v>
      </c>
      <c r="G1301" s="10"/>
      <c r="H1301" s="10"/>
      <c r="I1301" s="11" t="e">
        <f>VLOOKUP($B1301,#REF!,19,FALSE)</f>
        <v>#REF!</v>
      </c>
      <c r="J1301" s="11" t="e">
        <f>VLOOKUP($B1301,#REF!,6,FALSE)</f>
        <v>#REF!</v>
      </c>
      <c r="L1301" s="3">
        <v>44656.49652777359</v>
      </c>
      <c r="M1301" s="15"/>
    </row>
    <row r="1302" spans="2:13">
      <c r="B1302" s="7"/>
      <c r="C1302" s="8" t="e">
        <f>VLOOKUP($B1302,#REF!,5,FALSE)</f>
        <v>#REF!</v>
      </c>
      <c r="D1302" s="8" t="e">
        <f>VLOOKUP($B1302,#REF!,6,FALSE)</f>
        <v>#REF!</v>
      </c>
      <c r="E1302" s="9" t="e">
        <f>VLOOKUP($B1302,#REF!,17,FALSE)</f>
        <v>#REF!</v>
      </c>
      <c r="F1302" s="10" t="e">
        <f>VLOOKUP($B1302,#REF!,7,FALSE)</f>
        <v>#REF!</v>
      </c>
      <c r="G1302" s="10"/>
      <c r="H1302" s="10"/>
      <c r="I1302" s="11" t="e">
        <f>VLOOKUP($B1302,#REF!,19,FALSE)</f>
        <v>#REF!</v>
      </c>
      <c r="J1302" s="11" t="e">
        <f>VLOOKUP($B1302,#REF!,6,FALSE)</f>
        <v>#REF!</v>
      </c>
      <c r="L1302" s="3">
        <v>44656.499999995809</v>
      </c>
      <c r="M1302" s="15"/>
    </row>
    <row r="1303" spans="2:13">
      <c r="B1303" s="7"/>
      <c r="C1303" s="8" t="e">
        <f>VLOOKUP($B1303,#REF!,5,FALSE)</f>
        <v>#REF!</v>
      </c>
      <c r="D1303" s="8" t="e">
        <f>VLOOKUP($B1303,#REF!,6,FALSE)</f>
        <v>#REF!</v>
      </c>
      <c r="E1303" s="9" t="e">
        <f>VLOOKUP($B1303,#REF!,17,FALSE)</f>
        <v>#REF!</v>
      </c>
      <c r="F1303" s="10" t="e">
        <f>VLOOKUP($B1303,#REF!,7,FALSE)</f>
        <v>#REF!</v>
      </c>
      <c r="G1303" s="10"/>
      <c r="H1303" s="10"/>
      <c r="I1303" s="11" t="e">
        <f>VLOOKUP($B1303,#REF!,19,FALSE)</f>
        <v>#REF!</v>
      </c>
      <c r="J1303" s="11" t="e">
        <f>VLOOKUP($B1303,#REF!,6,FALSE)</f>
        <v>#REF!</v>
      </c>
      <c r="L1303" s="3">
        <v>44656.503472218028</v>
      </c>
      <c r="M1303" s="15"/>
    </row>
    <row r="1304" spans="2:13">
      <c r="B1304" s="7"/>
      <c r="C1304" s="8" t="e">
        <f>VLOOKUP($B1304,#REF!,5,FALSE)</f>
        <v>#REF!</v>
      </c>
      <c r="D1304" s="8" t="e">
        <f>VLOOKUP($B1304,#REF!,6,FALSE)</f>
        <v>#REF!</v>
      </c>
      <c r="E1304" s="9" t="e">
        <f>VLOOKUP($B1304,#REF!,17,FALSE)</f>
        <v>#REF!</v>
      </c>
      <c r="F1304" s="10" t="e">
        <f>VLOOKUP($B1304,#REF!,7,FALSE)</f>
        <v>#REF!</v>
      </c>
      <c r="G1304" s="10"/>
      <c r="H1304" s="10"/>
      <c r="I1304" s="11" t="e">
        <f>VLOOKUP($B1304,#REF!,19,FALSE)</f>
        <v>#REF!</v>
      </c>
      <c r="J1304" s="11" t="e">
        <f>VLOOKUP($B1304,#REF!,6,FALSE)</f>
        <v>#REF!</v>
      </c>
      <c r="L1304" s="3">
        <v>44656.506944440247</v>
      </c>
      <c r="M1304" s="15"/>
    </row>
    <row r="1305" spans="2:13">
      <c r="B1305" s="7"/>
      <c r="C1305" s="8" t="e">
        <f>VLOOKUP($B1305,#REF!,5,FALSE)</f>
        <v>#REF!</v>
      </c>
      <c r="D1305" s="8" t="e">
        <f>VLOOKUP($B1305,#REF!,6,FALSE)</f>
        <v>#REF!</v>
      </c>
      <c r="E1305" s="9" t="e">
        <f>VLOOKUP($B1305,#REF!,17,FALSE)</f>
        <v>#REF!</v>
      </c>
      <c r="F1305" s="10" t="e">
        <f>VLOOKUP($B1305,#REF!,7,FALSE)</f>
        <v>#REF!</v>
      </c>
      <c r="G1305" s="10"/>
      <c r="H1305" s="10"/>
      <c r="I1305" s="11" t="e">
        <f>VLOOKUP($B1305,#REF!,19,FALSE)</f>
        <v>#REF!</v>
      </c>
      <c r="J1305" s="11" t="e">
        <f>VLOOKUP($B1305,#REF!,6,FALSE)</f>
        <v>#REF!</v>
      </c>
      <c r="L1305" s="3">
        <v>44656.510416662466</v>
      </c>
      <c r="M1305" s="15"/>
    </row>
    <row r="1306" spans="2:13">
      <c r="B1306" s="7"/>
      <c r="C1306" s="8" t="e">
        <f>VLOOKUP($B1306,#REF!,5,FALSE)</f>
        <v>#REF!</v>
      </c>
      <c r="D1306" s="8" t="e">
        <f>VLOOKUP($B1306,#REF!,6,FALSE)</f>
        <v>#REF!</v>
      </c>
      <c r="E1306" s="9" t="e">
        <f>VLOOKUP($B1306,#REF!,17,FALSE)</f>
        <v>#REF!</v>
      </c>
      <c r="F1306" s="10" t="e">
        <f>VLOOKUP($B1306,#REF!,7,FALSE)</f>
        <v>#REF!</v>
      </c>
      <c r="G1306" s="10"/>
      <c r="H1306" s="10"/>
      <c r="I1306" s="11" t="e">
        <f>VLOOKUP($B1306,#REF!,19,FALSE)</f>
        <v>#REF!</v>
      </c>
      <c r="J1306" s="11" t="e">
        <f>VLOOKUP($B1306,#REF!,6,FALSE)</f>
        <v>#REF!</v>
      </c>
      <c r="L1306" s="3">
        <v>44656.513888884685</v>
      </c>
      <c r="M1306" s="15"/>
    </row>
    <row r="1307" spans="2:13">
      <c r="B1307" s="7"/>
      <c r="C1307" s="8" t="e">
        <f>VLOOKUP($B1307,#REF!,5,FALSE)</f>
        <v>#REF!</v>
      </c>
      <c r="D1307" s="8" t="e">
        <f>VLOOKUP($B1307,#REF!,6,FALSE)</f>
        <v>#REF!</v>
      </c>
      <c r="E1307" s="9" t="e">
        <f>VLOOKUP($B1307,#REF!,17,FALSE)</f>
        <v>#REF!</v>
      </c>
      <c r="F1307" s="10" t="e">
        <f>VLOOKUP($B1307,#REF!,7,FALSE)</f>
        <v>#REF!</v>
      </c>
      <c r="G1307" s="10"/>
      <c r="H1307" s="10"/>
      <c r="I1307" s="11" t="e">
        <f>VLOOKUP($B1307,#REF!,19,FALSE)</f>
        <v>#REF!</v>
      </c>
      <c r="J1307" s="11" t="e">
        <f>VLOOKUP($B1307,#REF!,6,FALSE)</f>
        <v>#REF!</v>
      </c>
      <c r="L1307" s="3">
        <v>44656.517361106904</v>
      </c>
      <c r="M1307" s="15"/>
    </row>
    <row r="1308" spans="2:13">
      <c r="B1308" s="7"/>
      <c r="C1308" s="8" t="e">
        <f>VLOOKUP($B1308,#REF!,5,FALSE)</f>
        <v>#REF!</v>
      </c>
      <c r="D1308" s="8" t="e">
        <f>VLOOKUP($B1308,#REF!,6,FALSE)</f>
        <v>#REF!</v>
      </c>
      <c r="E1308" s="9" t="e">
        <f>VLOOKUP($B1308,#REF!,17,FALSE)</f>
        <v>#REF!</v>
      </c>
      <c r="F1308" s="10" t="e">
        <f>VLOOKUP($B1308,#REF!,7,FALSE)</f>
        <v>#REF!</v>
      </c>
      <c r="G1308" s="10"/>
      <c r="H1308" s="10"/>
      <c r="I1308" s="11" t="e">
        <f>VLOOKUP($B1308,#REF!,19,FALSE)</f>
        <v>#REF!</v>
      </c>
      <c r="J1308" s="11" t="e">
        <f>VLOOKUP($B1308,#REF!,6,FALSE)</f>
        <v>#REF!</v>
      </c>
      <c r="L1308" s="3">
        <v>44656.520833329123</v>
      </c>
      <c r="M1308" s="15"/>
    </row>
    <row r="1309" spans="2:13">
      <c r="B1309" s="7"/>
      <c r="C1309" s="8" t="e">
        <f>VLOOKUP($B1309,#REF!,5,FALSE)</f>
        <v>#REF!</v>
      </c>
      <c r="D1309" s="8" t="e">
        <f>VLOOKUP($B1309,#REF!,6,FALSE)</f>
        <v>#REF!</v>
      </c>
      <c r="E1309" s="9" t="e">
        <f>VLOOKUP($B1309,#REF!,17,FALSE)</f>
        <v>#REF!</v>
      </c>
      <c r="F1309" s="10" t="e">
        <f>VLOOKUP($B1309,#REF!,7,FALSE)</f>
        <v>#REF!</v>
      </c>
      <c r="G1309" s="10"/>
      <c r="H1309" s="10"/>
      <c r="I1309" s="11" t="e">
        <f>VLOOKUP($B1309,#REF!,19,FALSE)</f>
        <v>#REF!</v>
      </c>
      <c r="J1309" s="11" t="e">
        <f>VLOOKUP($B1309,#REF!,6,FALSE)</f>
        <v>#REF!</v>
      </c>
      <c r="L1309" s="3">
        <v>44656.524305551342</v>
      </c>
      <c r="M1309" s="15"/>
    </row>
    <row r="1310" spans="2:13">
      <c r="B1310" s="7"/>
      <c r="C1310" s="8" t="e">
        <f>VLOOKUP($B1310,#REF!,5,FALSE)</f>
        <v>#REF!</v>
      </c>
      <c r="D1310" s="8" t="e">
        <f>VLOOKUP($B1310,#REF!,6,FALSE)</f>
        <v>#REF!</v>
      </c>
      <c r="E1310" s="9" t="e">
        <f>VLOOKUP($B1310,#REF!,17,FALSE)</f>
        <v>#REF!</v>
      </c>
      <c r="F1310" s="10" t="e">
        <f>VLOOKUP($B1310,#REF!,7,FALSE)</f>
        <v>#REF!</v>
      </c>
      <c r="G1310" s="10"/>
      <c r="H1310" s="10"/>
      <c r="I1310" s="11" t="e">
        <f>VLOOKUP($B1310,#REF!,19,FALSE)</f>
        <v>#REF!</v>
      </c>
      <c r="J1310" s="11" t="e">
        <f>VLOOKUP($B1310,#REF!,6,FALSE)</f>
        <v>#REF!</v>
      </c>
      <c r="L1310" s="3">
        <v>44656.527777773561</v>
      </c>
      <c r="M1310" s="15"/>
    </row>
    <row r="1311" spans="2:13">
      <c r="B1311" s="7"/>
      <c r="C1311" s="8" t="e">
        <f>VLOOKUP($B1311,#REF!,5,FALSE)</f>
        <v>#REF!</v>
      </c>
      <c r="D1311" s="8" t="e">
        <f>VLOOKUP($B1311,#REF!,6,FALSE)</f>
        <v>#REF!</v>
      </c>
      <c r="E1311" s="9" t="e">
        <f>VLOOKUP($B1311,#REF!,17,FALSE)</f>
        <v>#REF!</v>
      </c>
      <c r="F1311" s="10" t="e">
        <f>VLOOKUP($B1311,#REF!,7,FALSE)</f>
        <v>#REF!</v>
      </c>
      <c r="G1311" s="10"/>
      <c r="H1311" s="10"/>
      <c r="I1311" s="11" t="e">
        <f>VLOOKUP($B1311,#REF!,19,FALSE)</f>
        <v>#REF!</v>
      </c>
      <c r="J1311" s="11" t="e">
        <f>VLOOKUP($B1311,#REF!,6,FALSE)</f>
        <v>#REF!</v>
      </c>
      <c r="L1311" s="3">
        <v>44656.53124999578</v>
      </c>
      <c r="M1311" s="15"/>
    </row>
    <row r="1312" spans="2:13">
      <c r="B1312" s="7"/>
      <c r="C1312" s="8" t="e">
        <f>VLOOKUP($B1312,#REF!,5,FALSE)</f>
        <v>#REF!</v>
      </c>
      <c r="D1312" s="8" t="e">
        <f>VLOOKUP($B1312,#REF!,6,FALSE)</f>
        <v>#REF!</v>
      </c>
      <c r="E1312" s="9" t="e">
        <f>VLOOKUP($B1312,#REF!,17,FALSE)</f>
        <v>#REF!</v>
      </c>
      <c r="F1312" s="10" t="e">
        <f>VLOOKUP($B1312,#REF!,7,FALSE)</f>
        <v>#REF!</v>
      </c>
      <c r="G1312" s="10"/>
      <c r="H1312" s="10"/>
      <c r="I1312" s="11" t="e">
        <f>VLOOKUP($B1312,#REF!,19,FALSE)</f>
        <v>#REF!</v>
      </c>
      <c r="J1312" s="11" t="e">
        <f>VLOOKUP($B1312,#REF!,6,FALSE)</f>
        <v>#REF!</v>
      </c>
      <c r="L1312" s="3">
        <v>44656.534722217999</v>
      </c>
      <c r="M1312" s="15"/>
    </row>
    <row r="1313" spans="2:13">
      <c r="B1313" s="7"/>
      <c r="C1313" s="8" t="e">
        <f>VLOOKUP($B1313,#REF!,5,FALSE)</f>
        <v>#REF!</v>
      </c>
      <c r="D1313" s="8" t="e">
        <f>VLOOKUP($B1313,#REF!,6,FALSE)</f>
        <v>#REF!</v>
      </c>
      <c r="E1313" s="9" t="e">
        <f>VLOOKUP($B1313,#REF!,17,FALSE)</f>
        <v>#REF!</v>
      </c>
      <c r="F1313" s="10" t="e">
        <f>VLOOKUP($B1313,#REF!,7,FALSE)</f>
        <v>#REF!</v>
      </c>
      <c r="G1313" s="10"/>
      <c r="H1313" s="10"/>
      <c r="I1313" s="11" t="e">
        <f>VLOOKUP($B1313,#REF!,19,FALSE)</f>
        <v>#REF!</v>
      </c>
      <c r="J1313" s="11" t="e">
        <f>VLOOKUP($B1313,#REF!,6,FALSE)</f>
        <v>#REF!</v>
      </c>
      <c r="L1313" s="3">
        <v>44656.538194440218</v>
      </c>
      <c r="M1313" s="15"/>
    </row>
    <row r="1314" spans="2:13">
      <c r="B1314" s="7"/>
      <c r="C1314" s="8" t="e">
        <f>VLOOKUP($B1314,#REF!,5,FALSE)</f>
        <v>#REF!</v>
      </c>
      <c r="D1314" s="8" t="e">
        <f>VLOOKUP($B1314,#REF!,6,FALSE)</f>
        <v>#REF!</v>
      </c>
      <c r="E1314" s="9" t="e">
        <f>VLOOKUP($B1314,#REF!,17,FALSE)</f>
        <v>#REF!</v>
      </c>
      <c r="F1314" s="10" t="e">
        <f>VLOOKUP($B1314,#REF!,7,FALSE)</f>
        <v>#REF!</v>
      </c>
      <c r="G1314" s="10"/>
      <c r="H1314" s="10"/>
      <c r="I1314" s="11" t="e">
        <f>VLOOKUP($B1314,#REF!,19,FALSE)</f>
        <v>#REF!</v>
      </c>
      <c r="J1314" s="11" t="e">
        <f>VLOOKUP($B1314,#REF!,6,FALSE)</f>
        <v>#REF!</v>
      </c>
      <c r="L1314" s="3">
        <v>44656.541666662437</v>
      </c>
      <c r="M1314" s="15"/>
    </row>
    <row r="1315" spans="2:13">
      <c r="B1315" s="7"/>
      <c r="C1315" s="8" t="e">
        <f>VLOOKUP($B1315,#REF!,5,FALSE)</f>
        <v>#REF!</v>
      </c>
      <c r="D1315" s="8" t="e">
        <f>VLOOKUP($B1315,#REF!,6,FALSE)</f>
        <v>#REF!</v>
      </c>
      <c r="E1315" s="9" t="e">
        <f>VLOOKUP($B1315,#REF!,17,FALSE)</f>
        <v>#REF!</v>
      </c>
      <c r="F1315" s="10" t="e">
        <f>VLOOKUP($B1315,#REF!,7,FALSE)</f>
        <v>#REF!</v>
      </c>
      <c r="G1315" s="10"/>
      <c r="H1315" s="10"/>
      <c r="I1315" s="11" t="e">
        <f>VLOOKUP($B1315,#REF!,19,FALSE)</f>
        <v>#REF!</v>
      </c>
      <c r="J1315" s="11" t="e">
        <f>VLOOKUP($B1315,#REF!,6,FALSE)</f>
        <v>#REF!</v>
      </c>
      <c r="L1315" s="3">
        <v>44656.545138884656</v>
      </c>
      <c r="M1315" s="15"/>
    </row>
    <row r="1316" spans="2:13">
      <c r="B1316" s="7"/>
      <c r="C1316" s="8" t="e">
        <f>VLOOKUP($B1316,#REF!,5,FALSE)</f>
        <v>#REF!</v>
      </c>
      <c r="D1316" s="8" t="e">
        <f>VLOOKUP($B1316,#REF!,6,FALSE)</f>
        <v>#REF!</v>
      </c>
      <c r="E1316" s="9" t="e">
        <f>VLOOKUP($B1316,#REF!,17,FALSE)</f>
        <v>#REF!</v>
      </c>
      <c r="F1316" s="10" t="e">
        <f>VLOOKUP($B1316,#REF!,7,FALSE)</f>
        <v>#REF!</v>
      </c>
      <c r="G1316" s="10"/>
      <c r="H1316" s="10"/>
      <c r="I1316" s="11" t="e">
        <f>VLOOKUP($B1316,#REF!,19,FALSE)</f>
        <v>#REF!</v>
      </c>
      <c r="J1316" s="11" t="e">
        <f>VLOOKUP($B1316,#REF!,6,FALSE)</f>
        <v>#REF!</v>
      </c>
      <c r="L1316" s="3">
        <v>44656.548611106875</v>
      </c>
      <c r="M1316" s="15"/>
    </row>
    <row r="1317" spans="2:13">
      <c r="B1317" s="7"/>
      <c r="C1317" s="8" t="e">
        <f>VLOOKUP($B1317,#REF!,5,FALSE)</f>
        <v>#REF!</v>
      </c>
      <c r="D1317" s="8" t="e">
        <f>VLOOKUP($B1317,#REF!,6,FALSE)</f>
        <v>#REF!</v>
      </c>
      <c r="E1317" s="9" t="e">
        <f>VLOOKUP($B1317,#REF!,17,FALSE)</f>
        <v>#REF!</v>
      </c>
      <c r="F1317" s="10" t="e">
        <f>VLOOKUP($B1317,#REF!,7,FALSE)</f>
        <v>#REF!</v>
      </c>
      <c r="G1317" s="10"/>
      <c r="H1317" s="10"/>
      <c r="I1317" s="11" t="e">
        <f>VLOOKUP($B1317,#REF!,19,FALSE)</f>
        <v>#REF!</v>
      </c>
      <c r="J1317" s="11" t="e">
        <f>VLOOKUP($B1317,#REF!,6,FALSE)</f>
        <v>#REF!</v>
      </c>
      <c r="L1317" s="3">
        <v>44656.552083329094</v>
      </c>
      <c r="M1317" s="15"/>
    </row>
    <row r="1318" spans="2:13">
      <c r="B1318" s="7"/>
      <c r="C1318" s="8" t="e">
        <f>VLOOKUP($B1318,#REF!,5,FALSE)</f>
        <v>#REF!</v>
      </c>
      <c r="D1318" s="8" t="e">
        <f>VLOOKUP($B1318,#REF!,6,FALSE)</f>
        <v>#REF!</v>
      </c>
      <c r="E1318" s="9" t="e">
        <f>VLOOKUP($B1318,#REF!,17,FALSE)</f>
        <v>#REF!</v>
      </c>
      <c r="F1318" s="10" t="e">
        <f>VLOOKUP($B1318,#REF!,7,FALSE)</f>
        <v>#REF!</v>
      </c>
      <c r="G1318" s="10"/>
      <c r="H1318" s="10"/>
      <c r="I1318" s="11" t="e">
        <f>VLOOKUP($B1318,#REF!,19,FALSE)</f>
        <v>#REF!</v>
      </c>
      <c r="J1318" s="11" t="e">
        <f>VLOOKUP($B1318,#REF!,6,FALSE)</f>
        <v>#REF!</v>
      </c>
      <c r="L1318" s="3">
        <v>44656.555555551313</v>
      </c>
      <c r="M1318" s="15"/>
    </row>
    <row r="1319" spans="2:13">
      <c r="B1319" s="7"/>
      <c r="C1319" s="8" t="e">
        <f>VLOOKUP($B1319,#REF!,5,FALSE)</f>
        <v>#REF!</v>
      </c>
      <c r="D1319" s="8" t="e">
        <f>VLOOKUP($B1319,#REF!,6,FALSE)</f>
        <v>#REF!</v>
      </c>
      <c r="E1319" s="9" t="e">
        <f>VLOOKUP($B1319,#REF!,17,FALSE)</f>
        <v>#REF!</v>
      </c>
      <c r="F1319" s="10" t="e">
        <f>VLOOKUP($B1319,#REF!,7,FALSE)</f>
        <v>#REF!</v>
      </c>
      <c r="G1319" s="10"/>
      <c r="H1319" s="10"/>
      <c r="I1319" s="11" t="e">
        <f>VLOOKUP($B1319,#REF!,19,FALSE)</f>
        <v>#REF!</v>
      </c>
      <c r="J1319" s="11" t="e">
        <f>VLOOKUP($B1319,#REF!,6,FALSE)</f>
        <v>#REF!</v>
      </c>
      <c r="L1319" s="3">
        <v>44656.559027773532</v>
      </c>
      <c r="M1319" s="15"/>
    </row>
    <row r="1320" spans="2:13">
      <c r="B1320" s="7"/>
      <c r="C1320" s="8" t="e">
        <f>VLOOKUP($B1320,#REF!,5,FALSE)</f>
        <v>#REF!</v>
      </c>
      <c r="D1320" s="8" t="e">
        <f>VLOOKUP($B1320,#REF!,6,FALSE)</f>
        <v>#REF!</v>
      </c>
      <c r="E1320" s="9" t="e">
        <f>VLOOKUP($B1320,#REF!,17,FALSE)</f>
        <v>#REF!</v>
      </c>
      <c r="F1320" s="10" t="e">
        <f>VLOOKUP($B1320,#REF!,7,FALSE)</f>
        <v>#REF!</v>
      </c>
      <c r="G1320" s="10"/>
      <c r="H1320" s="10"/>
      <c r="I1320" s="11" t="e">
        <f>VLOOKUP($B1320,#REF!,19,FALSE)</f>
        <v>#REF!</v>
      </c>
      <c r="J1320" s="11" t="e">
        <f>VLOOKUP($B1320,#REF!,6,FALSE)</f>
        <v>#REF!</v>
      </c>
      <c r="L1320" s="3">
        <v>44656.562499995751</v>
      </c>
      <c r="M1320" s="15"/>
    </row>
    <row r="1321" spans="2:13">
      <c r="B1321" s="7"/>
      <c r="C1321" s="8" t="e">
        <f>VLOOKUP($B1321,#REF!,5,FALSE)</f>
        <v>#REF!</v>
      </c>
      <c r="D1321" s="8" t="e">
        <f>VLOOKUP($B1321,#REF!,6,FALSE)</f>
        <v>#REF!</v>
      </c>
      <c r="E1321" s="9" t="e">
        <f>VLOOKUP($B1321,#REF!,17,FALSE)</f>
        <v>#REF!</v>
      </c>
      <c r="F1321" s="10" t="e">
        <f>VLOOKUP($B1321,#REF!,7,FALSE)</f>
        <v>#REF!</v>
      </c>
      <c r="G1321" s="10"/>
      <c r="H1321" s="10"/>
      <c r="I1321" s="11" t="e">
        <f>VLOOKUP($B1321,#REF!,19,FALSE)</f>
        <v>#REF!</v>
      </c>
      <c r="J1321" s="11" t="e">
        <f>VLOOKUP($B1321,#REF!,6,FALSE)</f>
        <v>#REF!</v>
      </c>
      <c r="L1321" s="3">
        <v>44656.56597221797</v>
      </c>
      <c r="M1321" s="15"/>
    </row>
    <row r="1322" spans="2:13">
      <c r="B1322" s="7"/>
      <c r="C1322" s="8" t="e">
        <f>VLOOKUP($B1322,#REF!,5,FALSE)</f>
        <v>#REF!</v>
      </c>
      <c r="D1322" s="8" t="e">
        <f>VLOOKUP($B1322,#REF!,6,FALSE)</f>
        <v>#REF!</v>
      </c>
      <c r="E1322" s="9" t="e">
        <f>VLOOKUP($B1322,#REF!,17,FALSE)</f>
        <v>#REF!</v>
      </c>
      <c r="F1322" s="10" t="e">
        <f>VLOOKUP($B1322,#REF!,7,FALSE)</f>
        <v>#REF!</v>
      </c>
      <c r="G1322" s="10"/>
      <c r="H1322" s="10"/>
      <c r="I1322" s="11" t="e">
        <f>VLOOKUP($B1322,#REF!,19,FALSE)</f>
        <v>#REF!</v>
      </c>
      <c r="J1322" s="11" t="e">
        <f>VLOOKUP($B1322,#REF!,6,FALSE)</f>
        <v>#REF!</v>
      </c>
      <c r="L1322" s="3">
        <v>44656.569444440189</v>
      </c>
      <c r="M1322" s="15"/>
    </row>
    <row r="1323" spans="2:13">
      <c r="B1323" s="7"/>
      <c r="C1323" s="8" t="e">
        <f>VLOOKUP($B1323,#REF!,5,FALSE)</f>
        <v>#REF!</v>
      </c>
      <c r="D1323" s="8" t="e">
        <f>VLOOKUP($B1323,#REF!,6,FALSE)</f>
        <v>#REF!</v>
      </c>
      <c r="E1323" s="9" t="e">
        <f>VLOOKUP($B1323,#REF!,17,FALSE)</f>
        <v>#REF!</v>
      </c>
      <c r="F1323" s="10" t="e">
        <f>VLOOKUP($B1323,#REF!,7,FALSE)</f>
        <v>#REF!</v>
      </c>
      <c r="G1323" s="10"/>
      <c r="H1323" s="10"/>
      <c r="I1323" s="11" t="e">
        <f>VLOOKUP($B1323,#REF!,19,FALSE)</f>
        <v>#REF!</v>
      </c>
      <c r="J1323" s="11" t="e">
        <f>VLOOKUP($B1323,#REF!,6,FALSE)</f>
        <v>#REF!</v>
      </c>
      <c r="L1323" s="3">
        <v>44656.572916662408</v>
      </c>
      <c r="M1323" s="15"/>
    </row>
    <row r="1324" spans="2:13">
      <c r="B1324" s="7"/>
      <c r="C1324" s="8" t="e">
        <f>VLOOKUP($B1324,#REF!,5,FALSE)</f>
        <v>#REF!</v>
      </c>
      <c r="D1324" s="8" t="e">
        <f>VLOOKUP($B1324,#REF!,6,FALSE)</f>
        <v>#REF!</v>
      </c>
      <c r="E1324" s="9" t="e">
        <f>VLOOKUP($B1324,#REF!,17,FALSE)</f>
        <v>#REF!</v>
      </c>
      <c r="F1324" s="10" t="e">
        <f>VLOOKUP($B1324,#REF!,7,FALSE)</f>
        <v>#REF!</v>
      </c>
      <c r="G1324" s="10"/>
      <c r="H1324" s="10"/>
      <c r="I1324" s="11" t="e">
        <f>VLOOKUP($B1324,#REF!,19,FALSE)</f>
        <v>#REF!</v>
      </c>
      <c r="J1324" s="11" t="e">
        <f>VLOOKUP($B1324,#REF!,6,FALSE)</f>
        <v>#REF!</v>
      </c>
      <c r="L1324" s="3">
        <v>44656.576388884627</v>
      </c>
      <c r="M1324" s="15"/>
    </row>
    <row r="1325" spans="2:13">
      <c r="B1325" s="7"/>
      <c r="C1325" s="8" t="e">
        <f>VLOOKUP($B1325,#REF!,5,FALSE)</f>
        <v>#REF!</v>
      </c>
      <c r="D1325" s="8" t="e">
        <f>VLOOKUP($B1325,#REF!,6,FALSE)</f>
        <v>#REF!</v>
      </c>
      <c r="E1325" s="9" t="e">
        <f>VLOOKUP($B1325,#REF!,17,FALSE)</f>
        <v>#REF!</v>
      </c>
      <c r="F1325" s="10" t="e">
        <f>VLOOKUP($B1325,#REF!,7,FALSE)</f>
        <v>#REF!</v>
      </c>
      <c r="G1325" s="10"/>
      <c r="H1325" s="10"/>
      <c r="I1325" s="11" t="e">
        <f>VLOOKUP($B1325,#REF!,19,FALSE)</f>
        <v>#REF!</v>
      </c>
      <c r="J1325" s="11" t="e">
        <f>VLOOKUP($B1325,#REF!,6,FALSE)</f>
        <v>#REF!</v>
      </c>
      <c r="L1325" s="3">
        <v>44656.579861106846</v>
      </c>
      <c r="M1325" s="15"/>
    </row>
    <row r="1326" spans="2:13">
      <c r="B1326" s="7"/>
      <c r="C1326" s="8" t="e">
        <f>VLOOKUP($B1326,#REF!,5,FALSE)</f>
        <v>#REF!</v>
      </c>
      <c r="D1326" s="8" t="e">
        <f>VLOOKUP($B1326,#REF!,6,FALSE)</f>
        <v>#REF!</v>
      </c>
      <c r="E1326" s="9" t="e">
        <f>VLOOKUP($B1326,#REF!,17,FALSE)</f>
        <v>#REF!</v>
      </c>
      <c r="F1326" s="10" t="e">
        <f>VLOOKUP($B1326,#REF!,7,FALSE)</f>
        <v>#REF!</v>
      </c>
      <c r="G1326" s="10"/>
      <c r="H1326" s="10"/>
      <c r="I1326" s="11" t="e">
        <f>VLOOKUP($B1326,#REF!,19,FALSE)</f>
        <v>#REF!</v>
      </c>
      <c r="J1326" s="11" t="e">
        <f>VLOOKUP($B1326,#REF!,6,FALSE)</f>
        <v>#REF!</v>
      </c>
      <c r="L1326" s="3">
        <v>44656.583333329065</v>
      </c>
      <c r="M1326" s="15"/>
    </row>
    <row r="1327" spans="2:13">
      <c r="B1327" s="7"/>
      <c r="C1327" s="8" t="e">
        <f>VLOOKUP($B1327,#REF!,5,FALSE)</f>
        <v>#REF!</v>
      </c>
      <c r="D1327" s="8" t="e">
        <f>VLOOKUP($B1327,#REF!,6,FALSE)</f>
        <v>#REF!</v>
      </c>
      <c r="E1327" s="9" t="e">
        <f>VLOOKUP($B1327,#REF!,17,FALSE)</f>
        <v>#REF!</v>
      </c>
      <c r="F1327" s="10" t="e">
        <f>VLOOKUP($B1327,#REF!,7,FALSE)</f>
        <v>#REF!</v>
      </c>
      <c r="G1327" s="10"/>
      <c r="H1327" s="10"/>
      <c r="I1327" s="11" t="e">
        <f>VLOOKUP($B1327,#REF!,19,FALSE)</f>
        <v>#REF!</v>
      </c>
      <c r="J1327" s="11" t="e">
        <f>VLOOKUP($B1327,#REF!,6,FALSE)</f>
        <v>#REF!</v>
      </c>
      <c r="L1327" s="3">
        <v>44656.586805551284</v>
      </c>
      <c r="M1327" s="15"/>
    </row>
    <row r="1328" spans="2:13">
      <c r="B1328" s="7"/>
      <c r="C1328" s="8" t="e">
        <f>VLOOKUP($B1328,#REF!,5,FALSE)</f>
        <v>#REF!</v>
      </c>
      <c r="D1328" s="8" t="e">
        <f>VLOOKUP($B1328,#REF!,6,FALSE)</f>
        <v>#REF!</v>
      </c>
      <c r="E1328" s="9" t="e">
        <f>VLOOKUP($B1328,#REF!,17,FALSE)</f>
        <v>#REF!</v>
      </c>
      <c r="F1328" s="10" t="e">
        <f>VLOOKUP($B1328,#REF!,7,FALSE)</f>
        <v>#REF!</v>
      </c>
      <c r="G1328" s="10"/>
      <c r="H1328" s="10"/>
      <c r="I1328" s="11" t="e">
        <f>VLOOKUP($B1328,#REF!,19,FALSE)</f>
        <v>#REF!</v>
      </c>
      <c r="J1328" s="11" t="e">
        <f>VLOOKUP($B1328,#REF!,6,FALSE)</f>
        <v>#REF!</v>
      </c>
      <c r="L1328" s="3">
        <v>44656.590277773503</v>
      </c>
      <c r="M1328" s="15"/>
    </row>
    <row r="1329" spans="2:13">
      <c r="B1329" s="7"/>
      <c r="C1329" s="8" t="e">
        <f>VLOOKUP($B1329,#REF!,5,FALSE)</f>
        <v>#REF!</v>
      </c>
      <c r="D1329" s="8" t="e">
        <f>VLOOKUP($B1329,#REF!,6,FALSE)</f>
        <v>#REF!</v>
      </c>
      <c r="E1329" s="9" t="e">
        <f>VLOOKUP($B1329,#REF!,17,FALSE)</f>
        <v>#REF!</v>
      </c>
      <c r="F1329" s="10" t="e">
        <f>VLOOKUP($B1329,#REF!,7,FALSE)</f>
        <v>#REF!</v>
      </c>
      <c r="G1329" s="10"/>
      <c r="H1329" s="10"/>
      <c r="I1329" s="11" t="e">
        <f>VLOOKUP($B1329,#REF!,19,FALSE)</f>
        <v>#REF!</v>
      </c>
      <c r="J1329" s="11" t="e">
        <f>VLOOKUP($B1329,#REF!,6,FALSE)</f>
        <v>#REF!</v>
      </c>
      <c r="L1329" s="3">
        <v>44656.593749995722</v>
      </c>
      <c r="M1329" s="15"/>
    </row>
    <row r="1330" spans="2:13">
      <c r="B1330" s="7"/>
      <c r="C1330" s="8" t="e">
        <f>VLOOKUP($B1330,#REF!,5,FALSE)</f>
        <v>#REF!</v>
      </c>
      <c r="D1330" s="8" t="e">
        <f>VLOOKUP($B1330,#REF!,6,FALSE)</f>
        <v>#REF!</v>
      </c>
      <c r="E1330" s="9" t="e">
        <f>VLOOKUP($B1330,#REF!,17,FALSE)</f>
        <v>#REF!</v>
      </c>
      <c r="F1330" s="10" t="e">
        <f>VLOOKUP($B1330,#REF!,7,FALSE)</f>
        <v>#REF!</v>
      </c>
      <c r="G1330" s="10"/>
      <c r="H1330" s="10"/>
      <c r="I1330" s="11" t="e">
        <f>VLOOKUP($B1330,#REF!,19,FALSE)</f>
        <v>#REF!</v>
      </c>
      <c r="J1330" s="11" t="e">
        <f>VLOOKUP($B1330,#REF!,6,FALSE)</f>
        <v>#REF!</v>
      </c>
      <c r="L1330" s="3">
        <v>44656.597222217941</v>
      </c>
      <c r="M1330" s="15"/>
    </row>
    <row r="1331" spans="2:13">
      <c r="B1331" s="7"/>
      <c r="C1331" s="8" t="e">
        <f>VLOOKUP($B1331,#REF!,5,FALSE)</f>
        <v>#REF!</v>
      </c>
      <c r="D1331" s="8" t="e">
        <f>VLOOKUP($B1331,#REF!,6,FALSE)</f>
        <v>#REF!</v>
      </c>
      <c r="E1331" s="9" t="e">
        <f>VLOOKUP($B1331,#REF!,17,FALSE)</f>
        <v>#REF!</v>
      </c>
      <c r="F1331" s="10" t="e">
        <f>VLOOKUP($B1331,#REF!,7,FALSE)</f>
        <v>#REF!</v>
      </c>
      <c r="G1331" s="10"/>
      <c r="H1331" s="10"/>
      <c r="I1331" s="11" t="e">
        <f>VLOOKUP($B1331,#REF!,19,FALSE)</f>
        <v>#REF!</v>
      </c>
      <c r="J1331" s="11" t="e">
        <f>VLOOKUP($B1331,#REF!,6,FALSE)</f>
        <v>#REF!</v>
      </c>
      <c r="L1331" s="3">
        <v>44656.60069444016</v>
      </c>
      <c r="M1331" s="15"/>
    </row>
    <row r="1332" spans="2:13">
      <c r="B1332" s="7"/>
      <c r="C1332" s="8" t="e">
        <f>VLOOKUP($B1332,#REF!,5,FALSE)</f>
        <v>#REF!</v>
      </c>
      <c r="D1332" s="8" t="e">
        <f>VLOOKUP($B1332,#REF!,6,FALSE)</f>
        <v>#REF!</v>
      </c>
      <c r="E1332" s="9" t="e">
        <f>VLOOKUP($B1332,#REF!,17,FALSE)</f>
        <v>#REF!</v>
      </c>
      <c r="F1332" s="10" t="e">
        <f>VLOOKUP($B1332,#REF!,7,FALSE)</f>
        <v>#REF!</v>
      </c>
      <c r="G1332" s="10"/>
      <c r="H1332" s="10"/>
      <c r="I1332" s="11" t="e">
        <f>VLOOKUP($B1332,#REF!,19,FALSE)</f>
        <v>#REF!</v>
      </c>
      <c r="J1332" s="11" t="e">
        <f>VLOOKUP($B1332,#REF!,6,FALSE)</f>
        <v>#REF!</v>
      </c>
      <c r="L1332" s="3">
        <v>44656.604166662379</v>
      </c>
      <c r="M1332" s="15"/>
    </row>
    <row r="1333" spans="2:13">
      <c r="B1333" s="7"/>
      <c r="C1333" s="8" t="e">
        <f>VLOOKUP($B1333,#REF!,5,FALSE)</f>
        <v>#REF!</v>
      </c>
      <c r="D1333" s="8" t="e">
        <f>VLOOKUP($B1333,#REF!,6,FALSE)</f>
        <v>#REF!</v>
      </c>
      <c r="E1333" s="9" t="e">
        <f>VLOOKUP($B1333,#REF!,17,FALSE)</f>
        <v>#REF!</v>
      </c>
      <c r="F1333" s="10" t="e">
        <f>VLOOKUP($B1333,#REF!,7,FALSE)</f>
        <v>#REF!</v>
      </c>
      <c r="G1333" s="10"/>
      <c r="H1333" s="10"/>
      <c r="I1333" s="11" t="e">
        <f>VLOOKUP($B1333,#REF!,19,FALSE)</f>
        <v>#REF!</v>
      </c>
      <c r="J1333" s="11" t="e">
        <f>VLOOKUP($B1333,#REF!,6,FALSE)</f>
        <v>#REF!</v>
      </c>
      <c r="L1333" s="3">
        <v>44656.607638884598</v>
      </c>
      <c r="M1333" s="15"/>
    </row>
    <row r="1334" spans="2:13">
      <c r="B1334" s="7"/>
      <c r="C1334" s="8" t="e">
        <f>VLOOKUP($B1334,#REF!,5,FALSE)</f>
        <v>#REF!</v>
      </c>
      <c r="D1334" s="8" t="e">
        <f>VLOOKUP($B1334,#REF!,6,FALSE)</f>
        <v>#REF!</v>
      </c>
      <c r="E1334" s="9" t="e">
        <f>VLOOKUP($B1334,#REF!,17,FALSE)</f>
        <v>#REF!</v>
      </c>
      <c r="F1334" s="10" t="e">
        <f>VLOOKUP($B1334,#REF!,7,FALSE)</f>
        <v>#REF!</v>
      </c>
      <c r="G1334" s="10"/>
      <c r="H1334" s="10"/>
      <c r="I1334" s="11" t="e">
        <f>VLOOKUP($B1334,#REF!,19,FALSE)</f>
        <v>#REF!</v>
      </c>
      <c r="J1334" s="11" t="e">
        <f>VLOOKUP($B1334,#REF!,6,FALSE)</f>
        <v>#REF!</v>
      </c>
      <c r="L1334" s="3">
        <v>44656.611111106817</v>
      </c>
      <c r="M1334" s="15"/>
    </row>
    <row r="1335" spans="2:13">
      <c r="B1335" s="7"/>
      <c r="C1335" s="8" t="e">
        <f>VLOOKUP($B1335,#REF!,5,FALSE)</f>
        <v>#REF!</v>
      </c>
      <c r="D1335" s="8" t="e">
        <f>VLOOKUP($B1335,#REF!,6,FALSE)</f>
        <v>#REF!</v>
      </c>
      <c r="E1335" s="9" t="e">
        <f>VLOOKUP($B1335,#REF!,17,FALSE)</f>
        <v>#REF!</v>
      </c>
      <c r="F1335" s="10" t="e">
        <f>VLOOKUP($B1335,#REF!,7,FALSE)</f>
        <v>#REF!</v>
      </c>
      <c r="G1335" s="10"/>
      <c r="H1335" s="10"/>
      <c r="I1335" s="11" t="e">
        <f>VLOOKUP($B1335,#REF!,19,FALSE)</f>
        <v>#REF!</v>
      </c>
      <c r="J1335" s="11" t="e">
        <f>VLOOKUP($B1335,#REF!,6,FALSE)</f>
        <v>#REF!</v>
      </c>
      <c r="L1335" s="3">
        <v>44656.614583329036</v>
      </c>
      <c r="M1335" s="15"/>
    </row>
    <row r="1336" spans="2:13">
      <c r="B1336" s="7"/>
      <c r="C1336" s="8" t="e">
        <f>VLOOKUP($B1336,#REF!,5,FALSE)</f>
        <v>#REF!</v>
      </c>
      <c r="D1336" s="8" t="e">
        <f>VLOOKUP($B1336,#REF!,6,FALSE)</f>
        <v>#REF!</v>
      </c>
      <c r="E1336" s="9" t="e">
        <f>VLOOKUP($B1336,#REF!,17,FALSE)</f>
        <v>#REF!</v>
      </c>
      <c r="F1336" s="10" t="e">
        <f>VLOOKUP($B1336,#REF!,7,FALSE)</f>
        <v>#REF!</v>
      </c>
      <c r="G1336" s="10"/>
      <c r="H1336" s="10"/>
      <c r="I1336" s="11" t="e">
        <f>VLOOKUP($B1336,#REF!,19,FALSE)</f>
        <v>#REF!</v>
      </c>
      <c r="J1336" s="11" t="e">
        <f>VLOOKUP($B1336,#REF!,6,FALSE)</f>
        <v>#REF!</v>
      </c>
      <c r="L1336" s="3">
        <v>44656.618055551255</v>
      </c>
      <c r="M1336" s="15"/>
    </row>
    <row r="1337" spans="2:13">
      <c r="B1337" s="7"/>
      <c r="C1337" s="8" t="e">
        <f>VLOOKUP($B1337,#REF!,5,FALSE)</f>
        <v>#REF!</v>
      </c>
      <c r="D1337" s="8" t="e">
        <f>VLOOKUP($B1337,#REF!,6,FALSE)</f>
        <v>#REF!</v>
      </c>
      <c r="E1337" s="9" t="e">
        <f>VLOOKUP($B1337,#REF!,17,FALSE)</f>
        <v>#REF!</v>
      </c>
      <c r="F1337" s="10" t="e">
        <f>VLOOKUP($B1337,#REF!,7,FALSE)</f>
        <v>#REF!</v>
      </c>
      <c r="G1337" s="10"/>
      <c r="H1337" s="10"/>
      <c r="I1337" s="11" t="e">
        <f>VLOOKUP($B1337,#REF!,19,FALSE)</f>
        <v>#REF!</v>
      </c>
      <c r="J1337" s="11" t="e">
        <f>VLOOKUP($B1337,#REF!,6,FALSE)</f>
        <v>#REF!</v>
      </c>
      <c r="L1337" s="3">
        <v>44656.621527773474</v>
      </c>
      <c r="M1337" s="15"/>
    </row>
    <row r="1338" spans="2:13">
      <c r="B1338" s="7"/>
      <c r="C1338" s="8" t="e">
        <f>VLOOKUP($B1338,#REF!,5,FALSE)</f>
        <v>#REF!</v>
      </c>
      <c r="D1338" s="8" t="e">
        <f>VLOOKUP($B1338,#REF!,6,FALSE)</f>
        <v>#REF!</v>
      </c>
      <c r="E1338" s="9" t="e">
        <f>VLOOKUP($B1338,#REF!,17,FALSE)</f>
        <v>#REF!</v>
      </c>
      <c r="F1338" s="10" t="e">
        <f>VLOOKUP($B1338,#REF!,7,FALSE)</f>
        <v>#REF!</v>
      </c>
      <c r="G1338" s="10"/>
      <c r="H1338" s="10"/>
      <c r="I1338" s="11" t="e">
        <f>VLOOKUP($B1338,#REF!,19,FALSE)</f>
        <v>#REF!</v>
      </c>
      <c r="J1338" s="11" t="e">
        <f>VLOOKUP($B1338,#REF!,6,FALSE)</f>
        <v>#REF!</v>
      </c>
      <c r="L1338" s="3">
        <v>44656.624999995693</v>
      </c>
      <c r="M1338" s="15"/>
    </row>
    <row r="1339" spans="2:13">
      <c r="B1339" s="7"/>
      <c r="C1339" s="8" t="e">
        <f>VLOOKUP($B1339,#REF!,5,FALSE)</f>
        <v>#REF!</v>
      </c>
      <c r="D1339" s="8" t="e">
        <f>VLOOKUP($B1339,#REF!,6,FALSE)</f>
        <v>#REF!</v>
      </c>
      <c r="E1339" s="9" t="e">
        <f>VLOOKUP($B1339,#REF!,17,FALSE)</f>
        <v>#REF!</v>
      </c>
      <c r="F1339" s="10" t="e">
        <f>VLOOKUP($B1339,#REF!,7,FALSE)</f>
        <v>#REF!</v>
      </c>
      <c r="G1339" s="10"/>
      <c r="H1339" s="10"/>
      <c r="I1339" s="11" t="e">
        <f>VLOOKUP($B1339,#REF!,19,FALSE)</f>
        <v>#REF!</v>
      </c>
      <c r="J1339" s="11" t="e">
        <f>VLOOKUP($B1339,#REF!,6,FALSE)</f>
        <v>#REF!</v>
      </c>
      <c r="L1339" s="3">
        <v>44656.628472217912</v>
      </c>
      <c r="M1339" s="15"/>
    </row>
    <row r="1340" spans="2:13">
      <c r="B1340" s="7"/>
      <c r="C1340" s="8" t="e">
        <f>VLOOKUP($B1340,#REF!,5,FALSE)</f>
        <v>#REF!</v>
      </c>
      <c r="D1340" s="8" t="e">
        <f>VLOOKUP($B1340,#REF!,6,FALSE)</f>
        <v>#REF!</v>
      </c>
      <c r="E1340" s="9" t="e">
        <f>VLOOKUP($B1340,#REF!,17,FALSE)</f>
        <v>#REF!</v>
      </c>
      <c r="F1340" s="10" t="e">
        <f>VLOOKUP($B1340,#REF!,7,FALSE)</f>
        <v>#REF!</v>
      </c>
      <c r="G1340" s="10"/>
      <c r="H1340" s="10"/>
      <c r="I1340" s="11" t="e">
        <f>VLOOKUP($B1340,#REF!,19,FALSE)</f>
        <v>#REF!</v>
      </c>
      <c r="J1340" s="11" t="e">
        <f>VLOOKUP($B1340,#REF!,6,FALSE)</f>
        <v>#REF!</v>
      </c>
      <c r="L1340" s="3">
        <v>44656.631944440131</v>
      </c>
      <c r="M1340" s="15"/>
    </row>
    <row r="1341" spans="2:13">
      <c r="B1341" s="7"/>
      <c r="C1341" s="8" t="e">
        <f>VLOOKUP($B1341,#REF!,5,FALSE)</f>
        <v>#REF!</v>
      </c>
      <c r="D1341" s="8" t="e">
        <f>VLOOKUP($B1341,#REF!,6,FALSE)</f>
        <v>#REF!</v>
      </c>
      <c r="E1341" s="9" t="e">
        <f>VLOOKUP($B1341,#REF!,17,FALSE)</f>
        <v>#REF!</v>
      </c>
      <c r="F1341" s="10" t="e">
        <f>VLOOKUP($B1341,#REF!,7,FALSE)</f>
        <v>#REF!</v>
      </c>
      <c r="G1341" s="10"/>
      <c r="H1341" s="10"/>
      <c r="I1341" s="11" t="e">
        <f>VLOOKUP($B1341,#REF!,19,FALSE)</f>
        <v>#REF!</v>
      </c>
      <c r="J1341" s="11" t="e">
        <f>VLOOKUP($B1341,#REF!,6,FALSE)</f>
        <v>#REF!</v>
      </c>
      <c r="L1341" s="3">
        <v>44656.63541666235</v>
      </c>
      <c r="M1341" s="15"/>
    </row>
    <row r="1342" spans="2:13">
      <c r="B1342" s="7"/>
      <c r="C1342" s="8" t="e">
        <f>VLOOKUP($B1342,#REF!,5,FALSE)</f>
        <v>#REF!</v>
      </c>
      <c r="D1342" s="8" t="e">
        <f>VLOOKUP($B1342,#REF!,6,FALSE)</f>
        <v>#REF!</v>
      </c>
      <c r="E1342" s="9" t="e">
        <f>VLOOKUP($B1342,#REF!,17,FALSE)</f>
        <v>#REF!</v>
      </c>
      <c r="F1342" s="10" t="e">
        <f>VLOOKUP($B1342,#REF!,7,FALSE)</f>
        <v>#REF!</v>
      </c>
      <c r="G1342" s="10"/>
      <c r="H1342" s="10"/>
      <c r="I1342" s="11" t="e">
        <f>VLOOKUP($B1342,#REF!,19,FALSE)</f>
        <v>#REF!</v>
      </c>
      <c r="J1342" s="11" t="e">
        <f>VLOOKUP($B1342,#REF!,6,FALSE)</f>
        <v>#REF!</v>
      </c>
      <c r="L1342" s="3">
        <v>44656.638888884569</v>
      </c>
      <c r="M1342" s="15"/>
    </row>
    <row r="1343" spans="2:13">
      <c r="B1343" s="7"/>
      <c r="C1343" s="8" t="e">
        <f>VLOOKUP($B1343,#REF!,5,FALSE)</f>
        <v>#REF!</v>
      </c>
      <c r="D1343" s="8" t="e">
        <f>VLOOKUP($B1343,#REF!,6,FALSE)</f>
        <v>#REF!</v>
      </c>
      <c r="E1343" s="9" t="e">
        <f>VLOOKUP($B1343,#REF!,17,FALSE)</f>
        <v>#REF!</v>
      </c>
      <c r="F1343" s="10" t="e">
        <f>VLOOKUP($B1343,#REF!,7,FALSE)</f>
        <v>#REF!</v>
      </c>
      <c r="G1343" s="10"/>
      <c r="H1343" s="10"/>
      <c r="I1343" s="11" t="e">
        <f>VLOOKUP($B1343,#REF!,19,FALSE)</f>
        <v>#REF!</v>
      </c>
      <c r="J1343" s="11" t="e">
        <f>VLOOKUP($B1343,#REF!,6,FALSE)</f>
        <v>#REF!</v>
      </c>
      <c r="L1343" s="3">
        <v>44656.642361106788</v>
      </c>
      <c r="M1343" s="15"/>
    </row>
    <row r="1344" spans="2:13">
      <c r="B1344" s="7"/>
      <c r="C1344" s="8" t="e">
        <f>VLOOKUP($B1344,#REF!,5,FALSE)</f>
        <v>#REF!</v>
      </c>
      <c r="D1344" s="8" t="e">
        <f>VLOOKUP($B1344,#REF!,6,FALSE)</f>
        <v>#REF!</v>
      </c>
      <c r="E1344" s="9" t="e">
        <f>VLOOKUP($B1344,#REF!,17,FALSE)</f>
        <v>#REF!</v>
      </c>
      <c r="F1344" s="10" t="e">
        <f>VLOOKUP($B1344,#REF!,7,FALSE)</f>
        <v>#REF!</v>
      </c>
      <c r="G1344" s="10"/>
      <c r="H1344" s="10"/>
      <c r="I1344" s="11" t="e">
        <f>VLOOKUP($B1344,#REF!,19,FALSE)</f>
        <v>#REF!</v>
      </c>
      <c r="J1344" s="11" t="e">
        <f>VLOOKUP($B1344,#REF!,6,FALSE)</f>
        <v>#REF!</v>
      </c>
      <c r="L1344" s="3">
        <v>44656.645833329007</v>
      </c>
      <c r="M1344" s="15"/>
    </row>
    <row r="1345" spans="2:13">
      <c r="B1345" s="7"/>
      <c r="C1345" s="8" t="e">
        <f>VLOOKUP($B1345,#REF!,5,FALSE)</f>
        <v>#REF!</v>
      </c>
      <c r="D1345" s="8" t="e">
        <f>VLOOKUP($B1345,#REF!,6,FALSE)</f>
        <v>#REF!</v>
      </c>
      <c r="E1345" s="9" t="e">
        <f>VLOOKUP($B1345,#REF!,17,FALSE)</f>
        <v>#REF!</v>
      </c>
      <c r="F1345" s="10" t="e">
        <f>VLOOKUP($B1345,#REF!,7,FALSE)</f>
        <v>#REF!</v>
      </c>
      <c r="G1345" s="10"/>
      <c r="H1345" s="10"/>
      <c r="I1345" s="11" t="e">
        <f>VLOOKUP($B1345,#REF!,19,FALSE)</f>
        <v>#REF!</v>
      </c>
      <c r="J1345" s="11" t="e">
        <f>VLOOKUP($B1345,#REF!,6,FALSE)</f>
        <v>#REF!</v>
      </c>
      <c r="L1345" s="3">
        <v>44656.649305551226</v>
      </c>
      <c r="M1345" s="15"/>
    </row>
    <row r="1346" spans="2:13">
      <c r="B1346" s="7"/>
      <c r="C1346" s="8" t="e">
        <f>VLOOKUP($B1346,#REF!,5,FALSE)</f>
        <v>#REF!</v>
      </c>
      <c r="D1346" s="8" t="e">
        <f>VLOOKUP($B1346,#REF!,6,FALSE)</f>
        <v>#REF!</v>
      </c>
      <c r="E1346" s="9" t="e">
        <f>VLOOKUP($B1346,#REF!,17,FALSE)</f>
        <v>#REF!</v>
      </c>
      <c r="F1346" s="10" t="e">
        <f>VLOOKUP($B1346,#REF!,7,FALSE)</f>
        <v>#REF!</v>
      </c>
      <c r="G1346" s="10"/>
      <c r="H1346" s="10"/>
      <c r="I1346" s="11" t="e">
        <f>VLOOKUP($B1346,#REF!,19,FALSE)</f>
        <v>#REF!</v>
      </c>
      <c r="J1346" s="11" t="e">
        <f>VLOOKUP($B1346,#REF!,6,FALSE)</f>
        <v>#REF!</v>
      </c>
      <c r="L1346" s="3">
        <v>44656.652777773445</v>
      </c>
      <c r="M1346" s="15"/>
    </row>
    <row r="1347" spans="2:13">
      <c r="B1347" s="7"/>
      <c r="C1347" s="8" t="e">
        <f>VLOOKUP($B1347,#REF!,5,FALSE)</f>
        <v>#REF!</v>
      </c>
      <c r="D1347" s="8" t="e">
        <f>VLOOKUP($B1347,#REF!,6,FALSE)</f>
        <v>#REF!</v>
      </c>
      <c r="E1347" s="9" t="e">
        <f>VLOOKUP($B1347,#REF!,17,FALSE)</f>
        <v>#REF!</v>
      </c>
      <c r="F1347" s="10" t="e">
        <f>VLOOKUP($B1347,#REF!,7,FALSE)</f>
        <v>#REF!</v>
      </c>
      <c r="G1347" s="10"/>
      <c r="H1347" s="10"/>
      <c r="I1347" s="11" t="e">
        <f>VLOOKUP($B1347,#REF!,19,FALSE)</f>
        <v>#REF!</v>
      </c>
      <c r="J1347" s="11" t="e">
        <f>VLOOKUP($B1347,#REF!,6,FALSE)</f>
        <v>#REF!</v>
      </c>
      <c r="L1347" s="3">
        <v>44656.656249995664</v>
      </c>
      <c r="M1347" s="15"/>
    </row>
    <row r="1348" spans="2:13">
      <c r="B1348" s="7"/>
      <c r="C1348" s="8" t="e">
        <f>VLOOKUP($B1348,#REF!,5,FALSE)</f>
        <v>#REF!</v>
      </c>
      <c r="D1348" s="8" t="e">
        <f>VLOOKUP($B1348,#REF!,6,FALSE)</f>
        <v>#REF!</v>
      </c>
      <c r="E1348" s="9" t="e">
        <f>VLOOKUP($B1348,#REF!,17,FALSE)</f>
        <v>#REF!</v>
      </c>
      <c r="F1348" s="10" t="e">
        <f>VLOOKUP($B1348,#REF!,7,FALSE)</f>
        <v>#REF!</v>
      </c>
      <c r="G1348" s="10"/>
      <c r="H1348" s="10"/>
      <c r="I1348" s="11" t="e">
        <f>VLOOKUP($B1348,#REF!,19,FALSE)</f>
        <v>#REF!</v>
      </c>
      <c r="J1348" s="11" t="e">
        <f>VLOOKUP($B1348,#REF!,6,FALSE)</f>
        <v>#REF!</v>
      </c>
      <c r="L1348" s="3">
        <v>44656.659722217883</v>
      </c>
      <c r="M1348" s="15"/>
    </row>
    <row r="1349" spans="2:13">
      <c r="B1349" s="7"/>
      <c r="C1349" s="8" t="e">
        <f>VLOOKUP($B1349,#REF!,5,FALSE)</f>
        <v>#REF!</v>
      </c>
      <c r="D1349" s="8" t="e">
        <f>VLOOKUP($B1349,#REF!,6,FALSE)</f>
        <v>#REF!</v>
      </c>
      <c r="E1349" s="9" t="e">
        <f>VLOOKUP($B1349,#REF!,17,FALSE)</f>
        <v>#REF!</v>
      </c>
      <c r="F1349" s="10" t="e">
        <f>VLOOKUP($B1349,#REF!,7,FALSE)</f>
        <v>#REF!</v>
      </c>
      <c r="G1349" s="10"/>
      <c r="H1349" s="10"/>
      <c r="I1349" s="11" t="e">
        <f>VLOOKUP($B1349,#REF!,19,FALSE)</f>
        <v>#REF!</v>
      </c>
      <c r="J1349" s="11" t="e">
        <f>VLOOKUP($B1349,#REF!,6,FALSE)</f>
        <v>#REF!</v>
      </c>
      <c r="L1349" s="3">
        <v>44656.663194440102</v>
      </c>
      <c r="M1349" s="15"/>
    </row>
    <row r="1350" spans="2:13">
      <c r="B1350" s="7"/>
      <c r="C1350" s="8" t="e">
        <f>VLOOKUP($B1350,#REF!,5,FALSE)</f>
        <v>#REF!</v>
      </c>
      <c r="D1350" s="8" t="e">
        <f>VLOOKUP($B1350,#REF!,6,FALSE)</f>
        <v>#REF!</v>
      </c>
      <c r="E1350" s="9" t="e">
        <f>VLOOKUP($B1350,#REF!,17,FALSE)</f>
        <v>#REF!</v>
      </c>
      <c r="F1350" s="10" t="e">
        <f>VLOOKUP($B1350,#REF!,7,FALSE)</f>
        <v>#REF!</v>
      </c>
      <c r="G1350" s="10"/>
      <c r="H1350" s="10"/>
      <c r="I1350" s="11" t="e">
        <f>VLOOKUP($B1350,#REF!,19,FALSE)</f>
        <v>#REF!</v>
      </c>
      <c r="J1350" s="11" t="e">
        <f>VLOOKUP($B1350,#REF!,6,FALSE)</f>
        <v>#REF!</v>
      </c>
      <c r="L1350" s="3">
        <v>44656.66666666232</v>
      </c>
      <c r="M1350" s="15"/>
    </row>
    <row r="1351" spans="2:13">
      <c r="B1351" s="7"/>
      <c r="C1351" s="8" t="e">
        <f>VLOOKUP($B1351,#REF!,5,FALSE)</f>
        <v>#REF!</v>
      </c>
      <c r="D1351" s="8" t="e">
        <f>VLOOKUP($B1351,#REF!,6,FALSE)</f>
        <v>#REF!</v>
      </c>
      <c r="E1351" s="9" t="e">
        <f>VLOOKUP($B1351,#REF!,17,FALSE)</f>
        <v>#REF!</v>
      </c>
      <c r="F1351" s="10" t="e">
        <f>VLOOKUP($B1351,#REF!,7,FALSE)</f>
        <v>#REF!</v>
      </c>
      <c r="G1351" s="10"/>
      <c r="H1351" s="10"/>
      <c r="I1351" s="11" t="e">
        <f>VLOOKUP($B1351,#REF!,19,FALSE)</f>
        <v>#REF!</v>
      </c>
      <c r="J1351" s="11" t="e">
        <f>VLOOKUP($B1351,#REF!,6,FALSE)</f>
        <v>#REF!</v>
      </c>
      <c r="L1351" s="3">
        <v>44656.670138884539</v>
      </c>
      <c r="M1351" s="15"/>
    </row>
    <row r="1352" spans="2:13">
      <c r="B1352" s="7"/>
      <c r="C1352" s="8" t="e">
        <f>VLOOKUP($B1352,#REF!,5,FALSE)</f>
        <v>#REF!</v>
      </c>
      <c r="D1352" s="8" t="e">
        <f>VLOOKUP($B1352,#REF!,6,FALSE)</f>
        <v>#REF!</v>
      </c>
      <c r="E1352" s="9" t="e">
        <f>VLOOKUP($B1352,#REF!,17,FALSE)</f>
        <v>#REF!</v>
      </c>
      <c r="F1352" s="10" t="e">
        <f>VLOOKUP($B1352,#REF!,7,FALSE)</f>
        <v>#REF!</v>
      </c>
      <c r="G1352" s="10"/>
      <c r="H1352" s="10"/>
      <c r="I1352" s="11" t="e">
        <f>VLOOKUP($B1352,#REF!,19,FALSE)</f>
        <v>#REF!</v>
      </c>
      <c r="J1352" s="11" t="e">
        <f>VLOOKUP($B1352,#REF!,6,FALSE)</f>
        <v>#REF!</v>
      </c>
      <c r="L1352" s="3">
        <v>44656.673611106758</v>
      </c>
      <c r="M1352" s="15"/>
    </row>
    <row r="1353" spans="2:13">
      <c r="B1353" s="7"/>
      <c r="C1353" s="8" t="e">
        <f>VLOOKUP($B1353,#REF!,5,FALSE)</f>
        <v>#REF!</v>
      </c>
      <c r="D1353" s="8" t="e">
        <f>VLOOKUP($B1353,#REF!,6,FALSE)</f>
        <v>#REF!</v>
      </c>
      <c r="E1353" s="9" t="e">
        <f>VLOOKUP($B1353,#REF!,17,FALSE)</f>
        <v>#REF!</v>
      </c>
      <c r="F1353" s="10" t="e">
        <f>VLOOKUP($B1353,#REF!,7,FALSE)</f>
        <v>#REF!</v>
      </c>
      <c r="G1353" s="10"/>
      <c r="H1353" s="10"/>
      <c r="I1353" s="11" t="e">
        <f>VLOOKUP($B1353,#REF!,19,FALSE)</f>
        <v>#REF!</v>
      </c>
      <c r="J1353" s="11" t="e">
        <f>VLOOKUP($B1353,#REF!,6,FALSE)</f>
        <v>#REF!</v>
      </c>
      <c r="L1353" s="3">
        <v>44656.677083328977</v>
      </c>
      <c r="M1353" s="15"/>
    </row>
    <row r="1354" spans="2:13">
      <c r="B1354" s="7"/>
      <c r="C1354" s="8" t="e">
        <f>VLOOKUP($B1354,#REF!,5,FALSE)</f>
        <v>#REF!</v>
      </c>
      <c r="D1354" s="8" t="e">
        <f>VLOOKUP($B1354,#REF!,6,FALSE)</f>
        <v>#REF!</v>
      </c>
      <c r="E1354" s="9" t="e">
        <f>VLOOKUP($B1354,#REF!,17,FALSE)</f>
        <v>#REF!</v>
      </c>
      <c r="F1354" s="10" t="e">
        <f>VLOOKUP($B1354,#REF!,7,FALSE)</f>
        <v>#REF!</v>
      </c>
      <c r="G1354" s="10"/>
      <c r="H1354" s="10"/>
      <c r="I1354" s="11" t="e">
        <f>VLOOKUP($B1354,#REF!,19,FALSE)</f>
        <v>#REF!</v>
      </c>
      <c r="J1354" s="11" t="e">
        <f>VLOOKUP($B1354,#REF!,6,FALSE)</f>
        <v>#REF!</v>
      </c>
      <c r="L1354" s="3">
        <v>44656.680555551196</v>
      </c>
      <c r="M1354" s="15"/>
    </row>
    <row r="1355" spans="2:13">
      <c r="B1355" s="7"/>
      <c r="C1355" s="8" t="e">
        <f>VLOOKUP($B1355,#REF!,5,FALSE)</f>
        <v>#REF!</v>
      </c>
      <c r="D1355" s="8" t="e">
        <f>VLOOKUP($B1355,#REF!,6,FALSE)</f>
        <v>#REF!</v>
      </c>
      <c r="E1355" s="9" t="e">
        <f>VLOOKUP($B1355,#REF!,17,FALSE)</f>
        <v>#REF!</v>
      </c>
      <c r="F1355" s="10" t="e">
        <f>VLOOKUP($B1355,#REF!,7,FALSE)</f>
        <v>#REF!</v>
      </c>
      <c r="G1355" s="10"/>
      <c r="H1355" s="10"/>
      <c r="I1355" s="11" t="e">
        <f>VLOOKUP($B1355,#REF!,19,FALSE)</f>
        <v>#REF!</v>
      </c>
      <c r="J1355" s="11" t="e">
        <f>VLOOKUP($B1355,#REF!,6,FALSE)</f>
        <v>#REF!</v>
      </c>
      <c r="L1355" s="3">
        <v>44656.684027773415</v>
      </c>
      <c r="M1355" s="15"/>
    </row>
    <row r="1356" spans="2:13">
      <c r="B1356" s="7"/>
      <c r="C1356" s="8" t="e">
        <f>VLOOKUP($B1356,#REF!,5,FALSE)</f>
        <v>#REF!</v>
      </c>
      <c r="D1356" s="8" t="e">
        <f>VLOOKUP($B1356,#REF!,6,FALSE)</f>
        <v>#REF!</v>
      </c>
      <c r="E1356" s="9" t="e">
        <f>VLOOKUP($B1356,#REF!,17,FALSE)</f>
        <v>#REF!</v>
      </c>
      <c r="F1356" s="10" t="e">
        <f>VLOOKUP($B1356,#REF!,7,FALSE)</f>
        <v>#REF!</v>
      </c>
      <c r="G1356" s="10"/>
      <c r="H1356" s="10"/>
      <c r="I1356" s="11" t="e">
        <f>VLOOKUP($B1356,#REF!,19,FALSE)</f>
        <v>#REF!</v>
      </c>
      <c r="J1356" s="11" t="e">
        <f>VLOOKUP($B1356,#REF!,6,FALSE)</f>
        <v>#REF!</v>
      </c>
      <c r="L1356" s="3">
        <v>44656.687499995634</v>
      </c>
      <c r="M1356" s="15"/>
    </row>
    <row r="1357" spans="2:13">
      <c r="B1357" s="7"/>
      <c r="C1357" s="8" t="e">
        <f>VLOOKUP($B1357,#REF!,5,FALSE)</f>
        <v>#REF!</v>
      </c>
      <c r="D1357" s="8" t="e">
        <f>VLOOKUP($B1357,#REF!,6,FALSE)</f>
        <v>#REF!</v>
      </c>
      <c r="E1357" s="9" t="e">
        <f>VLOOKUP($B1357,#REF!,17,FALSE)</f>
        <v>#REF!</v>
      </c>
      <c r="F1357" s="10" t="e">
        <f>VLOOKUP($B1357,#REF!,7,FALSE)</f>
        <v>#REF!</v>
      </c>
      <c r="G1357" s="10"/>
      <c r="H1357" s="10"/>
      <c r="I1357" s="11" t="e">
        <f>VLOOKUP($B1357,#REF!,19,FALSE)</f>
        <v>#REF!</v>
      </c>
      <c r="J1357" s="11" t="e">
        <f>VLOOKUP($B1357,#REF!,6,FALSE)</f>
        <v>#REF!</v>
      </c>
      <c r="L1357" s="3">
        <v>44656.690972217853</v>
      </c>
      <c r="M1357" s="15"/>
    </row>
    <row r="1358" spans="2:13">
      <c r="B1358" s="7"/>
      <c r="C1358" s="8" t="e">
        <f>VLOOKUP($B1358,#REF!,5,FALSE)</f>
        <v>#REF!</v>
      </c>
      <c r="D1358" s="8" t="e">
        <f>VLOOKUP($B1358,#REF!,6,FALSE)</f>
        <v>#REF!</v>
      </c>
      <c r="E1358" s="9" t="e">
        <f>VLOOKUP($B1358,#REF!,17,FALSE)</f>
        <v>#REF!</v>
      </c>
      <c r="F1358" s="10" t="e">
        <f>VLOOKUP($B1358,#REF!,7,FALSE)</f>
        <v>#REF!</v>
      </c>
      <c r="G1358" s="10"/>
      <c r="H1358" s="10"/>
      <c r="I1358" s="11" t="e">
        <f>VLOOKUP($B1358,#REF!,19,FALSE)</f>
        <v>#REF!</v>
      </c>
      <c r="J1358" s="11" t="e">
        <f>VLOOKUP($B1358,#REF!,6,FALSE)</f>
        <v>#REF!</v>
      </c>
      <c r="L1358" s="3">
        <v>44656.694444440072</v>
      </c>
      <c r="M1358" s="15"/>
    </row>
    <row r="1359" spans="2:13">
      <c r="B1359" s="7"/>
      <c r="C1359" s="8" t="e">
        <f>VLOOKUP($B1359,#REF!,5,FALSE)</f>
        <v>#REF!</v>
      </c>
      <c r="D1359" s="8" t="e">
        <f>VLOOKUP($B1359,#REF!,6,FALSE)</f>
        <v>#REF!</v>
      </c>
      <c r="E1359" s="9" t="e">
        <f>VLOOKUP($B1359,#REF!,17,FALSE)</f>
        <v>#REF!</v>
      </c>
      <c r="F1359" s="10" t="e">
        <f>VLOOKUP($B1359,#REF!,7,FALSE)</f>
        <v>#REF!</v>
      </c>
      <c r="G1359" s="10"/>
      <c r="H1359" s="10"/>
      <c r="I1359" s="11" t="e">
        <f>VLOOKUP($B1359,#REF!,19,FALSE)</f>
        <v>#REF!</v>
      </c>
      <c r="J1359" s="11" t="e">
        <f>VLOOKUP($B1359,#REF!,6,FALSE)</f>
        <v>#REF!</v>
      </c>
      <c r="L1359" s="3">
        <v>44656.697916662291</v>
      </c>
      <c r="M1359" s="15"/>
    </row>
    <row r="1360" spans="2:13">
      <c r="B1360" s="7"/>
      <c r="C1360" s="8" t="e">
        <f>VLOOKUP($B1360,#REF!,5,FALSE)</f>
        <v>#REF!</v>
      </c>
      <c r="D1360" s="8" t="e">
        <f>VLOOKUP($B1360,#REF!,6,FALSE)</f>
        <v>#REF!</v>
      </c>
      <c r="E1360" s="9" t="e">
        <f>VLOOKUP($B1360,#REF!,17,FALSE)</f>
        <v>#REF!</v>
      </c>
      <c r="F1360" s="10" t="e">
        <f>VLOOKUP($B1360,#REF!,7,FALSE)</f>
        <v>#REF!</v>
      </c>
      <c r="G1360" s="10"/>
      <c r="H1360" s="10"/>
      <c r="I1360" s="11" t="e">
        <f>VLOOKUP($B1360,#REF!,19,FALSE)</f>
        <v>#REF!</v>
      </c>
      <c r="J1360" s="11" t="e">
        <f>VLOOKUP($B1360,#REF!,6,FALSE)</f>
        <v>#REF!</v>
      </c>
      <c r="L1360" s="3">
        <v>44656.70138888451</v>
      </c>
      <c r="M1360" s="15"/>
    </row>
    <row r="1361" spans="2:13">
      <c r="B1361" s="7"/>
      <c r="C1361" s="8" t="e">
        <f>VLOOKUP($B1361,#REF!,5,FALSE)</f>
        <v>#REF!</v>
      </c>
      <c r="D1361" s="8" t="e">
        <f>VLOOKUP($B1361,#REF!,6,FALSE)</f>
        <v>#REF!</v>
      </c>
      <c r="E1361" s="9" t="e">
        <f>VLOOKUP($B1361,#REF!,17,FALSE)</f>
        <v>#REF!</v>
      </c>
      <c r="F1361" s="10" t="e">
        <f>VLOOKUP($B1361,#REF!,7,FALSE)</f>
        <v>#REF!</v>
      </c>
      <c r="G1361" s="10"/>
      <c r="H1361" s="10"/>
      <c r="I1361" s="11" t="e">
        <f>VLOOKUP($B1361,#REF!,19,FALSE)</f>
        <v>#REF!</v>
      </c>
      <c r="J1361" s="11" t="e">
        <f>VLOOKUP($B1361,#REF!,6,FALSE)</f>
        <v>#REF!</v>
      </c>
      <c r="L1361" s="3">
        <v>44656.704861106729</v>
      </c>
      <c r="M1361" s="15"/>
    </row>
    <row r="1362" spans="2:13">
      <c r="B1362" s="7"/>
      <c r="C1362" s="8" t="e">
        <f>VLOOKUP($B1362,#REF!,5,FALSE)</f>
        <v>#REF!</v>
      </c>
      <c r="D1362" s="8" t="e">
        <f>VLOOKUP($B1362,#REF!,6,FALSE)</f>
        <v>#REF!</v>
      </c>
      <c r="E1362" s="9" t="e">
        <f>VLOOKUP($B1362,#REF!,17,FALSE)</f>
        <v>#REF!</v>
      </c>
      <c r="F1362" s="10" t="e">
        <f>VLOOKUP($B1362,#REF!,7,FALSE)</f>
        <v>#REF!</v>
      </c>
      <c r="G1362" s="10"/>
      <c r="H1362" s="10"/>
      <c r="I1362" s="11" t="e">
        <f>VLOOKUP($B1362,#REF!,19,FALSE)</f>
        <v>#REF!</v>
      </c>
      <c r="J1362" s="11" t="e">
        <f>VLOOKUP($B1362,#REF!,6,FALSE)</f>
        <v>#REF!</v>
      </c>
      <c r="L1362" s="3">
        <v>44656.708333328948</v>
      </c>
      <c r="M1362" s="15"/>
    </row>
    <row r="1363" spans="2:13">
      <c r="B1363" s="7"/>
      <c r="C1363" s="8" t="e">
        <f>VLOOKUP($B1363,#REF!,5,FALSE)</f>
        <v>#REF!</v>
      </c>
      <c r="D1363" s="8" t="e">
        <f>VLOOKUP($B1363,#REF!,6,FALSE)</f>
        <v>#REF!</v>
      </c>
      <c r="E1363" s="9" t="e">
        <f>VLOOKUP($B1363,#REF!,17,FALSE)</f>
        <v>#REF!</v>
      </c>
      <c r="F1363" s="10" t="e">
        <f>VLOOKUP($B1363,#REF!,7,FALSE)</f>
        <v>#REF!</v>
      </c>
      <c r="G1363" s="10"/>
      <c r="H1363" s="10"/>
      <c r="I1363" s="11" t="e">
        <f>VLOOKUP($B1363,#REF!,19,FALSE)</f>
        <v>#REF!</v>
      </c>
      <c r="J1363" s="11" t="e">
        <f>VLOOKUP($B1363,#REF!,6,FALSE)</f>
        <v>#REF!</v>
      </c>
      <c r="L1363" s="3">
        <v>44656.711805551167</v>
      </c>
      <c r="M1363" s="15"/>
    </row>
    <row r="1364" spans="2:13">
      <c r="B1364" s="7"/>
      <c r="C1364" s="8" t="e">
        <f>VLOOKUP($B1364,#REF!,5,FALSE)</f>
        <v>#REF!</v>
      </c>
      <c r="D1364" s="8" t="e">
        <f>VLOOKUP($B1364,#REF!,6,FALSE)</f>
        <v>#REF!</v>
      </c>
      <c r="E1364" s="9" t="e">
        <f>VLOOKUP($B1364,#REF!,17,FALSE)</f>
        <v>#REF!</v>
      </c>
      <c r="F1364" s="10" t="e">
        <f>VLOOKUP($B1364,#REF!,7,FALSE)</f>
        <v>#REF!</v>
      </c>
      <c r="G1364" s="10"/>
      <c r="H1364" s="10"/>
      <c r="I1364" s="11" t="e">
        <f>VLOOKUP($B1364,#REF!,19,FALSE)</f>
        <v>#REF!</v>
      </c>
      <c r="J1364" s="11" t="e">
        <f>VLOOKUP($B1364,#REF!,6,FALSE)</f>
        <v>#REF!</v>
      </c>
      <c r="L1364" s="3">
        <v>44656.715277773386</v>
      </c>
      <c r="M1364" s="15"/>
    </row>
    <row r="1365" spans="2:13">
      <c r="B1365" s="7"/>
      <c r="C1365" s="8" t="e">
        <f>VLOOKUP($B1365,#REF!,5,FALSE)</f>
        <v>#REF!</v>
      </c>
      <c r="D1365" s="8" t="e">
        <f>VLOOKUP($B1365,#REF!,6,FALSE)</f>
        <v>#REF!</v>
      </c>
      <c r="E1365" s="9" t="e">
        <f>VLOOKUP($B1365,#REF!,17,FALSE)</f>
        <v>#REF!</v>
      </c>
      <c r="F1365" s="10" t="e">
        <f>VLOOKUP($B1365,#REF!,7,FALSE)</f>
        <v>#REF!</v>
      </c>
      <c r="G1365" s="10"/>
      <c r="H1365" s="10"/>
      <c r="I1365" s="11" t="e">
        <f>VLOOKUP($B1365,#REF!,19,FALSE)</f>
        <v>#REF!</v>
      </c>
      <c r="J1365" s="11" t="e">
        <f>VLOOKUP($B1365,#REF!,6,FALSE)</f>
        <v>#REF!</v>
      </c>
      <c r="L1365" s="3">
        <v>44656.718749995605</v>
      </c>
      <c r="M1365" s="15"/>
    </row>
    <row r="1366" spans="2:13">
      <c r="B1366" s="7"/>
      <c r="C1366" s="8" t="e">
        <f>VLOOKUP($B1366,#REF!,5,FALSE)</f>
        <v>#REF!</v>
      </c>
      <c r="D1366" s="8" t="e">
        <f>VLOOKUP($B1366,#REF!,6,FALSE)</f>
        <v>#REF!</v>
      </c>
      <c r="E1366" s="9" t="e">
        <f>VLOOKUP($B1366,#REF!,17,FALSE)</f>
        <v>#REF!</v>
      </c>
      <c r="F1366" s="10" t="e">
        <f>VLOOKUP($B1366,#REF!,7,FALSE)</f>
        <v>#REF!</v>
      </c>
      <c r="G1366" s="10"/>
      <c r="H1366" s="10"/>
      <c r="I1366" s="11" t="e">
        <f>VLOOKUP($B1366,#REF!,19,FALSE)</f>
        <v>#REF!</v>
      </c>
      <c r="J1366" s="11" t="e">
        <f>VLOOKUP($B1366,#REF!,6,FALSE)</f>
        <v>#REF!</v>
      </c>
      <c r="L1366" s="3">
        <v>44656.722222217824</v>
      </c>
      <c r="M1366" s="15"/>
    </row>
    <row r="1367" spans="2:13">
      <c r="B1367" s="7"/>
      <c r="C1367" s="8" t="e">
        <f>VLOOKUP($B1367,#REF!,5,FALSE)</f>
        <v>#REF!</v>
      </c>
      <c r="D1367" s="8" t="e">
        <f>VLOOKUP($B1367,#REF!,6,FALSE)</f>
        <v>#REF!</v>
      </c>
      <c r="E1367" s="9" t="e">
        <f>VLOOKUP($B1367,#REF!,17,FALSE)</f>
        <v>#REF!</v>
      </c>
      <c r="F1367" s="10" t="e">
        <f>VLOOKUP($B1367,#REF!,7,FALSE)</f>
        <v>#REF!</v>
      </c>
      <c r="G1367" s="10"/>
      <c r="H1367" s="10"/>
      <c r="I1367" s="11" t="e">
        <f>VLOOKUP($B1367,#REF!,19,FALSE)</f>
        <v>#REF!</v>
      </c>
      <c r="J1367" s="11" t="e">
        <f>VLOOKUP($B1367,#REF!,6,FALSE)</f>
        <v>#REF!</v>
      </c>
      <c r="L1367" s="3">
        <v>44656.725694440043</v>
      </c>
      <c r="M1367" s="15"/>
    </row>
    <row r="1368" spans="2:13">
      <c r="B1368" s="7"/>
      <c r="C1368" s="8" t="e">
        <f>VLOOKUP($B1368,#REF!,5,FALSE)</f>
        <v>#REF!</v>
      </c>
      <c r="D1368" s="8" t="e">
        <f>VLOOKUP($B1368,#REF!,6,FALSE)</f>
        <v>#REF!</v>
      </c>
      <c r="E1368" s="9" t="e">
        <f>VLOOKUP($B1368,#REF!,17,FALSE)</f>
        <v>#REF!</v>
      </c>
      <c r="F1368" s="10" t="e">
        <f>VLOOKUP($B1368,#REF!,7,FALSE)</f>
        <v>#REF!</v>
      </c>
      <c r="G1368" s="10"/>
      <c r="H1368" s="10"/>
      <c r="I1368" s="11" t="e">
        <f>VLOOKUP($B1368,#REF!,19,FALSE)</f>
        <v>#REF!</v>
      </c>
      <c r="J1368" s="11" t="e">
        <f>VLOOKUP($B1368,#REF!,6,FALSE)</f>
        <v>#REF!</v>
      </c>
      <c r="L1368" s="3">
        <v>44656.729166662262</v>
      </c>
      <c r="M1368" s="15"/>
    </row>
    <row r="1369" spans="2:13">
      <c r="B1369" s="7"/>
      <c r="C1369" s="8" t="e">
        <f>VLOOKUP($B1369,#REF!,5,FALSE)</f>
        <v>#REF!</v>
      </c>
      <c r="D1369" s="8" t="e">
        <f>VLOOKUP($B1369,#REF!,6,FALSE)</f>
        <v>#REF!</v>
      </c>
      <c r="E1369" s="9" t="e">
        <f>VLOOKUP($B1369,#REF!,17,FALSE)</f>
        <v>#REF!</v>
      </c>
      <c r="F1369" s="10" t="e">
        <f>VLOOKUP($B1369,#REF!,7,FALSE)</f>
        <v>#REF!</v>
      </c>
      <c r="G1369" s="10"/>
      <c r="H1369" s="10"/>
      <c r="I1369" s="11" t="e">
        <f>VLOOKUP($B1369,#REF!,19,FALSE)</f>
        <v>#REF!</v>
      </c>
      <c r="J1369" s="11" t="e">
        <f>VLOOKUP($B1369,#REF!,6,FALSE)</f>
        <v>#REF!</v>
      </c>
      <c r="L1369" s="3">
        <v>44656.732638884481</v>
      </c>
      <c r="M1369" s="15"/>
    </row>
    <row r="1370" spans="2:13">
      <c r="B1370" s="7"/>
      <c r="C1370" s="8" t="e">
        <f>VLOOKUP($B1370,#REF!,5,FALSE)</f>
        <v>#REF!</v>
      </c>
      <c r="D1370" s="8" t="e">
        <f>VLOOKUP($B1370,#REF!,6,FALSE)</f>
        <v>#REF!</v>
      </c>
      <c r="E1370" s="9" t="e">
        <f>VLOOKUP($B1370,#REF!,17,FALSE)</f>
        <v>#REF!</v>
      </c>
      <c r="F1370" s="10" t="e">
        <f>VLOOKUP($B1370,#REF!,7,FALSE)</f>
        <v>#REF!</v>
      </c>
      <c r="G1370" s="10"/>
      <c r="H1370" s="10"/>
      <c r="I1370" s="11" t="e">
        <f>VLOOKUP($B1370,#REF!,19,FALSE)</f>
        <v>#REF!</v>
      </c>
      <c r="J1370" s="11" t="e">
        <f>VLOOKUP($B1370,#REF!,6,FALSE)</f>
        <v>#REF!</v>
      </c>
      <c r="L1370" s="3">
        <v>44656.7361111067</v>
      </c>
      <c r="M1370" s="15"/>
    </row>
    <row r="1371" spans="2:13">
      <c r="B1371" s="7"/>
      <c r="C1371" s="8" t="e">
        <f>VLOOKUP($B1371,#REF!,5,FALSE)</f>
        <v>#REF!</v>
      </c>
      <c r="D1371" s="8" t="e">
        <f>VLOOKUP($B1371,#REF!,6,FALSE)</f>
        <v>#REF!</v>
      </c>
      <c r="E1371" s="9" t="e">
        <f>VLOOKUP($B1371,#REF!,17,FALSE)</f>
        <v>#REF!</v>
      </c>
      <c r="F1371" s="10" t="e">
        <f>VLOOKUP($B1371,#REF!,7,FALSE)</f>
        <v>#REF!</v>
      </c>
      <c r="G1371" s="10"/>
      <c r="H1371" s="10"/>
      <c r="I1371" s="11" t="e">
        <f>VLOOKUP($B1371,#REF!,19,FALSE)</f>
        <v>#REF!</v>
      </c>
      <c r="J1371" s="11" t="e">
        <f>VLOOKUP($B1371,#REF!,6,FALSE)</f>
        <v>#REF!</v>
      </c>
      <c r="L1371" s="3">
        <v>44656.739583328919</v>
      </c>
      <c r="M1371" s="15"/>
    </row>
    <row r="1372" spans="2:13">
      <c r="B1372" s="7"/>
      <c r="C1372" s="8" t="e">
        <f>VLOOKUP($B1372,#REF!,5,FALSE)</f>
        <v>#REF!</v>
      </c>
      <c r="D1372" s="8" t="e">
        <f>VLOOKUP($B1372,#REF!,6,FALSE)</f>
        <v>#REF!</v>
      </c>
      <c r="E1372" s="9" t="e">
        <f>VLOOKUP($B1372,#REF!,17,FALSE)</f>
        <v>#REF!</v>
      </c>
      <c r="F1372" s="10" t="e">
        <f>VLOOKUP($B1372,#REF!,7,FALSE)</f>
        <v>#REF!</v>
      </c>
      <c r="G1372" s="10"/>
      <c r="H1372" s="10"/>
      <c r="I1372" s="11" t="e">
        <f>VLOOKUP($B1372,#REF!,19,FALSE)</f>
        <v>#REF!</v>
      </c>
      <c r="J1372" s="11" t="e">
        <f>VLOOKUP($B1372,#REF!,6,FALSE)</f>
        <v>#REF!</v>
      </c>
      <c r="L1372" s="3">
        <v>44656.743055551138</v>
      </c>
      <c r="M1372" s="15"/>
    </row>
    <row r="1373" spans="2:13">
      <c r="B1373" s="7"/>
      <c r="C1373" s="7"/>
      <c r="D1373" s="7"/>
      <c r="E1373" s="7"/>
      <c r="F1373" s="10" t="e">
        <f>VLOOKUP($B1373,#REF!,7,FALSE)</f>
        <v>#REF!</v>
      </c>
      <c r="G1373" s="10"/>
      <c r="H1373" s="10"/>
      <c r="I1373" s="11" t="e">
        <f>VLOOKUP($B1373,#REF!,19,FALSE)</f>
        <v>#REF!</v>
      </c>
      <c r="J1373" s="11" t="e">
        <f>VLOOKUP($B1373,#REF!,6,FALSE)</f>
        <v>#REF!</v>
      </c>
      <c r="L1373" s="3">
        <v>44656.746527773357</v>
      </c>
      <c r="M1373" s="15"/>
    </row>
    <row r="1374" spans="2:13">
      <c r="L1374" s="3">
        <v>44656.749999995576</v>
      </c>
      <c r="M1374" s="15"/>
    </row>
    <row r="1375" spans="2:13">
      <c r="L1375" s="3">
        <v>44656.753472217795</v>
      </c>
      <c r="M1375" s="15"/>
    </row>
    <row r="1376" spans="2:13">
      <c r="L1376" s="3">
        <v>44656.756944440014</v>
      </c>
      <c r="M1376" s="15"/>
    </row>
    <row r="1377" spans="12:13">
      <c r="L1377" s="3">
        <v>44656.760416662233</v>
      </c>
      <c r="M1377" s="15"/>
    </row>
    <row r="1378" spans="12:13">
      <c r="L1378" s="3">
        <v>44656.763888884452</v>
      </c>
      <c r="M1378" s="15"/>
    </row>
    <row r="1379" spans="12:13">
      <c r="L1379" s="3">
        <v>44656.767361106671</v>
      </c>
      <c r="M1379" s="15"/>
    </row>
    <row r="1380" spans="12:13">
      <c r="L1380" s="3">
        <v>44656.77083332889</v>
      </c>
      <c r="M1380" s="15"/>
    </row>
    <row r="1381" spans="12:13">
      <c r="L1381" s="3">
        <v>44656.774305551109</v>
      </c>
      <c r="M1381" s="15"/>
    </row>
    <row r="1382" spans="12:13">
      <c r="L1382" s="3">
        <v>44656.777777773328</v>
      </c>
      <c r="M1382" s="15"/>
    </row>
    <row r="1383" spans="12:13">
      <c r="L1383" s="3">
        <v>44656.781249995547</v>
      </c>
      <c r="M1383" s="15"/>
    </row>
    <row r="1384" spans="12:13">
      <c r="L1384" s="3">
        <v>44656.784722217766</v>
      </c>
      <c r="M1384" s="15"/>
    </row>
    <row r="1385" spans="12:13">
      <c r="L1385" s="3">
        <v>44656.788194439985</v>
      </c>
      <c r="M1385" s="15"/>
    </row>
    <row r="1386" spans="12:13">
      <c r="L1386" s="3">
        <v>44656.791666662204</v>
      </c>
      <c r="M1386" s="15"/>
    </row>
    <row r="1387" spans="12:13">
      <c r="L1387" s="3">
        <v>44656.795138884423</v>
      </c>
      <c r="M1387" s="15"/>
    </row>
    <row r="1388" spans="12:13">
      <c r="L1388" s="3">
        <v>44656.798611106642</v>
      </c>
      <c r="M1388" s="15"/>
    </row>
    <row r="1389" spans="12:13">
      <c r="L1389" s="3">
        <v>44656.802083328861</v>
      </c>
      <c r="M1389" s="15"/>
    </row>
    <row r="1390" spans="12:13">
      <c r="L1390" s="3">
        <v>44656.80555555108</v>
      </c>
      <c r="M1390" s="15"/>
    </row>
    <row r="1391" spans="12:13">
      <c r="L1391" s="3">
        <v>44656.809027773299</v>
      </c>
      <c r="M1391" s="15"/>
    </row>
    <row r="1392" spans="12:13">
      <c r="L1392" s="3">
        <v>44656.812499995518</v>
      </c>
      <c r="M1392" s="15"/>
    </row>
    <row r="1393" spans="12:13">
      <c r="L1393" s="3">
        <v>44656.815972217737</v>
      </c>
      <c r="M1393" s="15"/>
    </row>
    <row r="1394" spans="12:13">
      <c r="L1394" s="3">
        <v>44656.819444439956</v>
      </c>
      <c r="M1394" s="15"/>
    </row>
    <row r="1395" spans="12:13">
      <c r="L1395" s="3">
        <v>44656.822916662175</v>
      </c>
      <c r="M1395" s="15"/>
    </row>
    <row r="1396" spans="12:13">
      <c r="L1396" s="3">
        <v>44656.826388884394</v>
      </c>
      <c r="M1396" s="15"/>
    </row>
    <row r="1397" spans="12:13">
      <c r="L1397" s="3">
        <v>44656.829861106613</v>
      </c>
      <c r="M1397" s="15"/>
    </row>
    <row r="1398" spans="12:13">
      <c r="L1398" s="3">
        <v>44656.833333328832</v>
      </c>
      <c r="M1398" s="15"/>
    </row>
    <row r="1399" spans="12:13">
      <c r="L1399" s="3">
        <v>44656.836805551051</v>
      </c>
      <c r="M1399" s="15"/>
    </row>
    <row r="1400" spans="12:13">
      <c r="L1400" s="3">
        <v>44656.84027777327</v>
      </c>
      <c r="M1400" s="15"/>
    </row>
    <row r="1401" spans="12:13">
      <c r="L1401" s="3">
        <v>44656.843749995489</v>
      </c>
      <c r="M1401" s="15"/>
    </row>
    <row r="1402" spans="12:13">
      <c r="L1402" s="3">
        <v>44656.847222217708</v>
      </c>
      <c r="M1402" s="15"/>
    </row>
    <row r="1403" spans="12:13">
      <c r="L1403" s="3">
        <v>44656.850694439927</v>
      </c>
      <c r="M1403" s="15"/>
    </row>
    <row r="1404" spans="12:13">
      <c r="L1404" s="3">
        <v>44656.854166662146</v>
      </c>
      <c r="M1404" s="15"/>
    </row>
    <row r="1405" spans="12:13">
      <c r="L1405" s="3">
        <v>44656.857638884365</v>
      </c>
      <c r="M1405" s="15"/>
    </row>
    <row r="1406" spans="12:13">
      <c r="L1406" s="3">
        <v>44656.861111106584</v>
      </c>
      <c r="M1406" s="15"/>
    </row>
    <row r="1407" spans="12:13">
      <c r="L1407" s="3">
        <v>44656.864583328803</v>
      </c>
      <c r="M1407" s="15"/>
    </row>
    <row r="1408" spans="12:13">
      <c r="L1408" s="3">
        <v>44656.868055551022</v>
      </c>
      <c r="M1408" s="15"/>
    </row>
    <row r="1409" spans="12:13">
      <c r="L1409" s="3">
        <v>44656.871527773241</v>
      </c>
      <c r="M1409" s="15"/>
    </row>
    <row r="1410" spans="12:13">
      <c r="L1410" s="3">
        <v>44656.87499999546</v>
      </c>
      <c r="M1410" s="15"/>
    </row>
    <row r="1411" spans="12:13">
      <c r="L1411" s="3">
        <v>44656.878472217679</v>
      </c>
      <c r="M1411" s="15"/>
    </row>
    <row r="1412" spans="12:13">
      <c r="L1412" s="3">
        <v>44656.881944439898</v>
      </c>
      <c r="M1412" s="15"/>
    </row>
    <row r="1413" spans="12:13">
      <c r="L1413" s="3">
        <v>44656.885416662117</v>
      </c>
      <c r="M1413" s="15"/>
    </row>
    <row r="1414" spans="12:13">
      <c r="L1414" s="3">
        <v>44656.888888884336</v>
      </c>
      <c r="M1414" s="15"/>
    </row>
    <row r="1415" spans="12:13">
      <c r="L1415" s="3">
        <v>44656.892361106555</v>
      </c>
      <c r="M1415" s="15"/>
    </row>
    <row r="1416" spans="12:13">
      <c r="L1416" s="3">
        <v>44656.895833328774</v>
      </c>
      <c r="M1416" s="15"/>
    </row>
    <row r="1417" spans="12:13">
      <c r="L1417" s="3">
        <v>44656.899305550993</v>
      </c>
      <c r="M1417" s="15"/>
    </row>
    <row r="1418" spans="12:13">
      <c r="L1418" s="3">
        <v>44656.902777773212</v>
      </c>
      <c r="M1418" s="15"/>
    </row>
    <row r="1419" spans="12:13">
      <c r="L1419" s="3">
        <v>44656.906249995431</v>
      </c>
      <c r="M1419" s="15"/>
    </row>
    <row r="1420" spans="12:13">
      <c r="L1420" s="3">
        <v>44656.90972221765</v>
      </c>
      <c r="M1420" s="15"/>
    </row>
    <row r="1421" spans="12:13">
      <c r="L1421" s="3">
        <v>44656.913194439869</v>
      </c>
      <c r="M1421" s="15"/>
    </row>
    <row r="1422" spans="12:13">
      <c r="L1422" s="3">
        <v>44656.916666662088</v>
      </c>
      <c r="M1422" s="15"/>
    </row>
    <row r="1423" spans="12:13">
      <c r="L1423" s="3">
        <v>44656.920138884307</v>
      </c>
      <c r="M1423" s="15"/>
    </row>
    <row r="1424" spans="12:13">
      <c r="L1424" s="3">
        <v>44656.923611106526</v>
      </c>
      <c r="M1424" s="15"/>
    </row>
    <row r="1425" spans="12:13">
      <c r="L1425" s="3">
        <v>44656.927083328745</v>
      </c>
      <c r="M1425" s="15"/>
    </row>
    <row r="1426" spans="12:13">
      <c r="L1426" s="3">
        <v>44656.930555550964</v>
      </c>
      <c r="M1426" s="15"/>
    </row>
    <row r="1427" spans="12:13">
      <c r="L1427" s="3">
        <v>44656.934027773183</v>
      </c>
      <c r="M1427" s="15"/>
    </row>
    <row r="1428" spans="12:13">
      <c r="L1428" s="3">
        <v>44656.937499995402</v>
      </c>
      <c r="M1428" s="15"/>
    </row>
    <row r="1429" spans="12:13">
      <c r="L1429" s="3">
        <v>44656.940972217621</v>
      </c>
      <c r="M1429" s="15"/>
    </row>
    <row r="1430" spans="12:13">
      <c r="L1430" s="3">
        <v>44656.94444443984</v>
      </c>
      <c r="M1430" s="15"/>
    </row>
    <row r="1431" spans="12:13">
      <c r="L1431" s="3">
        <v>44656.947916662059</v>
      </c>
      <c r="M1431" s="15"/>
    </row>
    <row r="1432" spans="12:13">
      <c r="L1432" s="3">
        <v>44656.951388884278</v>
      </c>
      <c r="M1432" s="15"/>
    </row>
    <row r="1433" spans="12:13">
      <c r="L1433" s="3">
        <v>44656.954861106497</v>
      </c>
      <c r="M1433" s="15"/>
    </row>
    <row r="1434" spans="12:13">
      <c r="L1434" s="3">
        <v>44656.958333328716</v>
      </c>
      <c r="M1434" s="15"/>
    </row>
    <row r="1435" spans="12:13">
      <c r="L1435" s="3">
        <v>44656.961805550935</v>
      </c>
      <c r="M1435" s="15"/>
    </row>
    <row r="1436" spans="12:13">
      <c r="L1436" s="3">
        <v>44656.965277773154</v>
      </c>
      <c r="M1436" s="15"/>
    </row>
    <row r="1437" spans="12:13">
      <c r="L1437" s="3">
        <v>44656.968749995372</v>
      </c>
      <c r="M1437" s="15"/>
    </row>
    <row r="1438" spans="12:13">
      <c r="L1438" s="3">
        <v>44656.972222217591</v>
      </c>
      <c r="M1438" s="15"/>
    </row>
    <row r="1439" spans="12:13">
      <c r="L1439" s="3">
        <v>44656.97569443981</v>
      </c>
      <c r="M1439" s="15"/>
    </row>
    <row r="1440" spans="12:13">
      <c r="L1440" s="3">
        <v>44656.979166662029</v>
      </c>
      <c r="M1440" s="15"/>
    </row>
    <row r="1441" spans="12:13">
      <c r="L1441" s="3">
        <v>44656.982638884248</v>
      </c>
      <c r="M1441" s="15"/>
    </row>
    <row r="1442" spans="12:13">
      <c r="L1442" s="3">
        <v>44656.986111106467</v>
      </c>
      <c r="M1442" s="15"/>
    </row>
    <row r="1443" spans="12:13">
      <c r="L1443" s="3">
        <v>44656.989583328686</v>
      </c>
      <c r="M1443" s="15"/>
    </row>
    <row r="1444" spans="12:13">
      <c r="L1444" s="3">
        <v>44656.993055550905</v>
      </c>
      <c r="M1444" s="15"/>
    </row>
    <row r="1445" spans="12:13">
      <c r="L1445" s="3">
        <v>44656.996527773124</v>
      </c>
      <c r="M1445" s="15"/>
    </row>
    <row r="1446" spans="12:13">
      <c r="L1446" s="3">
        <v>44656.999999995343</v>
      </c>
      <c r="M1446" s="15"/>
    </row>
    <row r="1447" spans="12:13">
      <c r="L1447" s="3">
        <v>44657.003472217562</v>
      </c>
      <c r="M1447" s="15"/>
    </row>
    <row r="1448" spans="12:13">
      <c r="L1448" s="3">
        <v>44657.006944439781</v>
      </c>
      <c r="M1448" s="15"/>
    </row>
    <row r="1449" spans="12:13">
      <c r="L1449" s="3">
        <v>44657.010416662</v>
      </c>
      <c r="M1449" s="15"/>
    </row>
    <row r="1450" spans="12:13">
      <c r="L1450" s="3">
        <v>44657.013888884219</v>
      </c>
      <c r="M1450" s="15"/>
    </row>
    <row r="1451" spans="12:13">
      <c r="L1451" s="3">
        <v>44657.017361106438</v>
      </c>
      <c r="M1451" s="15"/>
    </row>
    <row r="1452" spans="12:13">
      <c r="L1452" s="3">
        <v>44657.020833328657</v>
      </c>
      <c r="M1452" s="15"/>
    </row>
    <row r="1453" spans="12:13">
      <c r="L1453" s="3">
        <v>44657.024305550876</v>
      </c>
      <c r="M1453" s="15"/>
    </row>
    <row r="1454" spans="12:13">
      <c r="L1454" s="3">
        <v>44657.027777773095</v>
      </c>
      <c r="M1454" s="15"/>
    </row>
    <row r="1455" spans="12:13">
      <c r="L1455" s="3">
        <v>44657.031249995314</v>
      </c>
      <c r="M1455" s="15"/>
    </row>
    <row r="1456" spans="12:13">
      <c r="L1456" s="3">
        <v>44657.034722217533</v>
      </c>
      <c r="M1456" s="15"/>
    </row>
    <row r="1457" spans="12:13">
      <c r="L1457" s="3">
        <v>44657.038194439752</v>
      </c>
      <c r="M1457" s="15"/>
    </row>
    <row r="1458" spans="12:13">
      <c r="L1458" s="3">
        <v>44657.041666661971</v>
      </c>
      <c r="M1458" s="15"/>
    </row>
    <row r="1459" spans="12:13">
      <c r="L1459" s="3">
        <v>44657.04513888419</v>
      </c>
      <c r="M1459" s="15"/>
    </row>
    <row r="1460" spans="12:13">
      <c r="L1460" s="3">
        <v>44657.048611106409</v>
      </c>
      <c r="M1460" s="15"/>
    </row>
    <row r="1461" spans="12:13">
      <c r="L1461" s="3">
        <v>44657.052083328628</v>
      </c>
      <c r="M1461" s="15"/>
    </row>
    <row r="1462" spans="12:13">
      <c r="L1462" s="3">
        <v>44657.055555550847</v>
      </c>
      <c r="M1462" s="15"/>
    </row>
    <row r="1463" spans="12:13">
      <c r="L1463" s="3">
        <v>44657.059027773066</v>
      </c>
      <c r="M1463" s="15"/>
    </row>
    <row r="1464" spans="12:13">
      <c r="L1464" s="3">
        <v>44657.062499995285</v>
      </c>
      <c r="M1464" s="15"/>
    </row>
    <row r="1465" spans="12:13">
      <c r="L1465" s="3">
        <v>44657.065972217504</v>
      </c>
      <c r="M1465" s="15"/>
    </row>
    <row r="1466" spans="12:13">
      <c r="L1466" s="3">
        <v>44657.069444439723</v>
      </c>
      <c r="M1466" s="15"/>
    </row>
    <row r="1467" spans="12:13">
      <c r="L1467" s="3">
        <v>44657.072916661942</v>
      </c>
      <c r="M1467" s="15"/>
    </row>
    <row r="1468" spans="12:13">
      <c r="L1468" s="3">
        <v>44657.076388884161</v>
      </c>
      <c r="M1468" s="15"/>
    </row>
    <row r="1469" spans="12:13">
      <c r="L1469" s="3">
        <v>44657.07986110638</v>
      </c>
      <c r="M1469" s="15"/>
    </row>
    <row r="1470" spans="12:13">
      <c r="L1470" s="3">
        <v>44657.083333328599</v>
      </c>
      <c r="M1470" s="15"/>
    </row>
    <row r="1471" spans="12:13">
      <c r="L1471" s="3">
        <v>44657.086805550818</v>
      </c>
      <c r="M1471" s="15"/>
    </row>
    <row r="1472" spans="12:13">
      <c r="L1472" s="3">
        <v>44657.090277773037</v>
      </c>
      <c r="M1472" s="15"/>
    </row>
    <row r="1473" spans="12:13">
      <c r="L1473" s="3">
        <v>44657.093749995256</v>
      </c>
      <c r="M1473" s="15"/>
    </row>
    <row r="1474" spans="12:13">
      <c r="L1474" s="3">
        <v>44657.097222217475</v>
      </c>
      <c r="M1474" s="15"/>
    </row>
    <row r="1475" spans="12:13">
      <c r="L1475" s="3">
        <v>44657.100694439694</v>
      </c>
      <c r="M1475" s="15"/>
    </row>
    <row r="1476" spans="12:13">
      <c r="L1476" s="3">
        <v>44657.104166661913</v>
      </c>
      <c r="M1476" s="15"/>
    </row>
    <row r="1477" spans="12:13">
      <c r="L1477" s="3">
        <v>44657.107638884132</v>
      </c>
      <c r="M1477" s="15"/>
    </row>
    <row r="1478" spans="12:13">
      <c r="L1478" s="3">
        <v>44657.111111106351</v>
      </c>
      <c r="M1478" s="15"/>
    </row>
    <row r="1479" spans="12:13">
      <c r="L1479" s="3">
        <v>44657.11458332857</v>
      </c>
      <c r="M1479" s="15"/>
    </row>
    <row r="1480" spans="12:13">
      <c r="L1480" s="3">
        <v>44657.118055550789</v>
      </c>
      <c r="M1480" s="15"/>
    </row>
    <row r="1481" spans="12:13">
      <c r="L1481" s="3">
        <v>44657.121527773008</v>
      </c>
      <c r="M1481" s="15"/>
    </row>
    <row r="1482" spans="12:13">
      <c r="L1482" s="3">
        <v>44657.124999995227</v>
      </c>
      <c r="M1482" s="15"/>
    </row>
    <row r="1483" spans="12:13">
      <c r="L1483" s="3">
        <v>44657.128472217446</v>
      </c>
      <c r="M1483" s="15"/>
    </row>
    <row r="1484" spans="12:13">
      <c r="L1484" s="3">
        <v>44657.131944439665</v>
      </c>
      <c r="M1484" s="15"/>
    </row>
    <row r="1485" spans="12:13">
      <c r="L1485" s="3">
        <v>44657.135416661884</v>
      </c>
      <c r="M1485" s="15"/>
    </row>
    <row r="1486" spans="12:13">
      <c r="L1486" s="3">
        <v>44657.138888884103</v>
      </c>
      <c r="M1486" s="15"/>
    </row>
    <row r="1487" spans="12:13">
      <c r="L1487" s="3">
        <v>44657.142361106322</v>
      </c>
      <c r="M1487" s="15"/>
    </row>
    <row r="1488" spans="12:13">
      <c r="L1488" s="3">
        <v>44657.145833328541</v>
      </c>
      <c r="M1488" s="15"/>
    </row>
    <row r="1489" spans="12:13">
      <c r="L1489" s="3">
        <v>44657.14930555076</v>
      </c>
      <c r="M1489" s="15"/>
    </row>
    <row r="1490" spans="12:13">
      <c r="L1490" s="3">
        <v>44657.152777772979</v>
      </c>
      <c r="M1490" s="15"/>
    </row>
    <row r="1491" spans="12:13">
      <c r="L1491" s="3">
        <v>44657.156249995198</v>
      </c>
      <c r="M1491" s="15"/>
    </row>
    <row r="1492" spans="12:13">
      <c r="L1492" s="3">
        <v>44657.159722217417</v>
      </c>
      <c r="M1492" s="15"/>
    </row>
    <row r="1493" spans="12:13">
      <c r="L1493" s="3">
        <v>44657.163194439636</v>
      </c>
      <c r="M1493" s="15"/>
    </row>
    <row r="1494" spans="12:13">
      <c r="L1494" s="3">
        <v>44657.166666661855</v>
      </c>
      <c r="M1494" s="15"/>
    </row>
    <row r="1495" spans="12:13">
      <c r="L1495" s="3">
        <v>44657.170138884074</v>
      </c>
      <c r="M1495" s="15"/>
    </row>
    <row r="1496" spans="12:13">
      <c r="L1496" s="3">
        <v>44657.173611106293</v>
      </c>
      <c r="M1496" s="15"/>
    </row>
    <row r="1497" spans="12:13">
      <c r="L1497" s="3">
        <v>44657.177083328512</v>
      </c>
      <c r="M1497" s="15"/>
    </row>
    <row r="1498" spans="12:13">
      <c r="L1498" s="3">
        <v>44657.180555550731</v>
      </c>
      <c r="M1498" s="15"/>
    </row>
    <row r="1499" spans="12:13">
      <c r="L1499" s="3">
        <v>44657.18402777295</v>
      </c>
      <c r="M1499" s="15"/>
    </row>
    <row r="1500" spans="12:13">
      <c r="L1500" s="3">
        <v>44657.187499995169</v>
      </c>
      <c r="M1500" s="15"/>
    </row>
    <row r="1501" spans="12:13">
      <c r="L1501" s="3">
        <v>44657.190972217388</v>
      </c>
      <c r="M1501" s="15"/>
    </row>
    <row r="1502" spans="12:13">
      <c r="L1502" s="3">
        <v>44657.194444439607</v>
      </c>
      <c r="M1502" s="15"/>
    </row>
    <row r="1503" spans="12:13">
      <c r="L1503" s="3">
        <v>44657.197916661826</v>
      </c>
      <c r="M1503" s="15"/>
    </row>
    <row r="1504" spans="12:13">
      <c r="L1504" s="3">
        <v>44657.201388884045</v>
      </c>
      <c r="M1504" s="15"/>
    </row>
    <row r="1505" spans="12:13">
      <c r="L1505" s="3">
        <v>44657.204861106264</v>
      </c>
      <c r="M1505" s="15"/>
    </row>
    <row r="1506" spans="12:13">
      <c r="L1506" s="3">
        <v>44657.208333328483</v>
      </c>
      <c r="M1506" s="15"/>
    </row>
    <row r="1507" spans="12:13">
      <c r="L1507" s="3">
        <v>44657.211805550702</v>
      </c>
      <c r="M1507" s="15"/>
    </row>
    <row r="1508" spans="12:13">
      <c r="L1508" s="3">
        <v>44657.215277772921</v>
      </c>
      <c r="M1508" s="15"/>
    </row>
    <row r="1509" spans="12:13">
      <c r="L1509" s="3">
        <v>44657.21874999514</v>
      </c>
      <c r="M1509" s="15"/>
    </row>
    <row r="1510" spans="12:13">
      <c r="L1510" s="3">
        <v>44657.222222217359</v>
      </c>
      <c r="M1510" s="15"/>
    </row>
    <row r="1511" spans="12:13">
      <c r="L1511" s="3">
        <v>44657.225694439578</v>
      </c>
      <c r="M1511" s="15"/>
    </row>
    <row r="1512" spans="12:13">
      <c r="L1512" s="3">
        <v>44657.229166661797</v>
      </c>
      <c r="M1512" s="15"/>
    </row>
    <row r="1513" spans="12:13">
      <c r="L1513" s="3">
        <v>44657.232638884016</v>
      </c>
      <c r="M1513" s="15"/>
    </row>
    <row r="1514" spans="12:13">
      <c r="L1514" s="3">
        <v>44657.236111106235</v>
      </c>
      <c r="M1514" s="15"/>
    </row>
    <row r="1515" spans="12:13">
      <c r="L1515" s="3">
        <v>44657.239583328454</v>
      </c>
      <c r="M1515" s="15"/>
    </row>
    <row r="1516" spans="12:13">
      <c r="L1516" s="3">
        <v>44657.243055550673</v>
      </c>
      <c r="M1516" s="15"/>
    </row>
    <row r="1517" spans="12:13">
      <c r="L1517" s="3">
        <v>44657.246527772892</v>
      </c>
      <c r="M1517" s="15"/>
    </row>
    <row r="1518" spans="12:13">
      <c r="L1518" s="3">
        <v>44657.249999995111</v>
      </c>
      <c r="M1518" s="15"/>
    </row>
    <row r="1519" spans="12:13">
      <c r="L1519" s="3">
        <v>44657.25347221733</v>
      </c>
      <c r="M1519" s="15"/>
    </row>
    <row r="1520" spans="12:13">
      <c r="L1520" s="3">
        <v>44657.256944439549</v>
      </c>
      <c r="M1520" s="15"/>
    </row>
    <row r="1521" spans="12:13">
      <c r="L1521" s="3">
        <v>44657.260416661768</v>
      </c>
      <c r="M1521" s="15"/>
    </row>
    <row r="1522" spans="12:13">
      <c r="L1522" s="3">
        <v>44657.263888883987</v>
      </c>
      <c r="M1522" s="15"/>
    </row>
    <row r="1523" spans="12:13">
      <c r="L1523" s="3">
        <v>44657.267361106205</v>
      </c>
      <c r="M1523" s="15"/>
    </row>
    <row r="1524" spans="12:13">
      <c r="L1524" s="3">
        <v>44657.270833328424</v>
      </c>
      <c r="M1524" s="15"/>
    </row>
    <row r="1525" spans="12:13">
      <c r="L1525" s="3">
        <v>44657.274305550643</v>
      </c>
      <c r="M1525" s="15"/>
    </row>
    <row r="1526" spans="12:13">
      <c r="L1526" s="3">
        <v>44657.277777772862</v>
      </c>
      <c r="M1526" s="15"/>
    </row>
    <row r="1527" spans="12:13">
      <c r="L1527" s="3">
        <v>44657.281249995081</v>
      </c>
      <c r="M1527" s="15"/>
    </row>
    <row r="1528" spans="12:13">
      <c r="L1528" s="3">
        <v>44657.2847222173</v>
      </c>
      <c r="M1528" s="15"/>
    </row>
    <row r="1529" spans="12:13">
      <c r="L1529" s="3">
        <v>44657.288194439519</v>
      </c>
      <c r="M1529" s="15"/>
    </row>
    <row r="1530" spans="12:13">
      <c r="L1530" s="3">
        <v>44657.291666661738</v>
      </c>
      <c r="M1530" s="15"/>
    </row>
    <row r="1531" spans="12:13">
      <c r="L1531" s="3">
        <v>44657.295138883957</v>
      </c>
      <c r="M1531" s="15"/>
    </row>
    <row r="1532" spans="12:13">
      <c r="L1532" s="3">
        <v>44657.298611106176</v>
      </c>
      <c r="M1532" s="15"/>
    </row>
    <row r="1533" spans="12:13">
      <c r="L1533" s="3">
        <v>44657.302083328395</v>
      </c>
      <c r="M1533" s="15"/>
    </row>
    <row r="1534" spans="12:13">
      <c r="L1534" s="3">
        <v>44657.305555550614</v>
      </c>
      <c r="M1534" s="15"/>
    </row>
    <row r="1535" spans="12:13">
      <c r="L1535" s="3">
        <v>44657.309027772833</v>
      </c>
      <c r="M1535" s="15"/>
    </row>
    <row r="1536" spans="12:13">
      <c r="L1536" s="3">
        <v>44657.312499995052</v>
      </c>
      <c r="M1536" s="15"/>
    </row>
    <row r="1537" spans="12:13">
      <c r="L1537" s="3">
        <v>44657.315972217271</v>
      </c>
      <c r="M1537" s="15"/>
    </row>
    <row r="1538" spans="12:13">
      <c r="L1538" s="3">
        <v>44657.31944443949</v>
      </c>
      <c r="M1538" s="15"/>
    </row>
    <row r="1539" spans="12:13">
      <c r="L1539" s="3">
        <v>44657.322916661709</v>
      </c>
      <c r="M1539" s="15"/>
    </row>
    <row r="1540" spans="12:13">
      <c r="L1540" s="3">
        <v>44657.326388883928</v>
      </c>
      <c r="M1540" s="15"/>
    </row>
    <row r="1541" spans="12:13">
      <c r="L1541" s="3">
        <v>44657.329861106147</v>
      </c>
      <c r="M1541" s="15"/>
    </row>
    <row r="1542" spans="12:13">
      <c r="L1542" s="3">
        <v>44657.333333328366</v>
      </c>
      <c r="M1542" s="15"/>
    </row>
    <row r="1543" spans="12:13">
      <c r="L1543" s="3">
        <v>44657.336805550585</v>
      </c>
      <c r="M1543" s="15"/>
    </row>
    <row r="1544" spans="12:13">
      <c r="L1544" s="3">
        <v>44657.340277772804</v>
      </c>
      <c r="M1544" s="15"/>
    </row>
    <row r="1545" spans="12:13">
      <c r="L1545" s="3">
        <v>44657.343749995023</v>
      </c>
      <c r="M1545" s="15"/>
    </row>
    <row r="1546" spans="12:13">
      <c r="L1546" s="3">
        <v>44657.347222217242</v>
      </c>
      <c r="M1546" s="15"/>
    </row>
    <row r="1547" spans="12:13">
      <c r="L1547" s="3">
        <v>44657.350694439461</v>
      </c>
      <c r="M1547" s="15"/>
    </row>
    <row r="1548" spans="12:13">
      <c r="L1548" s="3">
        <v>44657.35416666168</v>
      </c>
      <c r="M1548" s="15"/>
    </row>
    <row r="1549" spans="12:13">
      <c r="L1549" s="3">
        <v>44657.357638883899</v>
      </c>
      <c r="M1549" s="15"/>
    </row>
    <row r="1550" spans="12:13">
      <c r="L1550" s="3">
        <v>44657.361111106118</v>
      </c>
      <c r="M1550" s="15"/>
    </row>
    <row r="1551" spans="12:13">
      <c r="L1551" s="3">
        <v>44657.364583328337</v>
      </c>
      <c r="M1551" s="15"/>
    </row>
    <row r="1552" spans="12:13">
      <c r="L1552" s="3">
        <v>44657.368055550556</v>
      </c>
      <c r="M1552" s="15"/>
    </row>
    <row r="1553" spans="12:13">
      <c r="L1553" s="3">
        <v>44657.371527772775</v>
      </c>
      <c r="M1553" s="15"/>
    </row>
    <row r="1554" spans="12:13">
      <c r="L1554" s="3">
        <v>44657.374999994994</v>
      </c>
      <c r="M1554" s="15"/>
    </row>
    <row r="1555" spans="12:13">
      <c r="L1555" s="3">
        <v>44657.378472217213</v>
      </c>
      <c r="M1555" s="15"/>
    </row>
    <row r="1556" spans="12:13">
      <c r="L1556" s="3">
        <v>44657.381944439432</v>
      </c>
      <c r="M1556" s="15"/>
    </row>
    <row r="1557" spans="12:13">
      <c r="L1557" s="3">
        <v>44657.385416661651</v>
      </c>
      <c r="M1557" s="15"/>
    </row>
    <row r="1558" spans="12:13">
      <c r="L1558" s="3">
        <v>44657.38888888387</v>
      </c>
      <c r="M1558" s="15"/>
    </row>
    <row r="1559" spans="12:13">
      <c r="L1559" s="3">
        <v>44657.392361106089</v>
      </c>
      <c r="M1559" s="15"/>
    </row>
    <row r="1560" spans="12:13">
      <c r="L1560" s="3">
        <v>44657.395833328308</v>
      </c>
      <c r="M1560" s="15"/>
    </row>
    <row r="1561" spans="12:13">
      <c r="L1561" s="3">
        <v>44657.399305550527</v>
      </c>
      <c r="M1561" s="15"/>
    </row>
    <row r="1562" spans="12:13">
      <c r="L1562" s="3">
        <v>44657.402777772746</v>
      </c>
      <c r="M1562" s="15"/>
    </row>
    <row r="1563" spans="12:13">
      <c r="L1563" s="3">
        <v>44657.406249994965</v>
      </c>
      <c r="M1563" s="15"/>
    </row>
    <row r="1564" spans="12:13">
      <c r="L1564" s="3">
        <v>44657.409722217184</v>
      </c>
      <c r="M1564" s="15"/>
    </row>
    <row r="1565" spans="12:13">
      <c r="L1565" s="3">
        <v>44657.413194439403</v>
      </c>
      <c r="M1565" s="15"/>
    </row>
    <row r="1566" spans="12:13">
      <c r="L1566" s="3">
        <v>44657.416666661622</v>
      </c>
      <c r="M1566" s="15"/>
    </row>
    <row r="1567" spans="12:13">
      <c r="L1567" s="3">
        <v>44657.420138883841</v>
      </c>
      <c r="M1567" s="15"/>
    </row>
    <row r="1568" spans="12:13">
      <c r="L1568" s="3">
        <v>44657.42361110606</v>
      </c>
      <c r="M1568" s="15"/>
    </row>
    <row r="1569" spans="12:13">
      <c r="L1569" s="3">
        <v>44657.427083328279</v>
      </c>
      <c r="M1569" s="15"/>
    </row>
    <row r="1570" spans="12:13">
      <c r="L1570" s="3">
        <v>44657.430555550498</v>
      </c>
      <c r="M1570" s="15"/>
    </row>
    <row r="1571" spans="12:13">
      <c r="L1571" s="3">
        <v>44657.434027772717</v>
      </c>
      <c r="M1571" s="15"/>
    </row>
    <row r="1572" spans="12:13">
      <c r="L1572" s="3">
        <v>44657.437499994936</v>
      </c>
      <c r="M1572" s="15"/>
    </row>
    <row r="1573" spans="12:13">
      <c r="L1573" s="3">
        <v>44657.440972217155</v>
      </c>
      <c r="M1573" s="15"/>
    </row>
    <row r="1574" spans="12:13">
      <c r="L1574" s="3">
        <v>44657.444444439374</v>
      </c>
      <c r="M1574" s="15"/>
    </row>
    <row r="1575" spans="12:13">
      <c r="L1575" s="3">
        <v>44657.447916661593</v>
      </c>
      <c r="M1575" s="15"/>
    </row>
    <row r="1576" spans="12:13">
      <c r="L1576" s="3">
        <v>44657.451388883812</v>
      </c>
      <c r="M1576" s="15"/>
    </row>
    <row r="1577" spans="12:13">
      <c r="L1577" s="3">
        <v>44657.454861106031</v>
      </c>
      <c r="M1577" s="15"/>
    </row>
    <row r="1578" spans="12:13">
      <c r="L1578" s="3">
        <v>44657.45833332825</v>
      </c>
      <c r="M1578" s="15"/>
    </row>
    <row r="1579" spans="12:13">
      <c r="L1579" s="3">
        <v>44657.461805550469</v>
      </c>
      <c r="M1579" s="15"/>
    </row>
    <row r="1580" spans="12:13">
      <c r="L1580" s="3">
        <v>44657.465277772688</v>
      </c>
      <c r="M1580" s="15"/>
    </row>
    <row r="1581" spans="12:13">
      <c r="L1581" s="3">
        <v>44657.468749994907</v>
      </c>
      <c r="M1581" s="15"/>
    </row>
    <row r="1582" spans="12:13">
      <c r="L1582" s="3">
        <v>44657.472222217126</v>
      </c>
      <c r="M1582" s="15"/>
    </row>
    <row r="1583" spans="12:13">
      <c r="L1583" s="3">
        <v>44657.475694439345</v>
      </c>
      <c r="M1583" s="15"/>
    </row>
    <row r="1584" spans="12:13">
      <c r="L1584" s="3">
        <v>44657.479166661564</v>
      </c>
      <c r="M1584" s="15"/>
    </row>
    <row r="1585" spans="12:13">
      <c r="L1585" s="3">
        <v>44657.482638883783</v>
      </c>
      <c r="M1585" s="15"/>
    </row>
    <row r="1586" spans="12:13">
      <c r="L1586" s="3">
        <v>44657.486111106002</v>
      </c>
      <c r="M1586" s="15"/>
    </row>
    <row r="1587" spans="12:13">
      <c r="L1587" s="3">
        <v>44657.489583328221</v>
      </c>
      <c r="M1587" s="15"/>
    </row>
    <row r="1588" spans="12:13">
      <c r="L1588" s="3">
        <v>44657.49305555044</v>
      </c>
      <c r="M1588" s="15"/>
    </row>
    <row r="1589" spans="12:13">
      <c r="L1589" s="3">
        <v>44657.496527772659</v>
      </c>
      <c r="M1589" s="15"/>
    </row>
    <row r="1590" spans="12:13">
      <c r="L1590" s="3">
        <v>44657.499999994878</v>
      </c>
      <c r="M1590" s="15"/>
    </row>
    <row r="1591" spans="12:13">
      <c r="L1591" s="3">
        <v>44657.503472217097</v>
      </c>
      <c r="M1591" s="15"/>
    </row>
    <row r="1592" spans="12:13">
      <c r="L1592" s="3">
        <v>44657.506944439316</v>
      </c>
      <c r="M1592" s="15"/>
    </row>
    <row r="1593" spans="12:13">
      <c r="L1593" s="3">
        <v>44657.510416661535</v>
      </c>
      <c r="M1593" s="15"/>
    </row>
    <row r="1594" spans="12:13">
      <c r="L1594" s="3">
        <v>44657.513888883754</v>
      </c>
      <c r="M1594" s="15"/>
    </row>
    <row r="1595" spans="12:13">
      <c r="L1595" s="3">
        <v>44657.517361105973</v>
      </c>
      <c r="M1595" s="15"/>
    </row>
    <row r="1596" spans="12:13">
      <c r="L1596" s="3">
        <v>44657.520833328192</v>
      </c>
      <c r="M1596" s="15"/>
    </row>
    <row r="1597" spans="12:13">
      <c r="L1597" s="3">
        <v>44657.524305550411</v>
      </c>
      <c r="M1597" s="15"/>
    </row>
    <row r="1598" spans="12:13">
      <c r="L1598" s="3">
        <v>44657.52777777263</v>
      </c>
      <c r="M1598" s="15"/>
    </row>
    <row r="1599" spans="12:13">
      <c r="L1599" s="3">
        <v>44657.531249994849</v>
      </c>
      <c r="M1599" s="15"/>
    </row>
    <row r="1600" spans="12:13">
      <c r="L1600" s="3">
        <v>44657.534722217068</v>
      </c>
      <c r="M1600" s="15"/>
    </row>
    <row r="1601" spans="12:13">
      <c r="L1601" s="3">
        <v>44657.538194439287</v>
      </c>
      <c r="M1601" s="15"/>
    </row>
    <row r="1602" spans="12:13">
      <c r="L1602" s="3">
        <v>44657.541666661506</v>
      </c>
      <c r="M1602" s="15"/>
    </row>
    <row r="1603" spans="12:13">
      <c r="L1603" s="3">
        <v>44657.545138883725</v>
      </c>
      <c r="M1603" s="15"/>
    </row>
    <row r="1604" spans="12:13">
      <c r="L1604" s="3">
        <v>44657.548611105944</v>
      </c>
      <c r="M1604" s="15"/>
    </row>
    <row r="1605" spans="12:13">
      <c r="L1605" s="3">
        <v>44657.552083328163</v>
      </c>
      <c r="M1605" s="15"/>
    </row>
    <row r="1606" spans="12:13">
      <c r="L1606" s="3">
        <v>44657.555555550382</v>
      </c>
      <c r="M1606" s="15"/>
    </row>
    <row r="1607" spans="12:13">
      <c r="L1607" s="3">
        <v>44657.559027772601</v>
      </c>
      <c r="M1607" s="15"/>
    </row>
    <row r="1608" spans="12:13">
      <c r="L1608" s="3">
        <v>44657.56249999482</v>
      </c>
      <c r="M1608" s="15"/>
    </row>
    <row r="1609" spans="12:13">
      <c r="L1609" s="3">
        <v>44657.565972217039</v>
      </c>
      <c r="M1609" s="15"/>
    </row>
    <row r="1610" spans="12:13">
      <c r="L1610" s="3">
        <v>44657.569444439257</v>
      </c>
      <c r="M1610" s="15"/>
    </row>
    <row r="1611" spans="12:13">
      <c r="L1611" s="3">
        <v>44657.572916661476</v>
      </c>
      <c r="M1611" s="15"/>
    </row>
    <row r="1612" spans="12:13">
      <c r="L1612" s="3">
        <v>44657.576388883695</v>
      </c>
      <c r="M1612" s="15"/>
    </row>
    <row r="1613" spans="12:13">
      <c r="L1613" s="3">
        <v>44657.579861105914</v>
      </c>
      <c r="M1613" s="15"/>
    </row>
    <row r="1614" spans="12:13">
      <c r="L1614" s="3">
        <v>44657.583333328133</v>
      </c>
      <c r="M1614" s="15"/>
    </row>
    <row r="1615" spans="12:13">
      <c r="L1615" s="3">
        <v>44657.586805550352</v>
      </c>
      <c r="M1615" s="15"/>
    </row>
    <row r="1616" spans="12:13">
      <c r="L1616" s="3">
        <v>44657.590277772571</v>
      </c>
      <c r="M1616" s="15"/>
    </row>
    <row r="1617" spans="12:13">
      <c r="L1617" s="3">
        <v>44657.59374999479</v>
      </c>
      <c r="M1617" s="15"/>
    </row>
    <row r="1618" spans="12:13">
      <c r="L1618" s="3">
        <v>44657.597222217009</v>
      </c>
      <c r="M1618" s="15"/>
    </row>
    <row r="1619" spans="12:13">
      <c r="L1619" s="3">
        <v>44657.600694439228</v>
      </c>
      <c r="M1619" s="15"/>
    </row>
    <row r="1620" spans="12:13">
      <c r="L1620" s="3">
        <v>44657.604166661447</v>
      </c>
      <c r="M1620" s="15"/>
    </row>
    <row r="1621" spans="12:13">
      <c r="L1621" s="3">
        <v>44657.607638883666</v>
      </c>
      <c r="M1621" s="15"/>
    </row>
    <row r="1622" spans="12:13">
      <c r="L1622" s="3">
        <v>44657.611111105885</v>
      </c>
      <c r="M1622" s="15"/>
    </row>
    <row r="1623" spans="12:13">
      <c r="L1623" s="3">
        <v>44657.614583328104</v>
      </c>
      <c r="M1623" s="15"/>
    </row>
    <row r="1624" spans="12:13">
      <c r="L1624" s="3">
        <v>44657.618055550323</v>
      </c>
      <c r="M1624" s="15"/>
    </row>
    <row r="1625" spans="12:13">
      <c r="L1625" s="3">
        <v>44657.621527772542</v>
      </c>
      <c r="M1625" s="15"/>
    </row>
    <row r="1626" spans="12:13">
      <c r="L1626" s="3">
        <v>44657.624999994761</v>
      </c>
      <c r="M1626" s="15"/>
    </row>
    <row r="1627" spans="12:13">
      <c r="L1627" s="3">
        <v>44657.62847221698</v>
      </c>
      <c r="M1627" s="15"/>
    </row>
    <row r="1628" spans="12:13">
      <c r="L1628" s="3">
        <v>44657.631944439199</v>
      </c>
      <c r="M1628" s="15"/>
    </row>
    <row r="1629" spans="12:13">
      <c r="L1629" s="3">
        <v>44657.635416661418</v>
      </c>
      <c r="M1629" s="15"/>
    </row>
    <row r="1630" spans="12:13">
      <c r="L1630" s="3">
        <v>44657.638888883637</v>
      </c>
      <c r="M1630" s="15"/>
    </row>
    <row r="1631" spans="12:13">
      <c r="L1631" s="3">
        <v>44657.642361105856</v>
      </c>
      <c r="M1631" s="15"/>
    </row>
    <row r="1632" spans="12:13">
      <c r="L1632" s="3">
        <v>44657.645833328075</v>
      </c>
      <c r="M1632" s="15"/>
    </row>
    <row r="1633" spans="12:13">
      <c r="L1633" s="3">
        <v>44657.649305550294</v>
      </c>
      <c r="M1633" s="15"/>
    </row>
    <row r="1634" spans="12:13">
      <c r="L1634" s="3">
        <v>44657.652777772513</v>
      </c>
      <c r="M1634" s="15"/>
    </row>
    <row r="1635" spans="12:13">
      <c r="L1635" s="3">
        <v>44657.656249994732</v>
      </c>
      <c r="M1635" s="15"/>
    </row>
    <row r="1636" spans="12:13">
      <c r="L1636" s="3">
        <v>44657.659722216951</v>
      </c>
      <c r="M1636" s="15"/>
    </row>
    <row r="1637" spans="12:13">
      <c r="L1637" s="3">
        <v>44657.66319443917</v>
      </c>
      <c r="M1637" s="15"/>
    </row>
    <row r="1638" spans="12:13">
      <c r="L1638" s="3">
        <v>44657.666666661389</v>
      </c>
      <c r="M1638" s="15"/>
    </row>
    <row r="1639" spans="12:13">
      <c r="L1639" s="3">
        <v>44657.670138883608</v>
      </c>
      <c r="M1639" s="15"/>
    </row>
    <row r="1640" spans="12:13">
      <c r="L1640" s="3">
        <v>44657.673611105827</v>
      </c>
      <c r="M1640" s="15"/>
    </row>
    <row r="1641" spans="12:13">
      <c r="L1641" s="3">
        <v>44657.677083328046</v>
      </c>
      <c r="M1641" s="15"/>
    </row>
    <row r="1642" spans="12:13">
      <c r="L1642" s="3">
        <v>44657.680555550265</v>
      </c>
      <c r="M1642" s="15"/>
    </row>
    <row r="1643" spans="12:13">
      <c r="L1643" s="3">
        <v>44657.684027772484</v>
      </c>
      <c r="M1643" s="15"/>
    </row>
    <row r="1644" spans="12:13">
      <c r="L1644" s="3">
        <v>44657.687499994703</v>
      </c>
      <c r="M1644" s="15"/>
    </row>
    <row r="1645" spans="12:13">
      <c r="L1645" s="3">
        <v>44657.690972216922</v>
      </c>
      <c r="M1645" s="15"/>
    </row>
    <row r="1646" spans="12:13">
      <c r="L1646" s="3">
        <v>44657.694444439141</v>
      </c>
      <c r="M1646" s="15"/>
    </row>
    <row r="1647" spans="12:13">
      <c r="L1647" s="3">
        <v>44657.69791666136</v>
      </c>
      <c r="M1647" s="15"/>
    </row>
    <row r="1648" spans="12:13">
      <c r="L1648" s="3">
        <v>44657.701388883579</v>
      </c>
      <c r="M1648" s="15"/>
    </row>
    <row r="1649" spans="12:13">
      <c r="L1649" s="3">
        <v>44657.704861105798</v>
      </c>
      <c r="M1649" s="15"/>
    </row>
    <row r="1650" spans="12:13">
      <c r="L1650" s="3">
        <v>44657.708333328017</v>
      </c>
      <c r="M1650" s="15"/>
    </row>
    <row r="1651" spans="12:13">
      <c r="L1651" s="3">
        <v>44657.711805550236</v>
      </c>
      <c r="M1651" s="15"/>
    </row>
    <row r="1652" spans="12:13">
      <c r="L1652" s="3">
        <v>44657.715277772455</v>
      </c>
      <c r="M1652" s="15"/>
    </row>
    <row r="1653" spans="12:13">
      <c r="L1653" s="3">
        <v>44657.718749994674</v>
      </c>
      <c r="M1653" s="15"/>
    </row>
    <row r="1654" spans="12:13">
      <c r="L1654" s="3">
        <v>44657.722222216893</v>
      </c>
      <c r="M1654" s="15"/>
    </row>
    <row r="1655" spans="12:13">
      <c r="L1655" s="3">
        <v>44657.725694439112</v>
      </c>
      <c r="M1655" s="15"/>
    </row>
    <row r="1656" spans="12:13">
      <c r="L1656" s="3">
        <v>44657.729166661331</v>
      </c>
      <c r="M1656" s="15"/>
    </row>
    <row r="1657" spans="12:13">
      <c r="L1657" s="3">
        <v>44657.73263888355</v>
      </c>
      <c r="M1657" s="15"/>
    </row>
    <row r="1658" spans="12:13">
      <c r="L1658" s="3">
        <v>44657.736111105769</v>
      </c>
      <c r="M1658" s="15"/>
    </row>
    <row r="1659" spans="12:13">
      <c r="L1659" s="3">
        <v>44657.739583327988</v>
      </c>
      <c r="M1659" s="15"/>
    </row>
    <row r="1660" spans="12:13">
      <c r="L1660" s="3">
        <v>44657.743055550207</v>
      </c>
      <c r="M1660" s="15"/>
    </row>
    <row r="1661" spans="12:13">
      <c r="L1661" s="3">
        <v>44657.746527772426</v>
      </c>
      <c r="M1661" s="15"/>
    </row>
    <row r="1662" spans="12:13">
      <c r="L1662" s="3">
        <v>44657.749999994645</v>
      </c>
      <c r="M1662" s="15"/>
    </row>
    <row r="1663" spans="12:13">
      <c r="L1663" s="3">
        <v>44657.753472216864</v>
      </c>
      <c r="M1663" s="15"/>
    </row>
    <row r="1664" spans="12:13">
      <c r="L1664" s="3">
        <v>44657.756944439083</v>
      </c>
      <c r="M1664" s="15"/>
    </row>
    <row r="1665" spans="12:13">
      <c r="L1665" s="3">
        <v>44657.760416661302</v>
      </c>
      <c r="M1665" s="15"/>
    </row>
    <row r="1666" spans="12:13">
      <c r="L1666" s="3">
        <v>44657.763888883521</v>
      </c>
      <c r="M1666" s="15"/>
    </row>
    <row r="1667" spans="12:13">
      <c r="L1667" s="3">
        <v>44657.76736110574</v>
      </c>
      <c r="M1667" s="15"/>
    </row>
    <row r="1668" spans="12:13">
      <c r="L1668" s="3">
        <v>44657.770833327959</v>
      </c>
      <c r="M1668" s="15"/>
    </row>
    <row r="1669" spans="12:13">
      <c r="L1669" s="3">
        <v>44657.774305550178</v>
      </c>
      <c r="M1669" s="15"/>
    </row>
    <row r="1670" spans="12:13">
      <c r="L1670" s="3">
        <v>44657.777777772397</v>
      </c>
      <c r="M1670" s="15"/>
    </row>
    <row r="1671" spans="12:13">
      <c r="L1671" s="3">
        <v>44657.781249994616</v>
      </c>
      <c r="M1671" s="15"/>
    </row>
    <row r="1672" spans="12:13">
      <c r="L1672" s="3">
        <v>44657.784722216835</v>
      </c>
      <c r="M1672" s="15"/>
    </row>
    <row r="1673" spans="12:13">
      <c r="L1673" s="3">
        <v>44657.788194439054</v>
      </c>
      <c r="M1673" s="15"/>
    </row>
    <row r="1674" spans="12:13">
      <c r="L1674" s="3">
        <v>44657.791666661273</v>
      </c>
      <c r="M1674" s="15"/>
    </row>
    <row r="1675" spans="12:13">
      <c r="L1675" s="3">
        <v>44657.795138883492</v>
      </c>
      <c r="M1675" s="15"/>
    </row>
    <row r="1676" spans="12:13">
      <c r="L1676" s="3">
        <v>44657.798611105711</v>
      </c>
      <c r="M1676" s="15"/>
    </row>
    <row r="1677" spans="12:13">
      <c r="L1677" s="3">
        <v>44657.80208332793</v>
      </c>
      <c r="M1677" s="15"/>
    </row>
    <row r="1678" spans="12:13">
      <c r="L1678" s="3">
        <v>44657.805555550149</v>
      </c>
      <c r="M1678" s="15"/>
    </row>
    <row r="1679" spans="12:13">
      <c r="L1679" s="3">
        <v>44657.809027772368</v>
      </c>
      <c r="M1679" s="15"/>
    </row>
    <row r="1680" spans="12:13">
      <c r="L1680" s="3">
        <v>44657.812499994587</v>
      </c>
      <c r="M1680" s="15"/>
    </row>
    <row r="1681" spans="12:13">
      <c r="L1681" s="3">
        <v>44657.815972216806</v>
      </c>
      <c r="M1681" s="15"/>
    </row>
    <row r="1682" spans="12:13">
      <c r="L1682" s="3">
        <v>44657.819444439025</v>
      </c>
      <c r="M1682" s="15"/>
    </row>
    <row r="1683" spans="12:13">
      <c r="L1683" s="3">
        <v>44657.822916661244</v>
      </c>
      <c r="M1683" s="15"/>
    </row>
    <row r="1684" spans="12:13">
      <c r="L1684" s="3">
        <v>44657.826388883463</v>
      </c>
      <c r="M1684" s="15"/>
    </row>
    <row r="1685" spans="12:13">
      <c r="L1685" s="3">
        <v>44657.829861105682</v>
      </c>
      <c r="M1685" s="15"/>
    </row>
    <row r="1686" spans="12:13">
      <c r="L1686" s="3">
        <v>44657.833333327901</v>
      </c>
      <c r="M1686" s="15"/>
    </row>
    <row r="1687" spans="12:13">
      <c r="L1687" s="3">
        <v>44657.83680555012</v>
      </c>
      <c r="M1687" s="15"/>
    </row>
    <row r="1688" spans="12:13">
      <c r="L1688" s="3">
        <v>44657.840277772339</v>
      </c>
      <c r="M1688" s="15"/>
    </row>
    <row r="1689" spans="12:13">
      <c r="L1689" s="3">
        <v>44657.843749994558</v>
      </c>
      <c r="M1689" s="15"/>
    </row>
    <row r="1690" spans="12:13">
      <c r="L1690" s="3">
        <v>44657.847222216777</v>
      </c>
      <c r="M1690" s="15"/>
    </row>
    <row r="1691" spans="12:13">
      <c r="L1691" s="3">
        <v>44657.850694438996</v>
      </c>
      <c r="M1691" s="15"/>
    </row>
    <row r="1692" spans="12:13">
      <c r="L1692" s="3">
        <v>44657.854166661215</v>
      </c>
      <c r="M1692" s="15"/>
    </row>
    <row r="1693" spans="12:13">
      <c r="L1693" s="3">
        <v>44657.857638883434</v>
      </c>
      <c r="M1693" s="15"/>
    </row>
    <row r="1694" spans="12:13">
      <c r="L1694" s="3">
        <v>44657.861111105653</v>
      </c>
      <c r="M1694" s="15"/>
    </row>
    <row r="1695" spans="12:13">
      <c r="L1695" s="3">
        <v>44657.864583327872</v>
      </c>
      <c r="M1695" s="15"/>
    </row>
    <row r="1696" spans="12:13">
      <c r="L1696" s="3">
        <v>44657.868055550091</v>
      </c>
      <c r="M1696" s="15"/>
    </row>
    <row r="1697" spans="12:13">
      <c r="L1697" s="3">
        <v>44657.871527772309</v>
      </c>
      <c r="M1697" s="15"/>
    </row>
    <row r="1698" spans="12:13">
      <c r="L1698" s="3">
        <v>44657.874999994528</v>
      </c>
      <c r="M1698" s="15"/>
    </row>
    <row r="1699" spans="12:13">
      <c r="L1699" s="3">
        <v>44657.878472216747</v>
      </c>
      <c r="M1699" s="15"/>
    </row>
    <row r="1700" spans="12:13">
      <c r="L1700" s="3">
        <v>44657.881944438966</v>
      </c>
      <c r="M1700" s="15"/>
    </row>
    <row r="1701" spans="12:13">
      <c r="L1701" s="3">
        <v>44657.885416661185</v>
      </c>
      <c r="M1701" s="15"/>
    </row>
    <row r="1702" spans="12:13">
      <c r="L1702" s="3">
        <v>44657.888888883404</v>
      </c>
      <c r="M1702" s="15"/>
    </row>
    <row r="1703" spans="12:13">
      <c r="L1703" s="3">
        <v>44657.892361105623</v>
      </c>
      <c r="M1703" s="15"/>
    </row>
    <row r="1704" spans="12:13">
      <c r="L1704" s="3">
        <v>44657.895833327842</v>
      </c>
      <c r="M1704" s="15"/>
    </row>
    <row r="1705" spans="12:13">
      <c r="L1705" s="3">
        <v>44657.899305550061</v>
      </c>
      <c r="M1705" s="15"/>
    </row>
    <row r="1706" spans="12:13">
      <c r="L1706" s="3">
        <v>44657.90277777228</v>
      </c>
      <c r="M1706" s="15"/>
    </row>
    <row r="1707" spans="12:13">
      <c r="L1707" s="3">
        <v>44657.906249994499</v>
      </c>
      <c r="M1707" s="15"/>
    </row>
    <row r="1708" spans="12:13">
      <c r="L1708" s="3">
        <v>44657.909722216718</v>
      </c>
      <c r="M1708" s="15"/>
    </row>
    <row r="1709" spans="12:13">
      <c r="L1709" s="3">
        <v>44657.913194438937</v>
      </c>
      <c r="M1709" s="15"/>
    </row>
    <row r="1710" spans="12:13">
      <c r="L1710" s="3">
        <v>44657.916666661156</v>
      </c>
      <c r="M1710" s="15"/>
    </row>
    <row r="1711" spans="12:13">
      <c r="L1711" s="3">
        <v>44657.920138883375</v>
      </c>
      <c r="M1711" s="15"/>
    </row>
    <row r="1712" spans="12:13">
      <c r="L1712" s="3">
        <v>44657.923611105594</v>
      </c>
      <c r="M1712" s="15"/>
    </row>
    <row r="1713" spans="12:13">
      <c r="L1713" s="3">
        <v>44657.927083327813</v>
      </c>
      <c r="M1713" s="15"/>
    </row>
    <row r="1714" spans="12:13">
      <c r="L1714" s="3">
        <v>44657.930555550032</v>
      </c>
      <c r="M1714" s="15"/>
    </row>
    <row r="1715" spans="12:13">
      <c r="L1715" s="3">
        <v>44657.934027772251</v>
      </c>
      <c r="M1715" s="15"/>
    </row>
    <row r="1716" spans="12:13">
      <c r="L1716" s="3">
        <v>44657.93749999447</v>
      </c>
      <c r="M1716" s="15"/>
    </row>
    <row r="1717" spans="12:13">
      <c r="L1717" s="3">
        <v>44657.940972216689</v>
      </c>
      <c r="M1717" s="15"/>
    </row>
    <row r="1718" spans="12:13">
      <c r="L1718" s="3">
        <v>44657.944444438908</v>
      </c>
      <c r="M1718" s="15"/>
    </row>
    <row r="1719" spans="12:13">
      <c r="L1719" s="3">
        <v>44657.947916661127</v>
      </c>
      <c r="M1719" s="15"/>
    </row>
    <row r="1720" spans="12:13">
      <c r="L1720" s="3">
        <v>44657.951388883346</v>
      </c>
      <c r="M1720" s="15"/>
    </row>
    <row r="1721" spans="12:13">
      <c r="L1721" s="3">
        <v>44657.954861105565</v>
      </c>
      <c r="M1721" s="15"/>
    </row>
    <row r="1722" spans="12:13">
      <c r="L1722" s="3">
        <v>44657.958333327784</v>
      </c>
      <c r="M1722" s="15"/>
    </row>
    <row r="1723" spans="12:13">
      <c r="L1723" s="3">
        <v>44657.961805550003</v>
      </c>
      <c r="M1723" s="15"/>
    </row>
    <row r="1724" spans="12:13">
      <c r="L1724" s="3">
        <v>44657.965277772222</v>
      </c>
      <c r="M1724" s="15"/>
    </row>
    <row r="1725" spans="12:13">
      <c r="L1725" s="3">
        <v>44657.968749994441</v>
      </c>
      <c r="M1725" s="15"/>
    </row>
    <row r="1726" spans="12:13">
      <c r="L1726" s="3">
        <v>44657.97222221666</v>
      </c>
      <c r="M1726" s="15"/>
    </row>
    <row r="1727" spans="12:13">
      <c r="L1727" s="3">
        <v>44657.975694438879</v>
      </c>
      <c r="M1727" s="15"/>
    </row>
    <row r="1728" spans="12:13">
      <c r="L1728" s="3">
        <v>44657.979166661098</v>
      </c>
      <c r="M1728" s="15"/>
    </row>
    <row r="1729" spans="12:13">
      <c r="L1729" s="3">
        <v>44657.982638883317</v>
      </c>
      <c r="M1729" s="15"/>
    </row>
    <row r="1730" spans="12:13">
      <c r="L1730" s="3">
        <v>44657.986111105536</v>
      </c>
      <c r="M1730" s="15"/>
    </row>
    <row r="1731" spans="12:13">
      <c r="L1731" s="3">
        <v>44657.989583327755</v>
      </c>
      <c r="M1731" s="15"/>
    </row>
    <row r="1732" spans="12:13">
      <c r="L1732" s="3">
        <v>44657.993055549974</v>
      </c>
      <c r="M1732" s="15"/>
    </row>
    <row r="1733" spans="12:13">
      <c r="L1733" s="3">
        <v>44657.996527772193</v>
      </c>
      <c r="M1733" s="15"/>
    </row>
    <row r="1734" spans="12:13">
      <c r="L1734" s="3">
        <v>44657.999999994412</v>
      </c>
      <c r="M1734" s="15"/>
    </row>
    <row r="1735" spans="12:13">
      <c r="L1735" s="3">
        <v>44658.003472216631</v>
      </c>
      <c r="M1735" s="15"/>
    </row>
    <row r="1736" spans="12:13">
      <c r="L1736" s="3">
        <v>44658.00694443885</v>
      </c>
      <c r="M1736" s="15"/>
    </row>
    <row r="1737" spans="12:13">
      <c r="L1737" s="3">
        <v>44658.010416661069</v>
      </c>
      <c r="M1737" s="15"/>
    </row>
    <row r="1738" spans="12:13">
      <c r="L1738" s="3">
        <v>44658.013888883288</v>
      </c>
      <c r="M1738" s="15"/>
    </row>
    <row r="1739" spans="12:13">
      <c r="L1739" s="3">
        <v>44658.017361105507</v>
      </c>
      <c r="M1739" s="15"/>
    </row>
    <row r="1740" spans="12:13">
      <c r="L1740" s="3">
        <v>44658.020833327726</v>
      </c>
      <c r="M1740" s="15"/>
    </row>
    <row r="1741" spans="12:13">
      <c r="L1741" s="3">
        <v>44658.024305549945</v>
      </c>
      <c r="M1741" s="15"/>
    </row>
    <row r="1742" spans="12:13">
      <c r="L1742" s="3">
        <v>44658.027777772164</v>
      </c>
      <c r="M1742" s="15"/>
    </row>
    <row r="1743" spans="12:13">
      <c r="L1743" s="3">
        <v>44658.031249994383</v>
      </c>
      <c r="M1743" s="15"/>
    </row>
    <row r="1744" spans="12:13">
      <c r="L1744" s="3">
        <v>44658.034722216602</v>
      </c>
      <c r="M1744" s="15"/>
    </row>
    <row r="1745" spans="12:13">
      <c r="L1745" s="3">
        <v>44658.038194438821</v>
      </c>
      <c r="M1745" s="15"/>
    </row>
    <row r="1746" spans="12:13">
      <c r="L1746" s="3">
        <v>44658.04166666104</v>
      </c>
      <c r="M1746" s="15"/>
    </row>
    <row r="1747" spans="12:13">
      <c r="L1747" s="3">
        <v>44658.045138883259</v>
      </c>
      <c r="M1747" s="15"/>
    </row>
    <row r="1748" spans="12:13">
      <c r="L1748" s="3">
        <v>44658.048611105478</v>
      </c>
      <c r="M1748" s="15"/>
    </row>
    <row r="1749" spans="12:13">
      <c r="L1749" s="3">
        <v>44658.052083327697</v>
      </c>
      <c r="M1749" s="15"/>
    </row>
    <row r="1750" spans="12:13">
      <c r="L1750" s="3">
        <v>44658.055555549916</v>
      </c>
      <c r="M1750" s="15"/>
    </row>
    <row r="1751" spans="12:13">
      <c r="L1751" s="3">
        <v>44658.059027772135</v>
      </c>
      <c r="M1751" s="15"/>
    </row>
    <row r="1752" spans="12:13">
      <c r="L1752" s="3">
        <v>44658.062499994354</v>
      </c>
      <c r="M1752" s="15"/>
    </row>
    <row r="1753" spans="12:13">
      <c r="L1753" s="3">
        <v>44658.065972216573</v>
      </c>
      <c r="M1753" s="15"/>
    </row>
    <row r="1754" spans="12:13">
      <c r="L1754" s="3">
        <v>44658.069444438792</v>
      </c>
      <c r="M1754" s="15"/>
    </row>
    <row r="1755" spans="12:13">
      <c r="L1755" s="3">
        <v>44658.072916661011</v>
      </c>
      <c r="M1755" s="15"/>
    </row>
    <row r="1756" spans="12:13">
      <c r="L1756" s="3">
        <v>44658.07638888323</v>
      </c>
      <c r="M1756" s="15"/>
    </row>
    <row r="1757" spans="12:13">
      <c r="L1757" s="3">
        <v>44658.079861105449</v>
      </c>
      <c r="M1757" s="15"/>
    </row>
    <row r="1758" spans="12:13">
      <c r="L1758" s="3">
        <v>44658.083333327668</v>
      </c>
      <c r="M1758" s="15"/>
    </row>
    <row r="1759" spans="12:13">
      <c r="L1759" s="3">
        <v>44658.086805549887</v>
      </c>
      <c r="M1759" s="15"/>
    </row>
    <row r="1760" spans="12:13">
      <c r="L1760" s="3">
        <v>44658.090277772106</v>
      </c>
      <c r="M1760" s="15"/>
    </row>
    <row r="1761" spans="12:13">
      <c r="L1761" s="3">
        <v>44658.093749994325</v>
      </c>
      <c r="M1761" s="15"/>
    </row>
    <row r="1762" spans="12:13">
      <c r="L1762" s="3">
        <v>44658.097222216544</v>
      </c>
      <c r="M1762" s="15"/>
    </row>
    <row r="1763" spans="12:13">
      <c r="L1763" s="3">
        <v>44658.100694438763</v>
      </c>
      <c r="M1763" s="15"/>
    </row>
    <row r="1764" spans="12:13">
      <c r="L1764" s="3">
        <v>44658.104166660982</v>
      </c>
      <c r="M1764" s="15"/>
    </row>
    <row r="1765" spans="12:13">
      <c r="L1765" s="3">
        <v>44658.107638883201</v>
      </c>
      <c r="M1765" s="15"/>
    </row>
    <row r="1766" spans="12:13">
      <c r="L1766" s="3">
        <v>44658.11111110542</v>
      </c>
      <c r="M1766" s="15"/>
    </row>
    <row r="1767" spans="12:13">
      <c r="L1767" s="3">
        <v>44658.114583327639</v>
      </c>
      <c r="M1767" s="15"/>
    </row>
    <row r="1768" spans="12:13">
      <c r="L1768" s="3">
        <v>44658.118055549858</v>
      </c>
      <c r="M1768" s="15"/>
    </row>
    <row r="1769" spans="12:13">
      <c r="L1769" s="3">
        <v>44658.121527772077</v>
      </c>
      <c r="M1769" s="15"/>
    </row>
    <row r="1770" spans="12:13">
      <c r="L1770" s="3">
        <v>44658.124999994296</v>
      </c>
      <c r="M1770" s="15"/>
    </row>
    <row r="1771" spans="12:13">
      <c r="L1771" s="3">
        <v>44658.128472216515</v>
      </c>
      <c r="M1771" s="15"/>
    </row>
    <row r="1772" spans="12:13">
      <c r="L1772" s="3">
        <v>44658.131944438734</v>
      </c>
      <c r="M1772" s="15"/>
    </row>
    <row r="1773" spans="12:13">
      <c r="L1773" s="3">
        <v>44658.135416660953</v>
      </c>
      <c r="M1773" s="15"/>
    </row>
    <row r="1774" spans="12:13">
      <c r="L1774" s="3">
        <v>44658.138888883172</v>
      </c>
      <c r="M1774" s="15"/>
    </row>
    <row r="1775" spans="12:13">
      <c r="L1775" s="3">
        <v>44658.142361105391</v>
      </c>
      <c r="M1775" s="15"/>
    </row>
    <row r="1776" spans="12:13">
      <c r="L1776" s="3">
        <v>44658.14583332761</v>
      </c>
      <c r="M1776" s="15"/>
    </row>
    <row r="1777" spans="12:13">
      <c r="L1777" s="3">
        <v>44658.149305549829</v>
      </c>
      <c r="M1777" s="15"/>
    </row>
    <row r="1778" spans="12:13">
      <c r="L1778" s="3">
        <v>44658.152777772048</v>
      </c>
      <c r="M1778" s="15"/>
    </row>
    <row r="1779" spans="12:13">
      <c r="L1779" s="3">
        <v>44658.156249994267</v>
      </c>
      <c r="M1779" s="15"/>
    </row>
    <row r="1780" spans="12:13">
      <c r="L1780" s="3">
        <v>44658.159722216486</v>
      </c>
      <c r="M1780" s="15"/>
    </row>
    <row r="1781" spans="12:13">
      <c r="L1781" s="3">
        <v>44658.163194438705</v>
      </c>
      <c r="M1781" s="15"/>
    </row>
    <row r="1782" spans="12:13">
      <c r="L1782" s="3">
        <v>44658.166666660924</v>
      </c>
      <c r="M1782" s="15"/>
    </row>
    <row r="1783" spans="12:13">
      <c r="L1783" s="3">
        <v>44658.170138883142</v>
      </c>
      <c r="M1783" s="15"/>
    </row>
    <row r="1784" spans="12:13">
      <c r="L1784" s="3">
        <v>44658.173611105361</v>
      </c>
      <c r="M1784" s="15"/>
    </row>
    <row r="1785" spans="12:13">
      <c r="L1785" s="3">
        <v>44658.17708332758</v>
      </c>
      <c r="M1785" s="15"/>
    </row>
    <row r="1786" spans="12:13">
      <c r="L1786" s="3">
        <v>44658.180555549799</v>
      </c>
      <c r="M1786" s="15"/>
    </row>
    <row r="1787" spans="12:13">
      <c r="L1787" s="3">
        <v>44658.184027772018</v>
      </c>
      <c r="M1787" s="15"/>
    </row>
    <row r="1788" spans="12:13">
      <c r="L1788" s="3">
        <v>44658.187499994237</v>
      </c>
      <c r="M1788" s="15"/>
    </row>
    <row r="1789" spans="12:13">
      <c r="L1789" s="3">
        <v>44658.190972216456</v>
      </c>
      <c r="M1789" s="15"/>
    </row>
    <row r="1790" spans="12:13">
      <c r="L1790" s="3">
        <v>44658.194444438675</v>
      </c>
      <c r="M1790" s="15"/>
    </row>
    <row r="1791" spans="12:13">
      <c r="L1791" s="3">
        <v>44658.197916660894</v>
      </c>
      <c r="M1791" s="15"/>
    </row>
    <row r="1792" spans="12:13">
      <c r="L1792" s="3">
        <v>44658.201388883113</v>
      </c>
      <c r="M1792" s="15"/>
    </row>
    <row r="1793" spans="12:13">
      <c r="L1793" s="3">
        <v>44658.204861105332</v>
      </c>
      <c r="M1793" s="15"/>
    </row>
    <row r="1794" spans="12:13">
      <c r="L1794" s="3">
        <v>44658.208333327551</v>
      </c>
      <c r="M1794" s="15"/>
    </row>
    <row r="1795" spans="12:13">
      <c r="L1795" s="3">
        <v>44658.21180554977</v>
      </c>
      <c r="M1795" s="15"/>
    </row>
    <row r="1796" spans="12:13">
      <c r="L1796" s="3">
        <v>44658.215277771989</v>
      </c>
      <c r="M1796" s="15"/>
    </row>
    <row r="1797" spans="12:13">
      <c r="L1797" s="3">
        <v>44658.218749994208</v>
      </c>
      <c r="M1797" s="15"/>
    </row>
    <row r="1798" spans="12:13">
      <c r="L1798" s="3">
        <v>44658.222222216427</v>
      </c>
      <c r="M1798" s="15"/>
    </row>
    <row r="1799" spans="12:13">
      <c r="L1799" s="3">
        <v>44658.225694438646</v>
      </c>
      <c r="M1799" s="15"/>
    </row>
    <row r="1800" spans="12:13">
      <c r="L1800" s="3">
        <v>44658.229166660865</v>
      </c>
      <c r="M1800" s="15"/>
    </row>
    <row r="1801" spans="12:13">
      <c r="L1801" s="3">
        <v>44658.232638883084</v>
      </c>
      <c r="M1801" s="15"/>
    </row>
    <row r="1802" spans="12:13">
      <c r="L1802" s="3">
        <v>44658.236111105303</v>
      </c>
      <c r="M1802" s="15"/>
    </row>
    <row r="1803" spans="12:13">
      <c r="L1803" s="3">
        <v>44658.239583327522</v>
      </c>
      <c r="M1803" s="15"/>
    </row>
    <row r="1804" spans="12:13">
      <c r="L1804" s="3">
        <v>44658.243055549741</v>
      </c>
      <c r="M1804" s="15"/>
    </row>
    <row r="1805" spans="12:13">
      <c r="L1805" s="3">
        <v>44658.24652777196</v>
      </c>
      <c r="M1805" s="15"/>
    </row>
    <row r="1806" spans="12:13">
      <c r="L1806" s="3">
        <v>44658.249999994179</v>
      </c>
      <c r="M1806" s="15"/>
    </row>
    <row r="1807" spans="12:13">
      <c r="L1807" s="3">
        <v>44658.253472216398</v>
      </c>
      <c r="M1807" s="15"/>
    </row>
    <row r="1808" spans="12:13">
      <c r="L1808" s="3">
        <v>44658.256944438617</v>
      </c>
      <c r="M1808" s="15"/>
    </row>
    <row r="1809" spans="12:13">
      <c r="L1809" s="3">
        <v>44658.260416660836</v>
      </c>
      <c r="M1809" s="15"/>
    </row>
    <row r="1810" spans="12:13">
      <c r="L1810" s="3">
        <v>44658.263888883055</v>
      </c>
      <c r="M1810" s="15"/>
    </row>
    <row r="1811" spans="12:13">
      <c r="L1811" s="3">
        <v>44658.267361105274</v>
      </c>
      <c r="M1811" s="15"/>
    </row>
    <row r="1812" spans="12:13">
      <c r="L1812" s="3">
        <v>44658.270833327493</v>
      </c>
      <c r="M1812" s="15"/>
    </row>
    <row r="1813" spans="12:13">
      <c r="L1813" s="3">
        <v>44658.274305549712</v>
      </c>
      <c r="M1813" s="15"/>
    </row>
    <row r="1814" spans="12:13">
      <c r="L1814" s="3">
        <v>44658.277777771931</v>
      </c>
      <c r="M1814" s="15"/>
    </row>
    <row r="1815" spans="12:13">
      <c r="L1815" s="3">
        <v>44658.28124999415</v>
      </c>
      <c r="M1815" s="15"/>
    </row>
    <row r="1816" spans="12:13">
      <c r="L1816" s="3">
        <v>44658.284722216369</v>
      </c>
      <c r="M1816" s="15"/>
    </row>
    <row r="1817" spans="12:13">
      <c r="L1817" s="3">
        <v>44658.288194438588</v>
      </c>
      <c r="M1817" s="15"/>
    </row>
    <row r="1818" spans="12:13">
      <c r="L1818" s="3">
        <v>44658.291666660807</v>
      </c>
      <c r="M1818" s="15"/>
    </row>
    <row r="1819" spans="12:13">
      <c r="L1819" s="3">
        <v>44658.295138883026</v>
      </c>
      <c r="M1819" s="15"/>
    </row>
    <row r="1820" spans="12:13">
      <c r="L1820" s="3">
        <v>44658.298611105245</v>
      </c>
      <c r="M1820" s="15"/>
    </row>
    <row r="1821" spans="12:13">
      <c r="L1821" s="3">
        <v>44658.302083327464</v>
      </c>
      <c r="M1821" s="15"/>
    </row>
    <row r="1822" spans="12:13">
      <c r="L1822" s="3">
        <v>44658.305555549683</v>
      </c>
      <c r="M1822" s="15"/>
    </row>
    <row r="1823" spans="12:13">
      <c r="L1823" s="3">
        <v>44658.309027771902</v>
      </c>
      <c r="M1823" s="15"/>
    </row>
    <row r="1824" spans="12:13">
      <c r="L1824" s="3">
        <v>44658.312499994121</v>
      </c>
      <c r="M1824" s="15"/>
    </row>
    <row r="1825" spans="12:13">
      <c r="L1825" s="3">
        <v>44658.31597221634</v>
      </c>
      <c r="M1825" s="15"/>
    </row>
    <row r="1826" spans="12:13">
      <c r="L1826" s="3">
        <v>44658.319444438559</v>
      </c>
      <c r="M1826" s="15"/>
    </row>
    <row r="1827" spans="12:13">
      <c r="L1827" s="3">
        <v>44658.322916660778</v>
      </c>
      <c r="M1827" s="15"/>
    </row>
    <row r="1828" spans="12:13">
      <c r="L1828" s="3">
        <v>44658.326388882997</v>
      </c>
      <c r="M1828" s="15"/>
    </row>
    <row r="1829" spans="12:13">
      <c r="L1829" s="3">
        <v>44658.329861105216</v>
      </c>
      <c r="M1829" s="15"/>
    </row>
    <row r="1830" spans="12:13">
      <c r="L1830" s="3">
        <v>44658.333333327435</v>
      </c>
      <c r="M1830" s="15"/>
    </row>
    <row r="1831" spans="12:13">
      <c r="L1831" s="3">
        <v>44658.336805549654</v>
      </c>
      <c r="M1831" s="15"/>
    </row>
    <row r="1832" spans="12:13">
      <c r="L1832" s="3">
        <v>44658.340277771873</v>
      </c>
      <c r="M1832" s="15"/>
    </row>
    <row r="1833" spans="12:13">
      <c r="L1833" s="3">
        <v>44658.343749994092</v>
      </c>
      <c r="M1833" s="15"/>
    </row>
    <row r="1834" spans="12:13">
      <c r="L1834" s="3">
        <v>44658.347222216311</v>
      </c>
      <c r="M1834" s="15"/>
    </row>
    <row r="1835" spans="12:13">
      <c r="L1835" s="3">
        <v>44658.35069443853</v>
      </c>
      <c r="M1835" s="15"/>
    </row>
    <row r="1836" spans="12:13">
      <c r="L1836" s="3">
        <v>44658.354166660749</v>
      </c>
      <c r="M1836" s="15"/>
    </row>
    <row r="1837" spans="12:13">
      <c r="L1837" s="3">
        <v>44658.357638882968</v>
      </c>
      <c r="M1837" s="15"/>
    </row>
    <row r="1838" spans="12:13">
      <c r="L1838" s="3">
        <v>44658.361111105187</v>
      </c>
      <c r="M1838" s="15"/>
    </row>
    <row r="1839" spans="12:13">
      <c r="L1839" s="3">
        <v>44658.364583327406</v>
      </c>
      <c r="M1839" s="15"/>
    </row>
    <row r="1840" spans="12:13">
      <c r="L1840" s="3">
        <v>44658.368055549625</v>
      </c>
      <c r="M1840" s="15"/>
    </row>
    <row r="1841" spans="12:13">
      <c r="L1841" s="3">
        <v>44658.371527771844</v>
      </c>
      <c r="M1841" s="15"/>
    </row>
    <row r="1842" spans="12:13">
      <c r="L1842" s="3">
        <v>44658.374999994063</v>
      </c>
      <c r="M1842" s="15"/>
    </row>
    <row r="1843" spans="12:13">
      <c r="L1843" s="3">
        <v>44658.378472216282</v>
      </c>
      <c r="M1843" s="15"/>
    </row>
    <row r="1844" spans="12:13">
      <c r="L1844" s="3">
        <v>44658.381944438501</v>
      </c>
      <c r="M1844" s="15"/>
    </row>
    <row r="1845" spans="12:13">
      <c r="L1845" s="3">
        <v>44658.38541666072</v>
      </c>
      <c r="M1845" s="15"/>
    </row>
    <row r="1846" spans="12:13">
      <c r="L1846" s="3">
        <v>44658.388888882939</v>
      </c>
      <c r="M1846" s="15"/>
    </row>
    <row r="1847" spans="12:13">
      <c r="L1847" s="3">
        <v>44658.392361105158</v>
      </c>
      <c r="M1847" s="15"/>
    </row>
    <row r="1848" spans="12:13">
      <c r="L1848" s="3">
        <v>44658.395833327377</v>
      </c>
      <c r="M1848" s="15"/>
    </row>
    <row r="1849" spans="12:13">
      <c r="L1849" s="3">
        <v>44658.399305549596</v>
      </c>
      <c r="M1849" s="15"/>
    </row>
    <row r="1850" spans="12:13">
      <c r="L1850" s="3">
        <v>44658.402777771815</v>
      </c>
      <c r="M1850" s="15"/>
    </row>
    <row r="1851" spans="12:13">
      <c r="L1851" s="3">
        <v>44658.406249994034</v>
      </c>
      <c r="M1851" s="15"/>
    </row>
    <row r="1852" spans="12:13">
      <c r="L1852" s="3">
        <v>44658.409722216253</v>
      </c>
      <c r="M1852" s="15"/>
    </row>
    <row r="1853" spans="12:13">
      <c r="L1853" s="3">
        <v>44658.413194438472</v>
      </c>
      <c r="M1853" s="15"/>
    </row>
    <row r="1854" spans="12:13">
      <c r="L1854" s="3">
        <v>44658.416666660691</v>
      </c>
      <c r="M1854" s="15"/>
    </row>
    <row r="1855" spans="12:13">
      <c r="L1855" s="3">
        <v>44658.42013888291</v>
      </c>
      <c r="M1855" s="15"/>
    </row>
    <row r="1856" spans="12:13">
      <c r="L1856" s="3">
        <v>44658.423611105129</v>
      </c>
      <c r="M1856" s="15"/>
    </row>
    <row r="1857" spans="12:13">
      <c r="L1857" s="3">
        <v>44658.427083327348</v>
      </c>
      <c r="M1857" s="15"/>
    </row>
    <row r="1858" spans="12:13">
      <c r="L1858" s="3">
        <v>44658.430555549567</v>
      </c>
      <c r="M1858" s="15"/>
    </row>
    <row r="1859" spans="12:13">
      <c r="L1859" s="3">
        <v>44658.434027771786</v>
      </c>
      <c r="M1859" s="15"/>
    </row>
    <row r="1860" spans="12:13">
      <c r="L1860" s="3">
        <v>44658.437499994005</v>
      </c>
      <c r="M1860" s="15"/>
    </row>
    <row r="1861" spans="12:13">
      <c r="L1861" s="3">
        <v>44658.440972216224</v>
      </c>
      <c r="M1861" s="15"/>
    </row>
    <row r="1862" spans="12:13">
      <c r="L1862" s="3">
        <v>44658.444444438443</v>
      </c>
      <c r="M1862" s="15"/>
    </row>
    <row r="1863" spans="12:13">
      <c r="L1863" s="3">
        <v>44658.447916660662</v>
      </c>
      <c r="M1863" s="15"/>
    </row>
    <row r="1864" spans="12:13">
      <c r="L1864" s="3">
        <v>44658.451388882881</v>
      </c>
      <c r="M1864" s="15"/>
    </row>
    <row r="1865" spans="12:13">
      <c r="L1865" s="3">
        <v>44658.4548611051</v>
      </c>
      <c r="M1865" s="15"/>
    </row>
    <row r="1866" spans="12:13">
      <c r="L1866" s="3">
        <v>44658.458333327319</v>
      </c>
      <c r="M1866" s="15"/>
    </row>
    <row r="1867" spans="12:13">
      <c r="L1867" s="3">
        <v>44658.461805549538</v>
      </c>
      <c r="M1867" s="15"/>
    </row>
    <row r="1868" spans="12:13">
      <c r="L1868" s="3">
        <v>44658.465277771757</v>
      </c>
      <c r="M1868" s="15"/>
    </row>
    <row r="1869" spans="12:13">
      <c r="L1869" s="3">
        <v>44658.468749993976</v>
      </c>
      <c r="M1869" s="15"/>
    </row>
    <row r="1870" spans="12:13">
      <c r="L1870" s="3">
        <v>44658.472222216194</v>
      </c>
      <c r="M1870" s="15"/>
    </row>
    <row r="1871" spans="12:13">
      <c r="L1871" s="3">
        <v>44658.475694438413</v>
      </c>
      <c r="M1871" s="15"/>
    </row>
    <row r="1872" spans="12:13">
      <c r="L1872" s="3">
        <v>44658.479166660632</v>
      </c>
      <c r="M1872" s="15"/>
    </row>
    <row r="1873" spans="12:13">
      <c r="L1873" s="3">
        <v>44658.482638882851</v>
      </c>
      <c r="M1873" s="15"/>
    </row>
    <row r="1874" spans="12:13">
      <c r="L1874" s="3">
        <v>44658.48611110507</v>
      </c>
      <c r="M1874" s="15"/>
    </row>
    <row r="1875" spans="12:13">
      <c r="L1875" s="3">
        <v>44658.489583327289</v>
      </c>
      <c r="M1875" s="15"/>
    </row>
    <row r="1876" spans="12:13">
      <c r="L1876" s="3">
        <v>44658.493055549508</v>
      </c>
      <c r="M1876" s="15"/>
    </row>
    <row r="1877" spans="12:13">
      <c r="L1877" s="3">
        <v>44658.496527771727</v>
      </c>
      <c r="M1877" s="15"/>
    </row>
    <row r="1878" spans="12:13">
      <c r="L1878" s="3">
        <v>44658.499999993946</v>
      </c>
      <c r="M1878" s="15"/>
    </row>
    <row r="1879" spans="12:13">
      <c r="L1879" s="3">
        <v>44658.503472216165</v>
      </c>
      <c r="M1879" s="15"/>
    </row>
    <row r="1880" spans="12:13">
      <c r="L1880" s="3">
        <v>44658.506944438384</v>
      </c>
      <c r="M1880" s="15"/>
    </row>
    <row r="1881" spans="12:13">
      <c r="L1881" s="3">
        <v>44658.510416660603</v>
      </c>
      <c r="M1881" s="15"/>
    </row>
    <row r="1882" spans="12:13">
      <c r="L1882" s="3">
        <v>44658.513888882822</v>
      </c>
      <c r="M1882" s="15"/>
    </row>
    <row r="1883" spans="12:13">
      <c r="L1883" s="3">
        <v>44658.517361105041</v>
      </c>
      <c r="M1883" s="15"/>
    </row>
    <row r="1884" spans="12:13">
      <c r="L1884" s="3">
        <v>44658.52083332726</v>
      </c>
      <c r="M1884" s="15"/>
    </row>
    <row r="1885" spans="12:13">
      <c r="L1885" s="3">
        <v>44658.524305549479</v>
      </c>
      <c r="M1885" s="15"/>
    </row>
    <row r="1886" spans="12:13">
      <c r="L1886" s="3">
        <v>44658.527777771698</v>
      </c>
      <c r="M1886" s="15"/>
    </row>
    <row r="1887" spans="12:13">
      <c r="L1887" s="3">
        <v>44658.531249993917</v>
      </c>
      <c r="M1887" s="15"/>
    </row>
    <row r="1888" spans="12:13">
      <c r="L1888" s="3">
        <v>44658.534722216136</v>
      </c>
      <c r="M1888" s="15"/>
    </row>
    <row r="1889" spans="12:13">
      <c r="L1889" s="3">
        <v>44658.538194438355</v>
      </c>
      <c r="M1889" s="15"/>
    </row>
    <row r="1890" spans="12:13">
      <c r="L1890" s="3">
        <v>44658.541666660574</v>
      </c>
      <c r="M1890" s="15"/>
    </row>
    <row r="1891" spans="12:13">
      <c r="L1891" s="3">
        <v>44658.545138882793</v>
      </c>
      <c r="M1891" s="15"/>
    </row>
    <row r="1892" spans="12:13">
      <c r="L1892" s="3">
        <v>44658.548611105012</v>
      </c>
      <c r="M1892" s="15"/>
    </row>
    <row r="1893" spans="12:13">
      <c r="L1893" s="3">
        <v>44658.552083327231</v>
      </c>
      <c r="M1893" s="15"/>
    </row>
    <row r="1894" spans="12:13">
      <c r="L1894" s="3">
        <v>44658.55555554945</v>
      </c>
      <c r="M1894" s="15"/>
    </row>
    <row r="1895" spans="12:13">
      <c r="L1895" s="3">
        <v>44658.559027771669</v>
      </c>
      <c r="M1895" s="15"/>
    </row>
    <row r="1896" spans="12:13">
      <c r="L1896" s="3">
        <v>44658.562499993888</v>
      </c>
      <c r="M1896" s="15"/>
    </row>
    <row r="1897" spans="12:13">
      <c r="L1897" s="3">
        <v>44658.565972216107</v>
      </c>
      <c r="M1897" s="15"/>
    </row>
    <row r="1898" spans="12:13">
      <c r="L1898" s="3">
        <v>44658.569444438326</v>
      </c>
      <c r="M1898" s="15"/>
    </row>
    <row r="1899" spans="12:13">
      <c r="L1899" s="3">
        <v>44658.572916660545</v>
      </c>
      <c r="M1899" s="15"/>
    </row>
    <row r="1900" spans="12:13">
      <c r="L1900" s="3">
        <v>44658.576388882764</v>
      </c>
      <c r="M1900" s="15"/>
    </row>
    <row r="1901" spans="12:13">
      <c r="L1901" s="3">
        <v>44658.579861104983</v>
      </c>
      <c r="M1901" s="15"/>
    </row>
    <row r="1902" spans="12:13">
      <c r="L1902" s="3">
        <v>44658.583333327202</v>
      </c>
      <c r="M1902" s="15"/>
    </row>
    <row r="1903" spans="12:13">
      <c r="L1903" s="3">
        <v>44658.586805549421</v>
      </c>
      <c r="M1903" s="15"/>
    </row>
    <row r="1904" spans="12:13">
      <c r="L1904" s="3">
        <v>44658.59027777164</v>
      </c>
      <c r="M1904" s="15"/>
    </row>
    <row r="1905" spans="12:13">
      <c r="L1905" s="3">
        <v>44658.593749993859</v>
      </c>
      <c r="M1905" s="15"/>
    </row>
    <row r="1906" spans="12:13">
      <c r="L1906" s="3">
        <v>44658.597222216078</v>
      </c>
      <c r="M1906" s="15"/>
    </row>
    <row r="1907" spans="12:13">
      <c r="L1907" s="3">
        <v>44658.600694438297</v>
      </c>
      <c r="M1907" s="15"/>
    </row>
    <row r="1908" spans="12:13">
      <c r="L1908" s="3">
        <v>44658.604166660516</v>
      </c>
      <c r="M1908" s="15"/>
    </row>
    <row r="1909" spans="12:13">
      <c r="L1909" s="3">
        <v>44658.607638882735</v>
      </c>
      <c r="M1909" s="15"/>
    </row>
    <row r="1910" spans="12:13">
      <c r="L1910" s="3">
        <v>44658.611111104954</v>
      </c>
      <c r="M1910" s="15"/>
    </row>
    <row r="1911" spans="12:13">
      <c r="L1911" s="3">
        <v>44658.614583327173</v>
      </c>
      <c r="M1911" s="15"/>
    </row>
    <row r="1912" spans="12:13">
      <c r="L1912" s="3">
        <v>44658.618055549392</v>
      </c>
      <c r="M1912" s="15"/>
    </row>
    <row r="1913" spans="12:13">
      <c r="L1913" s="3">
        <v>44658.621527771611</v>
      </c>
      <c r="M1913" s="15"/>
    </row>
    <row r="1914" spans="12:13">
      <c r="L1914" s="3">
        <v>44658.62499999383</v>
      </c>
      <c r="M1914" s="15"/>
    </row>
    <row r="1915" spans="12:13">
      <c r="L1915" s="3">
        <v>44658.628472216049</v>
      </c>
      <c r="M1915" s="15"/>
    </row>
    <row r="1916" spans="12:13">
      <c r="L1916" s="3">
        <v>44658.631944438268</v>
      </c>
      <c r="M1916" s="15"/>
    </row>
    <row r="1917" spans="12:13">
      <c r="L1917" s="3">
        <v>44658.635416660487</v>
      </c>
      <c r="M1917" s="15"/>
    </row>
    <row r="1918" spans="12:13">
      <c r="L1918" s="3">
        <v>44658.638888882706</v>
      </c>
      <c r="M1918" s="15"/>
    </row>
    <row r="1919" spans="12:13">
      <c r="L1919" s="3">
        <v>44658.642361104925</v>
      </c>
      <c r="M1919" s="15"/>
    </row>
    <row r="1920" spans="12:13">
      <c r="L1920" s="3">
        <v>44658.645833327144</v>
      </c>
      <c r="M1920" s="15"/>
    </row>
    <row r="1921" spans="12:13">
      <c r="L1921" s="3">
        <v>44658.649305549363</v>
      </c>
      <c r="M1921" s="15"/>
    </row>
    <row r="1922" spans="12:13">
      <c r="L1922" s="3">
        <v>44658.652777771582</v>
      </c>
      <c r="M1922" s="15"/>
    </row>
    <row r="1923" spans="12:13">
      <c r="L1923" s="3">
        <v>44658.656249993801</v>
      </c>
      <c r="M1923" s="15"/>
    </row>
    <row r="1924" spans="12:13">
      <c r="L1924" s="3">
        <v>44658.65972221602</v>
      </c>
      <c r="M1924" s="15"/>
    </row>
    <row r="1925" spans="12:13">
      <c r="L1925" s="3">
        <v>44658.663194438239</v>
      </c>
      <c r="M1925" s="15"/>
    </row>
    <row r="1926" spans="12:13">
      <c r="L1926" s="3">
        <v>44658.666666660458</v>
      </c>
      <c r="M1926" s="15"/>
    </row>
    <row r="1927" spans="12:13">
      <c r="L1927" s="3">
        <v>44658.670138882677</v>
      </c>
      <c r="M1927" s="15"/>
    </row>
    <row r="1928" spans="12:13">
      <c r="L1928" s="3">
        <v>44658.673611104896</v>
      </c>
      <c r="M1928" s="15"/>
    </row>
    <row r="1929" spans="12:13">
      <c r="L1929" s="3">
        <v>44658.677083327115</v>
      </c>
      <c r="M1929" s="15"/>
    </row>
    <row r="1930" spans="12:13">
      <c r="L1930" s="3">
        <v>44658.680555549334</v>
      </c>
      <c r="M1930" s="15"/>
    </row>
    <row r="1931" spans="12:13">
      <c r="L1931" s="3">
        <v>44658.684027771553</v>
      </c>
      <c r="M1931" s="15"/>
    </row>
    <row r="1932" spans="12:13">
      <c r="L1932" s="3">
        <v>44658.687499993772</v>
      </c>
      <c r="M1932" s="15"/>
    </row>
    <row r="1933" spans="12:13">
      <c r="L1933" s="3">
        <v>44658.690972215991</v>
      </c>
      <c r="M1933" s="15"/>
    </row>
    <row r="1934" spans="12:13">
      <c r="L1934" s="3">
        <v>44658.69444443821</v>
      </c>
      <c r="M1934" s="15"/>
    </row>
    <row r="1935" spans="12:13">
      <c r="L1935" s="3">
        <v>44658.697916660429</v>
      </c>
      <c r="M1935" s="15"/>
    </row>
    <row r="1936" spans="12:13">
      <c r="L1936" s="3">
        <v>44658.701388882648</v>
      </c>
      <c r="M1936" s="15"/>
    </row>
    <row r="1937" spans="12:13">
      <c r="L1937" s="3">
        <v>44658.704861104867</v>
      </c>
      <c r="M1937" s="15"/>
    </row>
    <row r="1938" spans="12:13">
      <c r="L1938" s="3">
        <v>44658.708333327086</v>
      </c>
      <c r="M1938" s="15"/>
    </row>
    <row r="1939" spans="12:13">
      <c r="L1939" s="3">
        <v>44658.711805549305</v>
      </c>
      <c r="M1939" s="15"/>
    </row>
    <row r="1940" spans="12:13">
      <c r="L1940" s="3">
        <v>44658.715277771524</v>
      </c>
      <c r="M1940" s="15"/>
    </row>
    <row r="1941" spans="12:13">
      <c r="L1941" s="3">
        <v>44658.718749993743</v>
      </c>
      <c r="M1941" s="15"/>
    </row>
    <row r="1942" spans="12:13">
      <c r="L1942" s="3">
        <v>44658.722222215962</v>
      </c>
      <c r="M1942" s="15"/>
    </row>
    <row r="1943" spans="12:13">
      <c r="L1943" s="3">
        <v>44658.725694438181</v>
      </c>
      <c r="M1943" s="15"/>
    </row>
    <row r="1944" spans="12:13">
      <c r="L1944" s="3">
        <v>44658.7291666604</v>
      </c>
      <c r="M1944" s="15"/>
    </row>
    <row r="1945" spans="12:13">
      <c r="L1945" s="3">
        <v>44658.732638882619</v>
      </c>
      <c r="M1945" s="15"/>
    </row>
    <row r="1946" spans="12:13">
      <c r="L1946" s="3">
        <v>44658.736111104838</v>
      </c>
      <c r="M1946" s="15"/>
    </row>
    <row r="1947" spans="12:13">
      <c r="L1947" s="3">
        <v>44658.739583327057</v>
      </c>
      <c r="M1947" s="15"/>
    </row>
    <row r="1948" spans="12:13">
      <c r="L1948" s="3">
        <v>44658.743055549276</v>
      </c>
      <c r="M1948" s="15"/>
    </row>
    <row r="1949" spans="12:13">
      <c r="L1949" s="3">
        <v>44658.746527771495</v>
      </c>
      <c r="M1949" s="15"/>
    </row>
    <row r="1950" spans="12:13">
      <c r="L1950" s="3">
        <v>44658.749999993714</v>
      </c>
      <c r="M1950" s="15"/>
    </row>
    <row r="1951" spans="12:13">
      <c r="L1951" s="3">
        <v>44658.753472215933</v>
      </c>
      <c r="M1951" s="15"/>
    </row>
    <row r="1952" spans="12:13">
      <c r="L1952" s="3">
        <v>44658.756944438152</v>
      </c>
      <c r="M1952" s="15"/>
    </row>
    <row r="1953" spans="12:13">
      <c r="L1953" s="3">
        <v>44658.760416660371</v>
      </c>
      <c r="M1953" s="15"/>
    </row>
    <row r="1954" spans="12:13">
      <c r="L1954" s="3">
        <v>44658.76388888259</v>
      </c>
      <c r="M1954" s="15"/>
    </row>
    <row r="1955" spans="12:13">
      <c r="L1955" s="3">
        <v>44658.767361104809</v>
      </c>
      <c r="M1955" s="15"/>
    </row>
    <row r="1956" spans="12:13">
      <c r="L1956" s="3">
        <v>44658.770833327028</v>
      </c>
      <c r="M1956" s="15"/>
    </row>
    <row r="1957" spans="12:13">
      <c r="L1957" s="3">
        <v>44658.774305549246</v>
      </c>
      <c r="M1957" s="15"/>
    </row>
    <row r="1958" spans="12:13">
      <c r="L1958" s="3">
        <v>44658.777777771465</v>
      </c>
      <c r="M1958" s="15"/>
    </row>
    <row r="1959" spans="12:13">
      <c r="L1959" s="3">
        <v>44658.781249993684</v>
      </c>
      <c r="M1959" s="15"/>
    </row>
    <row r="1960" spans="12:13">
      <c r="L1960" s="3">
        <v>44658.784722215903</v>
      </c>
      <c r="M1960" s="15"/>
    </row>
    <row r="1961" spans="12:13">
      <c r="L1961" s="3">
        <v>44658.788194438122</v>
      </c>
      <c r="M1961" s="15"/>
    </row>
    <row r="1962" spans="12:13">
      <c r="L1962" s="3">
        <v>44658.791666660341</v>
      </c>
      <c r="M1962" s="15"/>
    </row>
    <row r="1963" spans="12:13">
      <c r="L1963" s="3">
        <v>44658.79513888256</v>
      </c>
      <c r="M1963" s="15"/>
    </row>
    <row r="1964" spans="12:13">
      <c r="L1964" s="3">
        <v>44658.798611104779</v>
      </c>
      <c r="M1964" s="15"/>
    </row>
    <row r="1965" spans="12:13">
      <c r="L1965" s="3">
        <v>44658.802083326998</v>
      </c>
      <c r="M1965" s="15"/>
    </row>
    <row r="1966" spans="12:13">
      <c r="L1966" s="3">
        <v>44658.805555549217</v>
      </c>
      <c r="M1966" s="15"/>
    </row>
    <row r="1967" spans="12:13">
      <c r="L1967" s="3">
        <v>44658.809027771436</v>
      </c>
      <c r="M1967" s="15"/>
    </row>
    <row r="1968" spans="12:13">
      <c r="L1968" s="3">
        <v>44658.812499993655</v>
      </c>
      <c r="M1968" s="15"/>
    </row>
    <row r="1969" spans="12:13">
      <c r="L1969" s="3">
        <v>44658.815972215874</v>
      </c>
      <c r="M1969" s="15"/>
    </row>
    <row r="1970" spans="12:13">
      <c r="L1970" s="3">
        <v>44658.819444438093</v>
      </c>
      <c r="M1970" s="15"/>
    </row>
    <row r="1971" spans="12:13">
      <c r="L1971" s="3">
        <v>44658.822916660312</v>
      </c>
      <c r="M1971" s="15"/>
    </row>
    <row r="1972" spans="12:13">
      <c r="L1972" s="3">
        <v>44658.826388882531</v>
      </c>
      <c r="M1972" s="15"/>
    </row>
    <row r="1973" spans="12:13">
      <c r="L1973" s="3">
        <v>44658.82986110475</v>
      </c>
      <c r="M1973" s="15"/>
    </row>
    <row r="1974" spans="12:13">
      <c r="L1974" s="3">
        <v>44658.833333326969</v>
      </c>
      <c r="M1974" s="15"/>
    </row>
    <row r="1975" spans="12:13">
      <c r="L1975" s="3">
        <v>44658.836805549188</v>
      </c>
      <c r="M1975" s="15"/>
    </row>
    <row r="1976" spans="12:13">
      <c r="L1976" s="3">
        <v>44658.840277771407</v>
      </c>
      <c r="M1976" s="15"/>
    </row>
    <row r="1977" spans="12:13">
      <c r="L1977" s="3">
        <v>44658.843749993626</v>
      </c>
      <c r="M1977" s="15"/>
    </row>
    <row r="1978" spans="12:13">
      <c r="L1978" s="3">
        <v>44658.847222215845</v>
      </c>
      <c r="M1978" s="15"/>
    </row>
    <row r="1979" spans="12:13">
      <c r="L1979" s="3">
        <v>44658.850694438064</v>
      </c>
      <c r="M1979" s="15"/>
    </row>
    <row r="1980" spans="12:13">
      <c r="L1980" s="3">
        <v>44658.854166660283</v>
      </c>
      <c r="M1980" s="15"/>
    </row>
    <row r="1981" spans="12:13">
      <c r="L1981" s="3">
        <v>44658.857638882502</v>
      </c>
      <c r="M1981" s="15"/>
    </row>
    <row r="1982" spans="12:13">
      <c r="L1982" s="3">
        <v>44658.861111104721</v>
      </c>
      <c r="M1982" s="15"/>
    </row>
    <row r="1983" spans="12:13">
      <c r="L1983" s="3">
        <v>44658.86458332694</v>
      </c>
      <c r="M1983" s="15"/>
    </row>
    <row r="1984" spans="12:13">
      <c r="L1984" s="3">
        <v>44658.868055549159</v>
      </c>
      <c r="M1984" s="15"/>
    </row>
    <row r="1985" spans="12:13">
      <c r="L1985" s="3">
        <v>44658.871527771378</v>
      </c>
      <c r="M1985" s="15"/>
    </row>
    <row r="1986" spans="12:13">
      <c r="L1986" s="3">
        <v>44658.874999993597</v>
      </c>
      <c r="M1986" s="15"/>
    </row>
    <row r="1987" spans="12:13">
      <c r="L1987" s="3">
        <v>44658.878472215816</v>
      </c>
      <c r="M1987" s="15"/>
    </row>
    <row r="1988" spans="12:13">
      <c r="L1988" s="3">
        <v>44658.881944438035</v>
      </c>
      <c r="M1988" s="15"/>
    </row>
    <row r="1989" spans="12:13">
      <c r="L1989" s="3">
        <v>44658.885416660254</v>
      </c>
      <c r="M1989" s="15"/>
    </row>
    <row r="1990" spans="12:13">
      <c r="L1990" s="3">
        <v>44658.888888882473</v>
      </c>
      <c r="M1990" s="15"/>
    </row>
    <row r="1991" spans="12:13">
      <c r="L1991" s="3">
        <v>44658.892361104692</v>
      </c>
      <c r="M1991" s="15"/>
    </row>
    <row r="1992" spans="12:13">
      <c r="L1992" s="3">
        <v>44658.895833326911</v>
      </c>
      <c r="M1992" s="15"/>
    </row>
    <row r="1993" spans="12:13">
      <c r="L1993" s="3">
        <v>44658.89930554913</v>
      </c>
      <c r="M1993" s="15"/>
    </row>
    <row r="1994" spans="12:13">
      <c r="L1994" s="3">
        <v>44658.902777771349</v>
      </c>
      <c r="M1994" s="15"/>
    </row>
    <row r="1995" spans="12:13">
      <c r="L1995" s="3">
        <v>44658.906249993568</v>
      </c>
      <c r="M1995" s="15"/>
    </row>
    <row r="1996" spans="12:13">
      <c r="L1996" s="3">
        <v>44658.909722215787</v>
      </c>
      <c r="M1996" s="15"/>
    </row>
    <row r="1997" spans="12:13">
      <c r="L1997" s="3">
        <v>44658.913194438006</v>
      </c>
      <c r="M1997" s="15"/>
    </row>
    <row r="1998" spans="12:13">
      <c r="L1998" s="3">
        <v>44658.916666660225</v>
      </c>
      <c r="M1998" s="15"/>
    </row>
    <row r="1999" spans="12:13">
      <c r="L1999" s="3">
        <v>44658.920138882444</v>
      </c>
      <c r="M1999" s="15"/>
    </row>
    <row r="2000" spans="12:13">
      <c r="L2000" s="3">
        <v>44658.923611104663</v>
      </c>
      <c r="M2000" s="15"/>
    </row>
    <row r="2001" spans="12:13">
      <c r="L2001" s="3">
        <v>44658.927083326882</v>
      </c>
      <c r="M2001" s="15"/>
    </row>
    <row r="2002" spans="12:13">
      <c r="L2002" s="3">
        <v>44658.930555549101</v>
      </c>
      <c r="M2002" s="15"/>
    </row>
    <row r="2003" spans="12:13">
      <c r="L2003" s="3">
        <v>44658.93402777132</v>
      </c>
      <c r="M2003" s="15"/>
    </row>
    <row r="2004" spans="12:13">
      <c r="L2004" s="3">
        <v>44658.937499993539</v>
      </c>
      <c r="M2004" s="15"/>
    </row>
    <row r="2005" spans="12:13">
      <c r="L2005" s="3">
        <v>44658.940972215758</v>
      </c>
      <c r="M2005" s="15"/>
    </row>
    <row r="2006" spans="12:13">
      <c r="L2006" s="3">
        <v>44658.944444437977</v>
      </c>
      <c r="M2006" s="15"/>
    </row>
    <row r="2007" spans="12:13">
      <c r="L2007" s="3">
        <v>44658.947916660196</v>
      </c>
      <c r="M2007" s="15"/>
    </row>
    <row r="2008" spans="12:13">
      <c r="L2008" s="3">
        <v>44658.951388882415</v>
      </c>
      <c r="M2008" s="15"/>
    </row>
    <row r="2009" spans="12:13">
      <c r="L2009" s="3">
        <v>44658.954861104634</v>
      </c>
      <c r="M2009" s="15"/>
    </row>
    <row r="2010" spans="12:13">
      <c r="L2010" s="3">
        <v>44658.958333326853</v>
      </c>
      <c r="M2010" s="15"/>
    </row>
    <row r="2011" spans="12:13">
      <c r="L2011" s="3">
        <v>44658.961805549072</v>
      </c>
      <c r="M2011" s="15"/>
    </row>
    <row r="2012" spans="12:13">
      <c r="L2012" s="3">
        <v>44658.965277771291</v>
      </c>
      <c r="M2012" s="15"/>
    </row>
    <row r="2013" spans="12:13">
      <c r="L2013" s="3">
        <v>44658.96874999351</v>
      </c>
      <c r="M2013" s="15"/>
    </row>
    <row r="2014" spans="12:13">
      <c r="L2014" s="3">
        <v>44658.972222215729</v>
      </c>
      <c r="M2014" s="15"/>
    </row>
    <row r="2015" spans="12:13">
      <c r="L2015" s="3">
        <v>44658.975694437948</v>
      </c>
      <c r="M2015" s="15"/>
    </row>
    <row r="2016" spans="12:13">
      <c r="L2016" s="3">
        <v>44658.979166660167</v>
      </c>
      <c r="M2016" s="15"/>
    </row>
    <row r="2017" spans="12:13">
      <c r="L2017" s="3">
        <v>44658.982638882386</v>
      </c>
      <c r="M2017" s="15"/>
    </row>
    <row r="2018" spans="12:13">
      <c r="L2018" s="3">
        <v>44658.986111104605</v>
      </c>
      <c r="M2018" s="15"/>
    </row>
    <row r="2019" spans="12:13">
      <c r="L2019" s="3">
        <v>44658.989583326824</v>
      </c>
      <c r="M2019" s="15"/>
    </row>
    <row r="2020" spans="12:13">
      <c r="L2020" s="3">
        <v>44658.993055549043</v>
      </c>
      <c r="M2020" s="15"/>
    </row>
    <row r="2021" spans="12:13">
      <c r="L2021" s="3">
        <v>44658.996527771262</v>
      </c>
      <c r="M2021" s="15"/>
    </row>
    <row r="2022" spans="12:13">
      <c r="L2022" s="3">
        <v>44658.999999993481</v>
      </c>
      <c r="M2022" s="15"/>
    </row>
    <row r="2023" spans="12:13">
      <c r="L2023" s="3">
        <v>44659.0034722157</v>
      </c>
      <c r="M2023" s="15"/>
    </row>
    <row r="2024" spans="12:13">
      <c r="L2024" s="3">
        <v>44659.006944437919</v>
      </c>
      <c r="M2024" s="15"/>
    </row>
    <row r="2025" spans="12:13">
      <c r="L2025" s="3">
        <v>44659.010416660138</v>
      </c>
      <c r="M2025" s="15"/>
    </row>
    <row r="2026" spans="12:13">
      <c r="L2026" s="3">
        <v>44659.013888882357</v>
      </c>
      <c r="M2026" s="15"/>
    </row>
    <row r="2027" spans="12:13">
      <c r="L2027" s="3">
        <v>44659.017361104576</v>
      </c>
      <c r="M2027" s="15"/>
    </row>
    <row r="2028" spans="12:13">
      <c r="L2028" s="3">
        <v>44659.020833326795</v>
      </c>
      <c r="M2028" s="15"/>
    </row>
    <row r="2029" spans="12:13">
      <c r="L2029" s="3">
        <v>44659.024305549014</v>
      </c>
      <c r="M2029" s="15"/>
    </row>
    <row r="2030" spans="12:13">
      <c r="L2030" s="3">
        <v>44659.027777771233</v>
      </c>
      <c r="M2030" s="15"/>
    </row>
    <row r="2031" spans="12:13">
      <c r="L2031" s="3">
        <v>44659.031249993452</v>
      </c>
      <c r="M2031" s="15"/>
    </row>
    <row r="2032" spans="12:13">
      <c r="L2032" s="3">
        <v>44659.034722215671</v>
      </c>
      <c r="M2032" s="15"/>
    </row>
    <row r="2033" spans="12:13">
      <c r="L2033" s="3">
        <v>44659.03819443789</v>
      </c>
      <c r="M2033" s="15"/>
    </row>
    <row r="2034" spans="12:13">
      <c r="L2034" s="3">
        <v>44659.041666660109</v>
      </c>
      <c r="M2034" s="15"/>
    </row>
    <row r="2035" spans="12:13">
      <c r="L2035" s="3">
        <v>44659.045138882328</v>
      </c>
      <c r="M2035" s="15"/>
    </row>
    <row r="2036" spans="12:13">
      <c r="L2036" s="3">
        <v>44659.048611104547</v>
      </c>
      <c r="M2036" s="15"/>
    </row>
    <row r="2037" spans="12:13">
      <c r="L2037" s="3">
        <v>44659.052083326766</v>
      </c>
      <c r="M2037" s="15"/>
    </row>
    <row r="2038" spans="12:13">
      <c r="L2038" s="3">
        <v>44659.055555548985</v>
      </c>
      <c r="M2038" s="15"/>
    </row>
    <row r="2039" spans="12:13">
      <c r="L2039" s="3">
        <v>44659.059027771204</v>
      </c>
      <c r="M2039" s="15"/>
    </row>
    <row r="2040" spans="12:13">
      <c r="L2040" s="3">
        <v>44659.062499993423</v>
      </c>
      <c r="M2040" s="15"/>
    </row>
    <row r="2041" spans="12:13">
      <c r="L2041" s="3">
        <v>44659.065972215642</v>
      </c>
      <c r="M2041" s="15"/>
    </row>
    <row r="2042" spans="12:13">
      <c r="L2042" s="3">
        <v>44659.069444437861</v>
      </c>
      <c r="M2042" s="15"/>
    </row>
    <row r="2043" spans="12:13">
      <c r="L2043" s="3">
        <v>44659.072916660079</v>
      </c>
      <c r="M2043" s="15"/>
    </row>
    <row r="2044" spans="12:13">
      <c r="L2044" s="3">
        <v>44659.076388882298</v>
      </c>
      <c r="M2044" s="15"/>
    </row>
    <row r="2045" spans="12:13">
      <c r="L2045" s="3">
        <v>44659.079861104517</v>
      </c>
      <c r="M2045" s="15"/>
    </row>
    <row r="2046" spans="12:13">
      <c r="L2046" s="3">
        <v>44659.083333326736</v>
      </c>
      <c r="M2046" s="15"/>
    </row>
    <row r="2047" spans="12:13">
      <c r="L2047" s="3">
        <v>44659.086805548955</v>
      </c>
      <c r="M2047" s="15"/>
    </row>
    <row r="2048" spans="12:13">
      <c r="L2048" s="3">
        <v>44659.090277771174</v>
      </c>
      <c r="M2048" s="15"/>
    </row>
    <row r="2049" spans="12:13">
      <c r="L2049" s="3">
        <v>44659.093749993393</v>
      </c>
      <c r="M2049" s="15"/>
    </row>
    <row r="2050" spans="12:13">
      <c r="L2050" s="3">
        <v>44659.097222215612</v>
      </c>
      <c r="M2050" s="15"/>
    </row>
    <row r="2051" spans="12:13">
      <c r="L2051" s="3">
        <v>44659.100694437831</v>
      </c>
      <c r="M2051" s="15"/>
    </row>
    <row r="2052" spans="12:13">
      <c r="L2052" s="3">
        <v>44659.10416666005</v>
      </c>
      <c r="M2052" s="15"/>
    </row>
    <row r="2053" spans="12:13">
      <c r="L2053" s="3">
        <v>44659.107638882269</v>
      </c>
      <c r="M2053" s="15"/>
    </row>
    <row r="2054" spans="12:13">
      <c r="L2054" s="3">
        <v>44659.111111104488</v>
      </c>
      <c r="M2054" s="15"/>
    </row>
    <row r="2055" spans="12:13">
      <c r="L2055" s="3">
        <v>44659.114583326707</v>
      </c>
      <c r="M2055" s="15"/>
    </row>
    <row r="2056" spans="12:13">
      <c r="L2056" s="3">
        <v>44659.118055548926</v>
      </c>
      <c r="M2056" s="15"/>
    </row>
    <row r="2057" spans="12:13">
      <c r="L2057" s="3">
        <v>44659.121527771145</v>
      </c>
      <c r="M2057" s="15"/>
    </row>
    <row r="2058" spans="12:13">
      <c r="L2058" s="3">
        <v>44659.124999993364</v>
      </c>
      <c r="M2058" s="15"/>
    </row>
    <row r="2059" spans="12:13">
      <c r="L2059" s="3">
        <v>44659.128472215583</v>
      </c>
      <c r="M2059" s="15"/>
    </row>
    <row r="2060" spans="12:13">
      <c r="L2060" s="3">
        <v>44659.131944437802</v>
      </c>
      <c r="M2060" s="15"/>
    </row>
    <row r="2061" spans="12:13">
      <c r="L2061" s="3">
        <v>44659.135416660021</v>
      </c>
      <c r="M2061" s="15"/>
    </row>
    <row r="2062" spans="12:13">
      <c r="L2062" s="3">
        <v>44659.13888888224</v>
      </c>
      <c r="M2062" s="15"/>
    </row>
    <row r="2063" spans="12:13">
      <c r="L2063" s="3">
        <v>44659.142361104459</v>
      </c>
      <c r="M2063" s="15"/>
    </row>
    <row r="2064" spans="12:13">
      <c r="L2064" s="3">
        <v>44659.145833326678</v>
      </c>
      <c r="M2064" s="15"/>
    </row>
    <row r="2065" spans="12:13">
      <c r="L2065" s="3">
        <v>44659.149305548897</v>
      </c>
      <c r="M2065" s="15"/>
    </row>
    <row r="2066" spans="12:13">
      <c r="L2066" s="3">
        <v>44659.152777771116</v>
      </c>
      <c r="M2066" s="15"/>
    </row>
    <row r="2067" spans="12:13">
      <c r="L2067" s="3">
        <v>44659.156249993335</v>
      </c>
      <c r="M2067" s="15"/>
    </row>
    <row r="2068" spans="12:13">
      <c r="L2068" s="3">
        <v>44659.159722215554</v>
      </c>
      <c r="M2068" s="15"/>
    </row>
    <row r="2069" spans="12:13">
      <c r="L2069" s="3">
        <v>44659.163194437773</v>
      </c>
      <c r="M2069" s="15"/>
    </row>
    <row r="2070" spans="12:13">
      <c r="L2070" s="3">
        <v>44659.166666659992</v>
      </c>
      <c r="M2070" s="15"/>
    </row>
    <row r="2071" spans="12:13">
      <c r="L2071" s="3">
        <v>44659.170138882211</v>
      </c>
      <c r="M2071" s="15"/>
    </row>
    <row r="2072" spans="12:13">
      <c r="L2072" s="3">
        <v>44659.17361110443</v>
      </c>
      <c r="M2072" s="15"/>
    </row>
    <row r="2073" spans="12:13">
      <c r="L2073" s="3">
        <v>44659.177083326649</v>
      </c>
      <c r="M2073" s="15"/>
    </row>
    <row r="2074" spans="12:13">
      <c r="L2074" s="3">
        <v>44659.180555548868</v>
      </c>
      <c r="M2074" s="15"/>
    </row>
    <row r="2075" spans="12:13">
      <c r="L2075" s="3">
        <v>44659.184027771087</v>
      </c>
      <c r="M2075" s="15"/>
    </row>
    <row r="2076" spans="12:13">
      <c r="L2076" s="3">
        <v>44659.187499993306</v>
      </c>
      <c r="M2076" s="15"/>
    </row>
    <row r="2077" spans="12:13">
      <c r="L2077" s="3">
        <v>44659.190972215525</v>
      </c>
      <c r="M2077" s="15"/>
    </row>
    <row r="2078" spans="12:13">
      <c r="L2078" s="3">
        <v>44659.194444437744</v>
      </c>
      <c r="M2078" s="15"/>
    </row>
    <row r="2079" spans="12:13">
      <c r="L2079" s="3">
        <v>44659.197916659963</v>
      </c>
      <c r="M2079" s="15"/>
    </row>
    <row r="2080" spans="12:13">
      <c r="L2080" s="3">
        <v>44659.201388882182</v>
      </c>
      <c r="M2080" s="15"/>
    </row>
    <row r="2081" spans="12:13">
      <c r="L2081" s="3">
        <v>44659.204861104401</v>
      </c>
      <c r="M2081" s="15"/>
    </row>
    <row r="2082" spans="12:13">
      <c r="L2082" s="3">
        <v>44659.20833332662</v>
      </c>
      <c r="M2082" s="15"/>
    </row>
    <row r="2083" spans="12:13">
      <c r="L2083" s="3">
        <v>44659.211805548839</v>
      </c>
      <c r="M2083" s="15"/>
    </row>
    <row r="2084" spans="12:13">
      <c r="L2084" s="3">
        <v>44659.215277771058</v>
      </c>
      <c r="M2084" s="15"/>
    </row>
    <row r="2085" spans="12:13">
      <c r="L2085" s="3">
        <v>44659.218749993277</v>
      </c>
      <c r="M2085" s="15"/>
    </row>
    <row r="2086" spans="12:13">
      <c r="L2086" s="3">
        <v>44659.222222215496</v>
      </c>
      <c r="M2086" s="15"/>
    </row>
    <row r="2087" spans="12:13">
      <c r="L2087" s="3">
        <v>44659.225694437715</v>
      </c>
      <c r="M2087" s="15"/>
    </row>
    <row r="2088" spans="12:13">
      <c r="L2088" s="3">
        <v>44659.229166659934</v>
      </c>
      <c r="M2088" s="15"/>
    </row>
    <row r="2089" spans="12:13">
      <c r="L2089" s="3">
        <v>44659.232638882153</v>
      </c>
      <c r="M2089" s="15"/>
    </row>
    <row r="2090" spans="12:13">
      <c r="L2090" s="3">
        <v>44659.236111104372</v>
      </c>
      <c r="M2090" s="15"/>
    </row>
    <row r="2091" spans="12:13">
      <c r="L2091" s="3">
        <v>44659.239583326591</v>
      </c>
      <c r="M2091" s="15"/>
    </row>
    <row r="2092" spans="12:13">
      <c r="L2092" s="3">
        <v>44659.24305554881</v>
      </c>
      <c r="M2092" s="15"/>
    </row>
    <row r="2093" spans="12:13">
      <c r="L2093" s="3">
        <v>44659.246527771029</v>
      </c>
      <c r="M2093" s="15"/>
    </row>
    <row r="2094" spans="12:13">
      <c r="L2094" s="3">
        <v>44659.249999993248</v>
      </c>
      <c r="M2094" s="15"/>
    </row>
    <row r="2095" spans="12:13">
      <c r="L2095" s="3">
        <v>44659.253472215467</v>
      </c>
      <c r="M2095" s="15"/>
    </row>
    <row r="2096" spans="12:13">
      <c r="L2096" s="3">
        <v>44659.256944437686</v>
      </c>
      <c r="M2096" s="15"/>
    </row>
    <row r="2097" spans="12:13">
      <c r="L2097" s="3">
        <v>44659.260416659905</v>
      </c>
      <c r="M2097" s="15"/>
    </row>
    <row r="2098" spans="12:13">
      <c r="L2098" s="3">
        <v>44659.263888882124</v>
      </c>
      <c r="M2098" s="15"/>
    </row>
    <row r="2099" spans="12:13">
      <c r="L2099" s="3">
        <v>44659.267361104343</v>
      </c>
      <c r="M2099" s="15"/>
    </row>
    <row r="2100" spans="12:13">
      <c r="L2100" s="3">
        <v>44659.270833326562</v>
      </c>
      <c r="M2100" s="15"/>
    </row>
    <row r="2101" spans="12:13">
      <c r="L2101" s="3">
        <v>44659.274305548781</v>
      </c>
      <c r="M2101" s="15"/>
    </row>
    <row r="2102" spans="12:13">
      <c r="L2102" s="3">
        <v>44659.277777771</v>
      </c>
      <c r="M2102" s="15"/>
    </row>
    <row r="2103" spans="12:13">
      <c r="L2103" s="3">
        <v>44659.281249993219</v>
      </c>
      <c r="M2103" s="15"/>
    </row>
    <row r="2104" spans="12:13">
      <c r="L2104" s="3">
        <v>44659.284722215438</v>
      </c>
      <c r="M2104" s="15"/>
    </row>
    <row r="2105" spans="12:13">
      <c r="L2105" s="3">
        <v>44659.288194437657</v>
      </c>
      <c r="M2105" s="15"/>
    </row>
    <row r="2106" spans="12:13">
      <c r="L2106" s="3">
        <v>44659.291666659876</v>
      </c>
      <c r="M2106" s="15"/>
    </row>
    <row r="2107" spans="12:13">
      <c r="L2107" s="3">
        <v>44659.295138882095</v>
      </c>
      <c r="M2107" s="15"/>
    </row>
    <row r="2108" spans="12:13">
      <c r="L2108" s="3">
        <v>44659.298611104314</v>
      </c>
      <c r="M2108" s="15"/>
    </row>
    <row r="2109" spans="12:13">
      <c r="L2109" s="3">
        <v>44659.302083326533</v>
      </c>
      <c r="M2109" s="15"/>
    </row>
    <row r="2110" spans="12:13">
      <c r="L2110" s="3">
        <v>44659.305555548752</v>
      </c>
      <c r="M2110" s="15"/>
    </row>
    <row r="2111" spans="12:13">
      <c r="L2111" s="3">
        <v>44659.309027770971</v>
      </c>
      <c r="M2111" s="15"/>
    </row>
    <row r="2112" spans="12:13">
      <c r="L2112" s="3">
        <v>44659.31249999319</v>
      </c>
      <c r="M2112" s="15"/>
    </row>
    <row r="2113" spans="12:13">
      <c r="L2113" s="3">
        <v>44659.315972215409</v>
      </c>
      <c r="M2113" s="15"/>
    </row>
    <row r="2114" spans="12:13">
      <c r="L2114" s="3">
        <v>44659.319444437628</v>
      </c>
      <c r="M2114" s="15"/>
    </row>
    <row r="2115" spans="12:13">
      <c r="L2115" s="3">
        <v>44659.322916659847</v>
      </c>
      <c r="M2115" s="15"/>
    </row>
    <row r="2116" spans="12:13">
      <c r="L2116" s="3">
        <v>44659.326388882066</v>
      </c>
      <c r="M2116" s="15"/>
    </row>
    <row r="2117" spans="12:13">
      <c r="L2117" s="3">
        <v>44659.329861104285</v>
      </c>
      <c r="M2117" s="15"/>
    </row>
    <row r="2118" spans="12:13">
      <c r="L2118" s="3">
        <v>44659.333333326504</v>
      </c>
      <c r="M2118" s="15"/>
    </row>
    <row r="2119" spans="12:13">
      <c r="L2119" s="3">
        <v>44659.336805548723</v>
      </c>
      <c r="M2119" s="15"/>
    </row>
    <row r="2120" spans="12:13">
      <c r="L2120" s="3">
        <v>44659.340277770942</v>
      </c>
      <c r="M2120" s="15"/>
    </row>
    <row r="2121" spans="12:13">
      <c r="L2121" s="3">
        <v>44659.343749993161</v>
      </c>
      <c r="M2121" s="15"/>
    </row>
    <row r="2122" spans="12:13">
      <c r="L2122" s="3">
        <v>44659.34722221538</v>
      </c>
      <c r="M2122" s="15"/>
    </row>
    <row r="2123" spans="12:13">
      <c r="L2123" s="3">
        <v>44659.350694437599</v>
      </c>
      <c r="M2123" s="15"/>
    </row>
    <row r="2124" spans="12:13">
      <c r="L2124" s="3">
        <v>44659.354166659818</v>
      </c>
      <c r="M2124" s="15"/>
    </row>
    <row r="2125" spans="12:13">
      <c r="L2125" s="3">
        <v>44659.357638882037</v>
      </c>
      <c r="M2125" s="15"/>
    </row>
    <row r="2126" spans="12:13">
      <c r="L2126" s="3">
        <v>44659.361111104256</v>
      </c>
      <c r="M2126" s="15"/>
    </row>
    <row r="2127" spans="12:13">
      <c r="L2127" s="3">
        <v>44659.364583326475</v>
      </c>
      <c r="M2127" s="15"/>
    </row>
    <row r="2128" spans="12:13">
      <c r="L2128" s="3">
        <v>44659.368055548694</v>
      </c>
      <c r="M2128" s="15"/>
    </row>
    <row r="2129" spans="12:13">
      <c r="L2129" s="3">
        <v>44659.371527770913</v>
      </c>
      <c r="M2129" s="15"/>
    </row>
    <row r="2130" spans="12:13">
      <c r="L2130" s="3">
        <v>44659.374999993131</v>
      </c>
      <c r="M2130" s="15"/>
    </row>
    <row r="2131" spans="12:13">
      <c r="L2131" s="3">
        <v>44659.37847221535</v>
      </c>
      <c r="M2131" s="15"/>
    </row>
    <row r="2132" spans="12:13">
      <c r="L2132" s="3">
        <v>44659.381944437569</v>
      </c>
      <c r="M2132" s="15"/>
    </row>
    <row r="2133" spans="12:13">
      <c r="L2133" s="3">
        <v>44659.385416659788</v>
      </c>
      <c r="M2133" s="15"/>
    </row>
    <row r="2134" spans="12:13">
      <c r="L2134" s="3">
        <v>44659.388888882007</v>
      </c>
      <c r="M2134" s="15"/>
    </row>
    <row r="2135" spans="12:13">
      <c r="L2135" s="3">
        <v>44659.392361104226</v>
      </c>
      <c r="M2135" s="15"/>
    </row>
    <row r="2136" spans="12:13">
      <c r="L2136" s="3">
        <v>44659.395833326445</v>
      </c>
      <c r="M2136" s="15"/>
    </row>
    <row r="2137" spans="12:13">
      <c r="L2137" s="3">
        <v>44659.399305548664</v>
      </c>
      <c r="M2137" s="15"/>
    </row>
    <row r="2138" spans="12:13">
      <c r="L2138" s="3">
        <v>44659.402777770883</v>
      </c>
      <c r="M2138" s="15"/>
    </row>
    <row r="2139" spans="12:13">
      <c r="L2139" s="3">
        <v>44659.406249993102</v>
      </c>
      <c r="M2139" s="15"/>
    </row>
    <row r="2140" spans="12:13">
      <c r="L2140" s="3">
        <v>44659.409722215321</v>
      </c>
      <c r="M2140" s="15"/>
    </row>
    <row r="2141" spans="12:13">
      <c r="L2141" s="3">
        <v>44659.41319443754</v>
      </c>
      <c r="M2141" s="15"/>
    </row>
    <row r="2142" spans="12:13">
      <c r="L2142" s="3">
        <v>44659.416666659759</v>
      </c>
      <c r="M2142" s="15"/>
    </row>
    <row r="2143" spans="12:13">
      <c r="L2143" s="3">
        <v>44659.420138881978</v>
      </c>
      <c r="M2143" s="15"/>
    </row>
    <row r="2144" spans="12:13">
      <c r="L2144" s="3">
        <v>44659.423611104197</v>
      </c>
      <c r="M2144" s="15"/>
    </row>
    <row r="2145" spans="12:13">
      <c r="L2145" s="3">
        <v>44659.427083326416</v>
      </c>
      <c r="M2145" s="15"/>
    </row>
    <row r="2146" spans="12:13">
      <c r="L2146" s="3">
        <v>44659.430555548635</v>
      </c>
      <c r="M2146" s="15"/>
    </row>
    <row r="2147" spans="12:13">
      <c r="L2147" s="3">
        <v>44659.434027770854</v>
      </c>
      <c r="M2147" s="15"/>
    </row>
    <row r="2148" spans="12:13">
      <c r="L2148" s="3">
        <v>44659.437499993073</v>
      </c>
      <c r="M2148" s="15"/>
    </row>
    <row r="2149" spans="12:13">
      <c r="L2149" s="3">
        <v>44659.440972215292</v>
      </c>
      <c r="M2149" s="15"/>
    </row>
    <row r="2150" spans="12:13">
      <c r="L2150" s="3">
        <v>44659.444444437511</v>
      </c>
      <c r="M2150" s="15"/>
    </row>
    <row r="2151" spans="12:13">
      <c r="L2151" s="3">
        <v>44659.44791665973</v>
      </c>
      <c r="M2151" s="15"/>
    </row>
    <row r="2152" spans="12:13">
      <c r="L2152" s="3">
        <v>44659.451388881949</v>
      </c>
      <c r="M2152" s="15"/>
    </row>
    <row r="2153" spans="12:13">
      <c r="L2153" s="3">
        <v>44659.454861104168</v>
      </c>
      <c r="M2153" s="15"/>
    </row>
    <row r="2154" spans="12:13">
      <c r="L2154" s="3">
        <v>44659.458333326387</v>
      </c>
      <c r="M2154" s="15"/>
    </row>
    <row r="2155" spans="12:13">
      <c r="L2155" s="3">
        <v>44659.461805548606</v>
      </c>
      <c r="M2155" s="15"/>
    </row>
    <row r="2156" spans="12:13">
      <c r="L2156" s="3">
        <v>44659.465277770825</v>
      </c>
      <c r="M2156" s="15"/>
    </row>
    <row r="2157" spans="12:13">
      <c r="L2157" s="3">
        <v>44659.468749993044</v>
      </c>
      <c r="M2157" s="15"/>
    </row>
    <row r="2158" spans="12:13">
      <c r="L2158" s="3">
        <v>44659.472222215263</v>
      </c>
      <c r="M2158" s="15"/>
    </row>
    <row r="2159" spans="12:13">
      <c r="L2159" s="3">
        <v>44659.475694437482</v>
      </c>
      <c r="M2159" s="15"/>
    </row>
    <row r="2160" spans="12:13">
      <c r="L2160" s="3">
        <v>44659.479166659701</v>
      </c>
      <c r="M2160" s="15"/>
    </row>
    <row r="2161" spans="12:13">
      <c r="L2161" s="3">
        <v>44659.48263888192</v>
      </c>
      <c r="M2161" s="15"/>
    </row>
    <row r="2162" spans="12:13">
      <c r="L2162" s="3">
        <v>44659.486111104139</v>
      </c>
      <c r="M2162" s="15"/>
    </row>
    <row r="2163" spans="12:13">
      <c r="L2163" s="3">
        <v>44659.489583326358</v>
      </c>
      <c r="M2163" s="15"/>
    </row>
    <row r="2164" spans="12:13">
      <c r="L2164" s="3">
        <v>44659.493055548577</v>
      </c>
      <c r="M2164" s="15"/>
    </row>
    <row r="2165" spans="12:13">
      <c r="L2165" s="3">
        <v>44659.496527770796</v>
      </c>
      <c r="M2165" s="15"/>
    </row>
    <row r="2166" spans="12:13">
      <c r="L2166" s="3">
        <v>44659.499999993015</v>
      </c>
      <c r="M2166" s="15"/>
    </row>
    <row r="2167" spans="12:13">
      <c r="L2167" s="3">
        <v>44659.503472215234</v>
      </c>
      <c r="M2167" s="15"/>
    </row>
    <row r="2168" spans="12:13">
      <c r="L2168" s="3">
        <v>44659.506944437453</v>
      </c>
      <c r="M2168" s="15"/>
    </row>
    <row r="2169" spans="12:13">
      <c r="L2169" s="3">
        <v>44659.510416659672</v>
      </c>
      <c r="M2169" s="15"/>
    </row>
    <row r="2170" spans="12:13">
      <c r="L2170" s="3">
        <v>44659.513888881891</v>
      </c>
      <c r="M2170" s="15"/>
    </row>
    <row r="2171" spans="12:13">
      <c r="L2171" s="3">
        <v>44659.51736110411</v>
      </c>
      <c r="M2171" s="15"/>
    </row>
    <row r="2172" spans="12:13">
      <c r="L2172" s="3">
        <v>44659.520833326329</v>
      </c>
      <c r="M2172" s="15"/>
    </row>
    <row r="2173" spans="12:13">
      <c r="L2173" s="3">
        <v>44659.524305548548</v>
      </c>
      <c r="M2173" s="15"/>
    </row>
    <row r="2174" spans="12:13">
      <c r="L2174" s="3">
        <v>44659.527777770767</v>
      </c>
      <c r="M2174" s="15"/>
    </row>
    <row r="2175" spans="12:13">
      <c r="L2175" s="3">
        <v>44659.531249992986</v>
      </c>
      <c r="M2175" s="15"/>
    </row>
    <row r="2176" spans="12:13">
      <c r="L2176" s="3">
        <v>44659.534722215205</v>
      </c>
      <c r="M2176" s="15"/>
    </row>
    <row r="2177" spans="12:13">
      <c r="L2177" s="3">
        <v>44659.538194437424</v>
      </c>
      <c r="M2177" s="15"/>
    </row>
    <row r="2178" spans="12:13">
      <c r="L2178" s="3">
        <v>44659.541666659643</v>
      </c>
      <c r="M2178" s="15"/>
    </row>
    <row r="2179" spans="12:13">
      <c r="L2179" s="3">
        <v>44659.545138881862</v>
      </c>
      <c r="M2179" s="15"/>
    </row>
    <row r="2180" spans="12:13">
      <c r="L2180" s="3">
        <v>44659.548611104081</v>
      </c>
      <c r="M2180" s="15"/>
    </row>
    <row r="2181" spans="12:13">
      <c r="L2181" s="3">
        <v>44659.5520833263</v>
      </c>
      <c r="M2181" s="15"/>
    </row>
    <row r="2182" spans="12:13">
      <c r="L2182" s="3">
        <v>44659.555555548519</v>
      </c>
      <c r="M2182" s="15"/>
    </row>
    <row r="2183" spans="12:13">
      <c r="L2183" s="3">
        <v>44659.559027770738</v>
      </c>
      <c r="M2183" s="15"/>
    </row>
    <row r="2184" spans="12:13">
      <c r="L2184" s="3">
        <v>44659.562499992957</v>
      </c>
      <c r="M2184" s="15"/>
    </row>
    <row r="2185" spans="12:13">
      <c r="L2185" s="3">
        <v>44659.565972215176</v>
      </c>
      <c r="M2185" s="15"/>
    </row>
    <row r="2186" spans="12:13">
      <c r="L2186" s="3">
        <v>44659.569444437395</v>
      </c>
      <c r="M2186" s="15"/>
    </row>
    <row r="2187" spans="12:13">
      <c r="L2187" s="3">
        <v>44659.572916659614</v>
      </c>
      <c r="M2187" s="15"/>
    </row>
    <row r="2188" spans="12:13">
      <c r="L2188" s="3">
        <v>44659.576388881833</v>
      </c>
      <c r="M2188" s="15"/>
    </row>
    <row r="2189" spans="12:13">
      <c r="L2189" s="3">
        <v>44659.579861104052</v>
      </c>
      <c r="M2189" s="15"/>
    </row>
    <row r="2190" spans="12:13">
      <c r="L2190" s="3">
        <v>44659.583333326271</v>
      </c>
      <c r="M2190" s="15"/>
    </row>
    <row r="2191" spans="12:13">
      <c r="L2191" s="3">
        <v>44659.58680554849</v>
      </c>
      <c r="M2191" s="15"/>
    </row>
    <row r="2192" spans="12:13">
      <c r="L2192" s="3">
        <v>44659.590277770709</v>
      </c>
      <c r="M2192" s="15"/>
    </row>
    <row r="2193" spans="12:13">
      <c r="L2193" s="3">
        <v>44659.593749992928</v>
      </c>
      <c r="M2193" s="15"/>
    </row>
    <row r="2194" spans="12:13">
      <c r="L2194" s="3">
        <v>44659.597222215147</v>
      </c>
      <c r="M2194" s="15"/>
    </row>
    <row r="2195" spans="12:13">
      <c r="L2195" s="3">
        <v>44659.600694437366</v>
      </c>
      <c r="M2195" s="15"/>
    </row>
    <row r="2196" spans="12:13">
      <c r="L2196" s="3">
        <v>44659.604166659585</v>
      </c>
      <c r="M2196" s="15"/>
    </row>
    <row r="2197" spans="12:13">
      <c r="L2197" s="3">
        <v>44659.607638881804</v>
      </c>
      <c r="M2197" s="15"/>
    </row>
    <row r="2198" spans="12:13">
      <c r="L2198" s="3">
        <v>44659.611111104023</v>
      </c>
      <c r="M2198" s="15"/>
    </row>
    <row r="2199" spans="12:13">
      <c r="L2199" s="3">
        <v>44659.614583326242</v>
      </c>
      <c r="M2199" s="15"/>
    </row>
    <row r="2200" spans="12:13">
      <c r="L2200" s="3">
        <v>44659.618055548461</v>
      </c>
      <c r="M2200" s="15"/>
    </row>
    <row r="2201" spans="12:13">
      <c r="L2201" s="3">
        <v>44659.62152777068</v>
      </c>
      <c r="M2201" s="15"/>
    </row>
    <row r="2202" spans="12:13">
      <c r="L2202" s="3">
        <v>44659.624999992899</v>
      </c>
      <c r="M2202" s="15"/>
    </row>
    <row r="2203" spans="12:13">
      <c r="L2203" s="3">
        <v>44659.628472215118</v>
      </c>
      <c r="M2203" s="15"/>
    </row>
    <row r="2204" spans="12:13">
      <c r="L2204" s="3">
        <v>44659.631944437337</v>
      </c>
      <c r="M2204" s="15"/>
    </row>
    <row r="2205" spans="12:13">
      <c r="L2205" s="3">
        <v>44659.635416659556</v>
      </c>
      <c r="M2205" s="15"/>
    </row>
    <row r="2206" spans="12:13">
      <c r="L2206" s="3">
        <v>44659.638888881775</v>
      </c>
      <c r="M2206" s="15"/>
    </row>
    <row r="2207" spans="12:13">
      <c r="L2207" s="3">
        <v>44659.642361103994</v>
      </c>
      <c r="M2207" s="15"/>
    </row>
    <row r="2208" spans="12:13">
      <c r="L2208" s="3">
        <v>44659.645833326213</v>
      </c>
      <c r="M2208" s="15"/>
    </row>
    <row r="2209" spans="12:13">
      <c r="L2209" s="3">
        <v>44659.649305548432</v>
      </c>
      <c r="M2209" s="15"/>
    </row>
    <row r="2210" spans="12:13">
      <c r="L2210" s="3">
        <v>44659.652777770651</v>
      </c>
      <c r="M2210" s="15"/>
    </row>
    <row r="2211" spans="12:13">
      <c r="L2211" s="3">
        <v>44659.65624999287</v>
      </c>
      <c r="M2211" s="15"/>
    </row>
    <row r="2212" spans="12:13">
      <c r="L2212" s="3">
        <v>44659.659722215089</v>
      </c>
      <c r="M2212" s="15"/>
    </row>
    <row r="2213" spans="12:13">
      <c r="L2213" s="3">
        <v>44659.663194437308</v>
      </c>
      <c r="M2213" s="15"/>
    </row>
    <row r="2214" spans="12:13">
      <c r="L2214" s="3">
        <v>44659.666666659527</v>
      </c>
      <c r="M2214" s="15"/>
    </row>
    <row r="2215" spans="12:13">
      <c r="L2215" s="3">
        <v>44659.670138881746</v>
      </c>
      <c r="M2215" s="15"/>
    </row>
    <row r="2216" spans="12:13">
      <c r="L2216" s="3">
        <v>44659.673611103965</v>
      </c>
      <c r="M2216" s="15"/>
    </row>
    <row r="2217" spans="12:13">
      <c r="L2217" s="3">
        <v>44659.677083326183</v>
      </c>
      <c r="M2217" s="15"/>
    </row>
    <row r="2218" spans="12:13">
      <c r="L2218" s="3">
        <v>44659.680555548402</v>
      </c>
      <c r="M2218" s="15"/>
    </row>
    <row r="2219" spans="12:13">
      <c r="L2219" s="3">
        <v>44659.684027770621</v>
      </c>
      <c r="M2219" s="15"/>
    </row>
    <row r="2220" spans="12:13">
      <c r="L2220" s="3">
        <v>44659.68749999284</v>
      </c>
      <c r="M2220" s="15"/>
    </row>
    <row r="2221" spans="12:13">
      <c r="L2221" s="3">
        <v>44659.690972215059</v>
      </c>
      <c r="M2221" s="15"/>
    </row>
    <row r="2222" spans="12:13">
      <c r="L2222" s="3">
        <v>44659.694444437278</v>
      </c>
      <c r="M2222" s="15"/>
    </row>
    <row r="2223" spans="12:13">
      <c r="L2223" s="3">
        <v>44659.697916659497</v>
      </c>
      <c r="M2223" s="15"/>
    </row>
    <row r="2224" spans="12:13">
      <c r="L2224" s="3">
        <v>44659.701388881716</v>
      </c>
      <c r="M2224" s="15"/>
    </row>
    <row r="2225" spans="12:13">
      <c r="L2225" s="3">
        <v>44659.704861103935</v>
      </c>
      <c r="M2225" s="15"/>
    </row>
    <row r="2226" spans="12:13">
      <c r="L2226" s="3">
        <v>44659.708333326154</v>
      </c>
      <c r="M2226" s="15"/>
    </row>
    <row r="2227" spans="12:13">
      <c r="L2227" s="3">
        <v>44659.711805548373</v>
      </c>
      <c r="M2227" s="15"/>
    </row>
    <row r="2228" spans="12:13">
      <c r="L2228" s="3">
        <v>44659.715277770592</v>
      </c>
      <c r="M2228" s="15"/>
    </row>
    <row r="2229" spans="12:13">
      <c r="L2229" s="3">
        <v>44659.718749992811</v>
      </c>
      <c r="M2229" s="15"/>
    </row>
    <row r="2230" spans="12:13">
      <c r="L2230" s="3">
        <v>44659.72222221503</v>
      </c>
      <c r="M2230" s="15"/>
    </row>
    <row r="2231" spans="12:13">
      <c r="L2231" s="3">
        <v>44659.725694437249</v>
      </c>
      <c r="M2231" s="15"/>
    </row>
    <row r="2232" spans="12:13">
      <c r="L2232" s="3">
        <v>44659.729166659468</v>
      </c>
      <c r="M2232" s="15"/>
    </row>
    <row r="2233" spans="12:13">
      <c r="L2233" s="3">
        <v>44659.732638881687</v>
      </c>
      <c r="M2233" s="15"/>
    </row>
    <row r="2234" spans="12:13">
      <c r="L2234" s="3">
        <v>44659.736111103906</v>
      </c>
      <c r="M2234" s="15"/>
    </row>
    <row r="2235" spans="12:13">
      <c r="L2235" s="3">
        <v>44659.739583326125</v>
      </c>
      <c r="M2235" s="15"/>
    </row>
    <row r="2236" spans="12:13">
      <c r="L2236" s="3">
        <v>44659.743055548344</v>
      </c>
      <c r="M2236" s="15"/>
    </row>
    <row r="2237" spans="12:13">
      <c r="L2237" s="3">
        <v>44659.746527770563</v>
      </c>
      <c r="M2237" s="15"/>
    </row>
    <row r="2238" spans="12:13">
      <c r="L2238" s="3">
        <v>44659.749999992782</v>
      </c>
      <c r="M2238" s="15"/>
    </row>
    <row r="2239" spans="12:13">
      <c r="L2239" s="3">
        <v>44659.753472215001</v>
      </c>
      <c r="M2239" s="15"/>
    </row>
    <row r="2240" spans="12:13">
      <c r="L2240" s="3">
        <v>44659.75694443722</v>
      </c>
      <c r="M2240" s="15"/>
    </row>
    <row r="2241" spans="12:13">
      <c r="L2241" s="3">
        <v>44659.760416659439</v>
      </c>
      <c r="M2241" s="15"/>
    </row>
    <row r="2242" spans="12:13">
      <c r="L2242" s="3">
        <v>44659.763888881658</v>
      </c>
      <c r="M2242" s="15"/>
    </row>
    <row r="2243" spans="12:13">
      <c r="L2243" s="3">
        <v>44659.767361103877</v>
      </c>
      <c r="M2243" s="15"/>
    </row>
    <row r="2244" spans="12:13">
      <c r="L2244" s="3">
        <v>44659.770833326096</v>
      </c>
      <c r="M2244" s="15"/>
    </row>
    <row r="2245" spans="12:13">
      <c r="L2245" s="3">
        <v>44659.774305548315</v>
      </c>
      <c r="M2245" s="15"/>
    </row>
    <row r="2246" spans="12:13">
      <c r="L2246" s="3">
        <v>44659.777777770534</v>
      </c>
      <c r="M2246" s="15"/>
    </row>
    <row r="2247" spans="12:13">
      <c r="L2247" s="3">
        <v>44659.781249992753</v>
      </c>
      <c r="M2247" s="15"/>
    </row>
    <row r="2248" spans="12:13">
      <c r="L2248" s="3">
        <v>44659.784722214972</v>
      </c>
      <c r="M2248" s="15"/>
    </row>
    <row r="2249" spans="12:13">
      <c r="L2249" s="3">
        <v>44659.788194437191</v>
      </c>
      <c r="M2249" s="15"/>
    </row>
    <row r="2250" spans="12:13">
      <c r="L2250" s="3">
        <v>44659.79166665941</v>
      </c>
      <c r="M2250" s="15"/>
    </row>
    <row r="2251" spans="12:13">
      <c r="L2251" s="3">
        <v>44659.795138881629</v>
      </c>
      <c r="M2251" s="15"/>
    </row>
    <row r="2252" spans="12:13">
      <c r="L2252" s="3">
        <v>44659.798611103848</v>
      </c>
      <c r="M2252" s="15"/>
    </row>
    <row r="2253" spans="12:13">
      <c r="L2253" s="3">
        <v>44659.802083326067</v>
      </c>
      <c r="M2253" s="15"/>
    </row>
    <row r="2254" spans="12:13">
      <c r="L2254" s="3">
        <v>44659.805555548286</v>
      </c>
      <c r="M2254" s="15"/>
    </row>
    <row r="2255" spans="12:13">
      <c r="L2255" s="3">
        <v>44659.809027770505</v>
      </c>
      <c r="M2255" s="15"/>
    </row>
    <row r="2256" spans="12:13">
      <c r="L2256" s="3">
        <v>44659.812499992724</v>
      </c>
      <c r="M2256" s="15"/>
    </row>
    <row r="2257" spans="12:13">
      <c r="L2257" s="3">
        <v>44659.815972214943</v>
      </c>
      <c r="M2257" s="15"/>
    </row>
    <row r="2258" spans="12:13">
      <c r="L2258" s="3">
        <v>44659.819444437162</v>
      </c>
      <c r="M2258" s="15"/>
    </row>
    <row r="2259" spans="12:13">
      <c r="L2259" s="3">
        <v>44659.822916659381</v>
      </c>
      <c r="M2259" s="15"/>
    </row>
    <row r="2260" spans="12:13">
      <c r="L2260" s="3">
        <v>44659.8263888816</v>
      </c>
      <c r="M2260" s="15"/>
    </row>
    <row r="2261" spans="12:13">
      <c r="L2261" s="3">
        <v>44659.829861103819</v>
      </c>
      <c r="M2261" s="15"/>
    </row>
    <row r="2262" spans="12:13">
      <c r="L2262" s="3">
        <v>44659.833333326038</v>
      </c>
      <c r="M2262" s="15"/>
    </row>
    <row r="2263" spans="12:13">
      <c r="L2263" s="3">
        <v>44659.836805548257</v>
      </c>
      <c r="M2263" s="15"/>
    </row>
    <row r="2264" spans="12:13">
      <c r="L2264" s="3">
        <v>44659.840277770476</v>
      </c>
      <c r="M2264" s="15"/>
    </row>
    <row r="2265" spans="12:13">
      <c r="L2265" s="3">
        <v>44659.843749992695</v>
      </c>
      <c r="M2265" s="15"/>
    </row>
    <row r="2266" spans="12:13">
      <c r="L2266" s="3">
        <v>44659.847222214914</v>
      </c>
      <c r="M2266" s="15"/>
    </row>
    <row r="2267" spans="12:13">
      <c r="L2267" s="3">
        <v>44659.850694437133</v>
      </c>
      <c r="M2267" s="15"/>
    </row>
    <row r="2268" spans="12:13">
      <c r="L2268" s="3">
        <v>44659.854166659352</v>
      </c>
      <c r="M2268" s="15"/>
    </row>
    <row r="2269" spans="12:13">
      <c r="L2269" s="3">
        <v>44659.857638881571</v>
      </c>
      <c r="M2269" s="15"/>
    </row>
    <row r="2270" spans="12:13">
      <c r="L2270" s="3">
        <v>44659.86111110379</v>
      </c>
      <c r="M2270" s="15"/>
    </row>
    <row r="2271" spans="12:13">
      <c r="L2271" s="3">
        <v>44659.864583326009</v>
      </c>
      <c r="M2271" s="15"/>
    </row>
    <row r="2272" spans="12:13">
      <c r="L2272" s="3">
        <v>44659.868055548228</v>
      </c>
      <c r="M2272" s="15"/>
    </row>
    <row r="2273" spans="12:13">
      <c r="L2273" s="3">
        <v>44659.871527770447</v>
      </c>
      <c r="M2273" s="15"/>
    </row>
    <row r="2274" spans="12:13">
      <c r="L2274" s="3">
        <v>44659.874999992666</v>
      </c>
      <c r="M2274" s="15"/>
    </row>
    <row r="2275" spans="12:13">
      <c r="L2275" s="3">
        <v>44659.878472214885</v>
      </c>
      <c r="M2275" s="15"/>
    </row>
    <row r="2276" spans="12:13">
      <c r="L2276" s="3">
        <v>44659.881944437104</v>
      </c>
      <c r="M2276" s="15"/>
    </row>
    <row r="2277" spans="12:13">
      <c r="L2277" s="3">
        <v>44659.885416659323</v>
      </c>
      <c r="M2277" s="15"/>
    </row>
    <row r="2278" spans="12:13">
      <c r="L2278" s="3">
        <v>44659.888888881542</v>
      </c>
      <c r="M2278" s="15"/>
    </row>
    <row r="2279" spans="12:13">
      <c r="L2279" s="3">
        <v>44659.892361103761</v>
      </c>
      <c r="M2279" s="15"/>
    </row>
    <row r="2280" spans="12:13">
      <c r="L2280" s="3">
        <v>44659.89583332598</v>
      </c>
      <c r="M2280" s="15"/>
    </row>
    <row r="2281" spans="12:13">
      <c r="L2281" s="3">
        <v>44659.899305548199</v>
      </c>
      <c r="M2281" s="15"/>
    </row>
    <row r="2282" spans="12:13">
      <c r="L2282" s="3">
        <v>44659.902777770418</v>
      </c>
      <c r="M2282" s="15"/>
    </row>
    <row r="2283" spans="12:13">
      <c r="L2283" s="3">
        <v>44659.906249992637</v>
      </c>
      <c r="M2283" s="15"/>
    </row>
    <row r="2284" spans="12:13">
      <c r="L2284" s="3">
        <v>44659.909722214856</v>
      </c>
      <c r="M2284" s="15"/>
    </row>
    <row r="2285" spans="12:13">
      <c r="L2285" s="3">
        <v>44659.913194437075</v>
      </c>
      <c r="M2285" s="15"/>
    </row>
    <row r="2286" spans="12:13">
      <c r="L2286" s="3">
        <v>44659.916666659294</v>
      </c>
      <c r="M2286" s="15"/>
    </row>
    <row r="2287" spans="12:13">
      <c r="L2287" s="3">
        <v>44659.920138881513</v>
      </c>
      <c r="M2287" s="15"/>
    </row>
    <row r="2288" spans="12:13">
      <c r="L2288" s="3">
        <v>44659.923611103732</v>
      </c>
      <c r="M2288" s="15"/>
    </row>
    <row r="2289" spans="12:13">
      <c r="L2289" s="3">
        <v>44659.927083325951</v>
      </c>
      <c r="M2289" s="15"/>
    </row>
    <row r="2290" spans="12:13">
      <c r="L2290" s="3">
        <v>44659.93055554817</v>
      </c>
      <c r="M2290" s="15"/>
    </row>
    <row r="2291" spans="12:13">
      <c r="L2291" s="3">
        <v>44659.934027770389</v>
      </c>
      <c r="M2291" s="15"/>
    </row>
    <row r="2292" spans="12:13">
      <c r="L2292" s="3">
        <v>44659.937499992608</v>
      </c>
      <c r="M2292" s="15"/>
    </row>
    <row r="2293" spans="12:13">
      <c r="L2293" s="3">
        <v>44659.940972214827</v>
      </c>
      <c r="M2293" s="15"/>
    </row>
    <row r="2294" spans="12:13">
      <c r="L2294" s="3">
        <v>44659.944444437046</v>
      </c>
      <c r="M2294" s="15"/>
    </row>
    <row r="2295" spans="12:13">
      <c r="L2295" s="3">
        <v>44659.947916659265</v>
      </c>
      <c r="M2295" s="15"/>
    </row>
    <row r="2296" spans="12:13">
      <c r="L2296" s="3">
        <v>44659.951388881484</v>
      </c>
      <c r="M2296" s="15"/>
    </row>
    <row r="2297" spans="12:13">
      <c r="L2297" s="3">
        <v>44659.954861103703</v>
      </c>
      <c r="M2297" s="15"/>
    </row>
    <row r="2298" spans="12:13">
      <c r="L2298" s="3">
        <v>44659.958333325922</v>
      </c>
      <c r="M2298" s="15"/>
    </row>
    <row r="2299" spans="12:13">
      <c r="L2299" s="3">
        <v>44659.961805548141</v>
      </c>
      <c r="M2299" s="15"/>
    </row>
    <row r="2300" spans="12:13">
      <c r="L2300" s="3">
        <v>44659.96527777036</v>
      </c>
      <c r="M2300" s="15"/>
    </row>
    <row r="2301" spans="12:13">
      <c r="L2301" s="3">
        <v>44659.968749992579</v>
      </c>
      <c r="M2301" s="15"/>
    </row>
    <row r="2302" spans="12:13">
      <c r="L2302" s="3">
        <v>44659.972222214798</v>
      </c>
      <c r="M2302" s="15"/>
    </row>
    <row r="2303" spans="12:13">
      <c r="L2303" s="3">
        <v>44659.975694437017</v>
      </c>
      <c r="M2303" s="15"/>
    </row>
    <row r="2304" spans="12:13">
      <c r="L2304" s="3">
        <v>44659.979166659235</v>
      </c>
      <c r="M2304" s="15"/>
    </row>
    <row r="2305" spans="12:13">
      <c r="L2305" s="3">
        <v>44659.982638881454</v>
      </c>
      <c r="M2305" s="15"/>
    </row>
    <row r="2306" spans="12:13">
      <c r="L2306" s="3">
        <v>44659.986111103673</v>
      </c>
      <c r="M2306" s="15"/>
    </row>
    <row r="2307" spans="12:13">
      <c r="L2307" s="3">
        <v>44659.989583325892</v>
      </c>
      <c r="M2307" s="15"/>
    </row>
    <row r="2308" spans="12:13">
      <c r="L2308" s="3">
        <v>44659.993055548111</v>
      </c>
      <c r="M2308" s="15"/>
    </row>
    <row r="2309" spans="12:13">
      <c r="L2309" s="3">
        <v>44659.99652777033</v>
      </c>
      <c r="M2309" s="15"/>
    </row>
    <row r="2310" spans="12:13">
      <c r="L2310" s="3">
        <v>44659.999999992549</v>
      </c>
      <c r="M2310" s="15"/>
    </row>
    <row r="2311" spans="12:13">
      <c r="L2311" s="3">
        <v>44660.003472214768</v>
      </c>
      <c r="M2311" s="15"/>
    </row>
    <row r="2312" spans="12:13">
      <c r="L2312" s="3">
        <v>44660.006944436987</v>
      </c>
      <c r="M2312" s="15"/>
    </row>
    <row r="2313" spans="12:13">
      <c r="L2313" s="3">
        <v>44660.010416659206</v>
      </c>
      <c r="M2313" s="15"/>
    </row>
    <row r="2314" spans="12:13">
      <c r="L2314" s="3">
        <v>44660.013888881425</v>
      </c>
      <c r="M2314" s="15"/>
    </row>
    <row r="2315" spans="12:13">
      <c r="L2315" s="3">
        <v>44660.017361103644</v>
      </c>
      <c r="M2315" s="15"/>
    </row>
    <row r="2316" spans="12:13">
      <c r="L2316" s="3">
        <v>44660.020833325863</v>
      </c>
      <c r="M2316" s="15"/>
    </row>
    <row r="2317" spans="12:13">
      <c r="L2317" s="3">
        <v>44660.024305548082</v>
      </c>
      <c r="M2317" s="15"/>
    </row>
    <row r="2318" spans="12:13">
      <c r="L2318" s="3">
        <v>44660.027777770301</v>
      </c>
      <c r="M2318" s="15"/>
    </row>
    <row r="2319" spans="12:13">
      <c r="L2319" s="3">
        <v>44660.03124999252</v>
      </c>
      <c r="M2319" s="15"/>
    </row>
    <row r="2320" spans="12:13">
      <c r="L2320" s="3">
        <v>44660.034722214739</v>
      </c>
      <c r="M2320" s="15"/>
    </row>
    <row r="2321" spans="12:13">
      <c r="L2321" s="3">
        <v>44660.038194436958</v>
      </c>
      <c r="M2321" s="15"/>
    </row>
    <row r="2322" spans="12:13">
      <c r="L2322" s="3">
        <v>44660.041666659177</v>
      </c>
      <c r="M2322" s="15"/>
    </row>
    <row r="2323" spans="12:13">
      <c r="L2323" s="3">
        <v>44660.045138881396</v>
      </c>
      <c r="M2323" s="15"/>
    </row>
    <row r="2324" spans="12:13">
      <c r="L2324" s="3">
        <v>44660.048611103615</v>
      </c>
      <c r="M2324" s="15"/>
    </row>
    <row r="2325" spans="12:13">
      <c r="L2325" s="3">
        <v>44660.052083325834</v>
      </c>
      <c r="M2325" s="15"/>
    </row>
    <row r="2326" spans="12:13">
      <c r="L2326" s="3">
        <v>44660.055555548053</v>
      </c>
      <c r="M2326" s="15"/>
    </row>
    <row r="2327" spans="12:13">
      <c r="L2327" s="3">
        <v>44660.059027770272</v>
      </c>
      <c r="M2327" s="15"/>
    </row>
    <row r="2328" spans="12:13">
      <c r="L2328" s="3">
        <v>44660.062499992491</v>
      </c>
      <c r="M2328" s="15"/>
    </row>
    <row r="2329" spans="12:13">
      <c r="L2329" s="3">
        <v>44660.06597221471</v>
      </c>
      <c r="M2329" s="15"/>
    </row>
    <row r="2330" spans="12:13">
      <c r="L2330" s="3">
        <v>44660.069444436929</v>
      </c>
      <c r="M2330" s="15"/>
    </row>
    <row r="2331" spans="12:13">
      <c r="L2331" s="3">
        <v>44660.072916659148</v>
      </c>
      <c r="M2331" s="15"/>
    </row>
    <row r="2332" spans="12:13">
      <c r="L2332" s="3">
        <v>44660.076388881367</v>
      </c>
      <c r="M2332" s="15"/>
    </row>
    <row r="2333" spans="12:13">
      <c r="L2333" s="3">
        <v>44660.079861103586</v>
      </c>
      <c r="M2333" s="15"/>
    </row>
    <row r="2334" spans="12:13">
      <c r="L2334" s="3">
        <v>44660.083333325805</v>
      </c>
      <c r="M2334" s="15"/>
    </row>
    <row r="2335" spans="12:13">
      <c r="L2335" s="3">
        <v>44660.086805548024</v>
      </c>
      <c r="M2335" s="15"/>
    </row>
    <row r="2336" spans="12:13">
      <c r="L2336" s="3">
        <v>44660.090277770243</v>
      </c>
      <c r="M2336" s="15"/>
    </row>
    <row r="2337" spans="12:13">
      <c r="L2337" s="3">
        <v>44660.093749992462</v>
      </c>
      <c r="M2337" s="15"/>
    </row>
    <row r="2338" spans="12:13">
      <c r="L2338" s="3">
        <v>44660.097222214681</v>
      </c>
      <c r="M2338" s="15"/>
    </row>
    <row r="2339" spans="12:13">
      <c r="L2339" s="3">
        <v>44660.1006944369</v>
      </c>
      <c r="M2339" s="15"/>
    </row>
    <row r="2340" spans="12:13">
      <c r="L2340" s="3">
        <v>44660.104166659119</v>
      </c>
      <c r="M2340" s="15"/>
    </row>
    <row r="2341" spans="12:13">
      <c r="L2341" s="3">
        <v>44660.107638881338</v>
      </c>
      <c r="M2341" s="15"/>
    </row>
    <row r="2342" spans="12:13">
      <c r="L2342" s="3">
        <v>44660.111111103557</v>
      </c>
      <c r="M2342" s="15"/>
    </row>
    <row r="2343" spans="12:13">
      <c r="L2343" s="3">
        <v>44660.114583325776</v>
      </c>
      <c r="M2343" s="15"/>
    </row>
    <row r="2344" spans="12:13">
      <c r="L2344" s="3">
        <v>44660.118055547995</v>
      </c>
      <c r="M2344" s="15"/>
    </row>
    <row r="2345" spans="12:13">
      <c r="L2345" s="3">
        <v>44660.121527770214</v>
      </c>
      <c r="M2345" s="15"/>
    </row>
    <row r="2346" spans="12:13">
      <c r="L2346" s="3">
        <v>44660.124999992433</v>
      </c>
      <c r="M2346" s="15"/>
    </row>
    <row r="2347" spans="12:13">
      <c r="L2347" s="3">
        <v>44660.128472214652</v>
      </c>
      <c r="M2347" s="15"/>
    </row>
    <row r="2348" spans="12:13">
      <c r="L2348" s="3">
        <v>44660.131944436871</v>
      </c>
      <c r="M2348" s="15"/>
    </row>
    <row r="2349" spans="12:13">
      <c r="L2349" s="3">
        <v>44660.13541665909</v>
      </c>
      <c r="M2349" s="15"/>
    </row>
    <row r="2350" spans="12:13">
      <c r="L2350" s="3">
        <v>44660.138888881309</v>
      </c>
      <c r="M2350" s="15"/>
    </row>
    <row r="2351" spans="12:13">
      <c r="L2351" s="3">
        <v>44660.142361103528</v>
      </c>
      <c r="M2351" s="15"/>
    </row>
    <row r="2352" spans="12:13">
      <c r="L2352" s="3">
        <v>44660.145833325747</v>
      </c>
      <c r="M2352" s="15"/>
    </row>
    <row r="2353" spans="12:13">
      <c r="L2353" s="3">
        <v>44660.149305547966</v>
      </c>
      <c r="M2353" s="15"/>
    </row>
    <row r="2354" spans="12:13">
      <c r="L2354" s="3">
        <v>44660.152777770185</v>
      </c>
      <c r="M2354" s="15"/>
    </row>
    <row r="2355" spans="12:13">
      <c r="L2355" s="3">
        <v>44660.156249992404</v>
      </c>
      <c r="M2355" s="15"/>
    </row>
    <row r="2356" spans="12:13">
      <c r="L2356" s="3">
        <v>44660.159722214623</v>
      </c>
      <c r="M2356" s="15"/>
    </row>
    <row r="2357" spans="12:13">
      <c r="L2357" s="3">
        <v>44660.163194436842</v>
      </c>
      <c r="M2357" s="15"/>
    </row>
    <row r="2358" spans="12:13">
      <c r="L2358" s="3">
        <v>44660.166666659061</v>
      </c>
      <c r="M2358" s="15"/>
    </row>
    <row r="2359" spans="12:13">
      <c r="L2359" s="3">
        <v>44660.17013888128</v>
      </c>
      <c r="M2359" s="15"/>
    </row>
    <row r="2360" spans="12:13">
      <c r="L2360" s="3">
        <v>44660.173611103499</v>
      </c>
      <c r="M2360" s="15"/>
    </row>
    <row r="2361" spans="12:13">
      <c r="L2361" s="3">
        <v>44660.177083325718</v>
      </c>
      <c r="M2361" s="15"/>
    </row>
    <row r="2362" spans="12:13">
      <c r="L2362" s="3">
        <v>44660.180555547937</v>
      </c>
      <c r="M2362" s="15"/>
    </row>
    <row r="2363" spans="12:13">
      <c r="L2363" s="3">
        <v>44660.184027770156</v>
      </c>
      <c r="M2363" s="15"/>
    </row>
    <row r="2364" spans="12:13">
      <c r="L2364" s="3">
        <v>44660.187499992375</v>
      </c>
      <c r="M2364" s="15"/>
    </row>
    <row r="2365" spans="12:13">
      <c r="L2365" s="3">
        <v>44660.190972214594</v>
      </c>
      <c r="M2365" s="15"/>
    </row>
    <row r="2366" spans="12:13">
      <c r="L2366" s="3">
        <v>44660.194444436813</v>
      </c>
      <c r="M2366" s="15"/>
    </row>
    <row r="2367" spans="12:13">
      <c r="L2367" s="3">
        <v>44660.197916659032</v>
      </c>
      <c r="M2367" s="15"/>
    </row>
    <row r="2368" spans="12:13">
      <c r="L2368" s="3">
        <v>44660.201388881251</v>
      </c>
      <c r="M2368" s="15"/>
    </row>
    <row r="2369" spans="12:13">
      <c r="L2369" s="3">
        <v>44660.20486110347</v>
      </c>
      <c r="M2369" s="15"/>
    </row>
    <row r="2370" spans="12:13">
      <c r="L2370" s="3">
        <v>44660.208333325689</v>
      </c>
      <c r="M2370" s="15"/>
    </row>
    <row r="2371" spans="12:13">
      <c r="L2371" s="3">
        <v>44660.211805547908</v>
      </c>
      <c r="M2371" s="15"/>
    </row>
    <row r="2372" spans="12:13">
      <c r="L2372" s="3">
        <v>44660.215277770127</v>
      </c>
      <c r="M2372" s="15"/>
    </row>
    <row r="2373" spans="12:13">
      <c r="L2373" s="3">
        <v>44660.218749992346</v>
      </c>
      <c r="M2373" s="15"/>
    </row>
    <row r="2374" spans="12:13">
      <c r="L2374" s="3">
        <v>44660.222222214565</v>
      </c>
      <c r="M2374" s="15"/>
    </row>
    <row r="2375" spans="12:13">
      <c r="L2375" s="3">
        <v>44660.225694436784</v>
      </c>
      <c r="M2375" s="15"/>
    </row>
    <row r="2376" spans="12:13">
      <c r="L2376" s="3">
        <v>44660.229166659003</v>
      </c>
      <c r="M2376" s="15"/>
    </row>
    <row r="2377" spans="12:13">
      <c r="L2377" s="3">
        <v>44660.232638881222</v>
      </c>
      <c r="M2377" s="15"/>
    </row>
    <row r="2378" spans="12:13">
      <c r="L2378" s="3">
        <v>44660.236111103441</v>
      </c>
      <c r="M2378" s="15"/>
    </row>
    <row r="2379" spans="12:13">
      <c r="L2379" s="3">
        <v>44660.23958332566</v>
      </c>
      <c r="M2379" s="15"/>
    </row>
    <row r="2380" spans="12:13">
      <c r="L2380" s="3">
        <v>44660.243055547879</v>
      </c>
      <c r="M2380" s="15"/>
    </row>
    <row r="2381" spans="12:13">
      <c r="L2381" s="3">
        <v>44660.246527770098</v>
      </c>
      <c r="M2381" s="15"/>
    </row>
    <row r="2382" spans="12:13">
      <c r="L2382" s="3">
        <v>44660.249999992317</v>
      </c>
      <c r="M2382" s="15"/>
    </row>
    <row r="2383" spans="12:13">
      <c r="L2383" s="3">
        <v>44660.253472214536</v>
      </c>
      <c r="M2383" s="15"/>
    </row>
    <row r="2384" spans="12:13">
      <c r="L2384" s="3">
        <v>44660.256944436755</v>
      </c>
      <c r="M2384" s="15"/>
    </row>
    <row r="2385" spans="12:13">
      <c r="L2385" s="3">
        <v>44660.260416658974</v>
      </c>
      <c r="M2385" s="15"/>
    </row>
    <row r="2386" spans="12:13">
      <c r="L2386" s="3">
        <v>44660.263888881193</v>
      </c>
      <c r="M2386" s="15"/>
    </row>
    <row r="2387" spans="12:13">
      <c r="L2387" s="3">
        <v>44660.267361103412</v>
      </c>
      <c r="M2387" s="15"/>
    </row>
    <row r="2388" spans="12:13">
      <c r="L2388" s="3">
        <v>44660.270833325631</v>
      </c>
      <c r="M2388" s="15"/>
    </row>
    <row r="2389" spans="12:13">
      <c r="L2389" s="3">
        <v>44660.27430554785</v>
      </c>
      <c r="M2389" s="15"/>
    </row>
    <row r="2390" spans="12:13">
      <c r="L2390" s="3">
        <v>44660.277777770068</v>
      </c>
      <c r="M2390" s="15"/>
    </row>
    <row r="2391" spans="12:13">
      <c r="L2391" s="3">
        <v>44660.281249992287</v>
      </c>
      <c r="M2391" s="15"/>
    </row>
    <row r="2392" spans="12:13">
      <c r="L2392" s="3">
        <v>44660.284722214506</v>
      </c>
      <c r="M2392" s="15"/>
    </row>
    <row r="2393" spans="12:13">
      <c r="L2393" s="3">
        <v>44660.288194436725</v>
      </c>
      <c r="M2393" s="15"/>
    </row>
    <row r="2394" spans="12:13">
      <c r="L2394" s="3">
        <v>44660.291666658944</v>
      </c>
      <c r="M2394" s="15"/>
    </row>
    <row r="2395" spans="12:13">
      <c r="L2395" s="3">
        <v>44660.295138881163</v>
      </c>
      <c r="M2395" s="15"/>
    </row>
    <row r="2396" spans="12:13">
      <c r="L2396" s="3">
        <v>44660.298611103382</v>
      </c>
      <c r="M2396" s="15"/>
    </row>
    <row r="2397" spans="12:13">
      <c r="L2397" s="3">
        <v>44660.302083325601</v>
      </c>
      <c r="M2397" s="15"/>
    </row>
    <row r="2398" spans="12:13">
      <c r="L2398" s="3">
        <v>44660.30555554782</v>
      </c>
      <c r="M2398" s="15"/>
    </row>
    <row r="2399" spans="12:13">
      <c r="L2399" s="3">
        <v>44660.309027770039</v>
      </c>
      <c r="M2399" s="15"/>
    </row>
    <row r="2400" spans="12:13">
      <c r="L2400" s="3">
        <v>44660.312499992258</v>
      </c>
      <c r="M2400" s="15"/>
    </row>
    <row r="2401" spans="12:13">
      <c r="L2401" s="3">
        <v>44660.315972214477</v>
      </c>
      <c r="M2401" s="15"/>
    </row>
    <row r="2402" spans="12:13">
      <c r="L2402" s="3">
        <v>44660.319444436696</v>
      </c>
      <c r="M2402" s="15"/>
    </row>
    <row r="2403" spans="12:13">
      <c r="L2403" s="3">
        <v>44660.322916658915</v>
      </c>
      <c r="M2403" s="15"/>
    </row>
    <row r="2404" spans="12:13">
      <c r="L2404" s="3">
        <v>44660.326388881134</v>
      </c>
      <c r="M2404" s="15"/>
    </row>
    <row r="2405" spans="12:13">
      <c r="L2405" s="3">
        <v>44660.329861103353</v>
      </c>
      <c r="M2405" s="15"/>
    </row>
    <row r="2406" spans="12:13">
      <c r="L2406" s="3">
        <v>44660.333333325572</v>
      </c>
      <c r="M2406" s="15"/>
    </row>
    <row r="2407" spans="12:13">
      <c r="L2407" s="3">
        <v>44660.336805547791</v>
      </c>
      <c r="M2407" s="15"/>
    </row>
    <row r="2408" spans="12:13">
      <c r="L2408" s="3">
        <v>44660.34027777001</v>
      </c>
      <c r="M2408" s="15"/>
    </row>
    <row r="2409" spans="12:13">
      <c r="L2409" s="3">
        <v>44660.343749992229</v>
      </c>
      <c r="M2409" s="15"/>
    </row>
    <row r="2410" spans="12:13">
      <c r="L2410" s="3">
        <v>44660.347222214448</v>
      </c>
      <c r="M2410" s="15"/>
    </row>
    <row r="2411" spans="12:13">
      <c r="L2411" s="3">
        <v>44660.350694436667</v>
      </c>
      <c r="M2411" s="15"/>
    </row>
    <row r="2412" spans="12:13">
      <c r="L2412" s="3">
        <v>44660.354166658886</v>
      </c>
      <c r="M2412" s="15"/>
    </row>
    <row r="2413" spans="12:13">
      <c r="L2413" s="3">
        <v>44660.357638881105</v>
      </c>
      <c r="M2413" s="15"/>
    </row>
    <row r="2414" spans="12:13">
      <c r="L2414" s="3">
        <v>44660.361111103324</v>
      </c>
      <c r="M2414" s="15"/>
    </row>
    <row r="2415" spans="12:13">
      <c r="L2415" s="3">
        <v>44660.364583325543</v>
      </c>
      <c r="M2415" s="15"/>
    </row>
    <row r="2416" spans="12:13">
      <c r="L2416" s="3">
        <v>44660.368055547762</v>
      </c>
      <c r="M2416" s="15"/>
    </row>
    <row r="2417" spans="12:13">
      <c r="L2417" s="3">
        <v>44660.371527769981</v>
      </c>
      <c r="M2417" s="15"/>
    </row>
    <row r="2418" spans="12:13">
      <c r="L2418" s="3">
        <v>44660.3749999922</v>
      </c>
      <c r="M2418" s="15"/>
    </row>
    <row r="2419" spans="12:13">
      <c r="L2419" s="3">
        <v>44660.378472214419</v>
      </c>
      <c r="M2419" s="15"/>
    </row>
    <row r="2420" spans="12:13">
      <c r="L2420" s="3">
        <v>44660.381944436638</v>
      </c>
      <c r="M2420" s="15"/>
    </row>
    <row r="2421" spans="12:13">
      <c r="L2421" s="3">
        <v>44660.385416658857</v>
      </c>
      <c r="M2421" s="15"/>
    </row>
    <row r="2422" spans="12:13">
      <c r="L2422" s="3">
        <v>44660.388888881076</v>
      </c>
      <c r="M2422" s="15"/>
    </row>
    <row r="2423" spans="12:13">
      <c r="L2423" s="3">
        <v>44660.392361103295</v>
      </c>
      <c r="M2423" s="15"/>
    </row>
    <row r="2424" spans="12:13">
      <c r="L2424" s="3">
        <v>44660.395833325514</v>
      </c>
      <c r="M2424" s="15"/>
    </row>
    <row r="2425" spans="12:13">
      <c r="L2425" s="3">
        <v>44660.399305547733</v>
      </c>
      <c r="M2425" s="15"/>
    </row>
    <row r="2426" spans="12:13">
      <c r="L2426" s="3">
        <v>44660.402777769952</v>
      </c>
      <c r="M2426" s="15"/>
    </row>
    <row r="2427" spans="12:13">
      <c r="L2427" s="3">
        <v>44660.406249992171</v>
      </c>
      <c r="M2427" s="15"/>
    </row>
    <row r="2428" spans="12:13">
      <c r="L2428" s="3">
        <v>44660.40972221439</v>
      </c>
      <c r="M2428" s="15"/>
    </row>
    <row r="2429" spans="12:13">
      <c r="L2429" s="3">
        <v>44660.413194436609</v>
      </c>
      <c r="M2429" s="15"/>
    </row>
    <row r="2430" spans="12:13">
      <c r="L2430" s="3">
        <v>44660.416666658828</v>
      </c>
      <c r="M2430" s="15"/>
    </row>
    <row r="2431" spans="12:13">
      <c r="L2431" s="3">
        <v>44660.420138881047</v>
      </c>
      <c r="M2431" s="15"/>
    </row>
    <row r="2432" spans="12:13">
      <c r="L2432" s="3">
        <v>44660.423611103266</v>
      </c>
      <c r="M2432" s="15"/>
    </row>
    <row r="2433" spans="12:13">
      <c r="L2433" s="3">
        <v>44660.427083325485</v>
      </c>
      <c r="M2433" s="15"/>
    </row>
    <row r="2434" spans="12:13">
      <c r="L2434" s="3">
        <v>44660.430555547704</v>
      </c>
      <c r="M2434" s="15"/>
    </row>
    <row r="2435" spans="12:13">
      <c r="L2435" s="3">
        <v>44660.434027769923</v>
      </c>
      <c r="M2435" s="15"/>
    </row>
    <row r="2436" spans="12:13">
      <c r="L2436" s="3">
        <v>44660.437499992142</v>
      </c>
      <c r="M2436" s="15"/>
    </row>
    <row r="2437" spans="12:13">
      <c r="L2437" s="3">
        <v>44660.440972214361</v>
      </c>
      <c r="M2437" s="15"/>
    </row>
    <row r="2438" spans="12:13">
      <c r="L2438" s="3">
        <v>44660.44444443658</v>
      </c>
      <c r="M2438" s="15"/>
    </row>
    <row r="2439" spans="12:13">
      <c r="L2439" s="3">
        <v>44660.447916658799</v>
      </c>
      <c r="M2439" s="15"/>
    </row>
    <row r="2440" spans="12:13">
      <c r="L2440" s="3">
        <v>44660.451388881018</v>
      </c>
      <c r="M2440" s="15"/>
    </row>
    <row r="2441" spans="12:13">
      <c r="L2441" s="3">
        <v>44660.454861103237</v>
      </c>
      <c r="M2441" s="15"/>
    </row>
    <row r="2442" spans="12:13">
      <c r="L2442" s="3">
        <v>44660.458333325456</v>
      </c>
      <c r="M2442" s="15"/>
    </row>
    <row r="2443" spans="12:13">
      <c r="L2443" s="3">
        <v>44660.461805547675</v>
      </c>
      <c r="M2443" s="15"/>
    </row>
    <row r="2444" spans="12:13">
      <c r="L2444" s="3">
        <v>44660.465277769894</v>
      </c>
      <c r="M2444" s="15"/>
    </row>
    <row r="2445" spans="12:13">
      <c r="L2445" s="3">
        <v>44660.468749992113</v>
      </c>
      <c r="M2445" s="15"/>
    </row>
    <row r="2446" spans="12:13">
      <c r="L2446" s="3">
        <v>44660.472222214332</v>
      </c>
      <c r="M2446" s="15"/>
    </row>
    <row r="2447" spans="12:13">
      <c r="L2447" s="3">
        <v>44660.475694436551</v>
      </c>
      <c r="M2447" s="15"/>
    </row>
    <row r="2448" spans="12:13">
      <c r="L2448" s="3">
        <v>44660.47916665877</v>
      </c>
      <c r="M2448" s="15"/>
    </row>
    <row r="2449" spans="12:13">
      <c r="L2449" s="3">
        <v>44660.482638880989</v>
      </c>
      <c r="M2449" s="15"/>
    </row>
    <row r="2450" spans="12:13">
      <c r="L2450" s="3">
        <v>44660.486111103208</v>
      </c>
      <c r="M2450" s="15"/>
    </row>
    <row r="2451" spans="12:13">
      <c r="L2451" s="3">
        <v>44660.489583325427</v>
      </c>
      <c r="M2451" s="15"/>
    </row>
    <row r="2452" spans="12:13">
      <c r="L2452" s="3">
        <v>44660.493055547646</v>
      </c>
      <c r="M2452" s="15"/>
    </row>
    <row r="2453" spans="12:13">
      <c r="L2453" s="3">
        <v>44660.496527769865</v>
      </c>
      <c r="M2453" s="15"/>
    </row>
    <row r="2454" spans="12:13">
      <c r="L2454" s="3">
        <v>44660.499999992084</v>
      </c>
      <c r="M2454" s="15"/>
    </row>
    <row r="2455" spans="12:13">
      <c r="L2455" s="3">
        <v>44660.503472214303</v>
      </c>
      <c r="M2455" s="15"/>
    </row>
    <row r="2456" spans="12:13">
      <c r="L2456" s="3">
        <v>44660.506944436522</v>
      </c>
      <c r="M2456" s="15"/>
    </row>
    <row r="2457" spans="12:13">
      <c r="L2457" s="3">
        <v>44660.510416658741</v>
      </c>
      <c r="M2457" s="15"/>
    </row>
    <row r="2458" spans="12:13">
      <c r="L2458" s="3">
        <v>44660.51388888096</v>
      </c>
      <c r="M2458" s="15"/>
    </row>
    <row r="2459" spans="12:13">
      <c r="L2459" s="3">
        <v>44660.517361103179</v>
      </c>
      <c r="M2459" s="15"/>
    </row>
    <row r="2460" spans="12:13">
      <c r="L2460" s="3">
        <v>44660.520833325398</v>
      </c>
      <c r="M2460" s="15"/>
    </row>
    <row r="2461" spans="12:13">
      <c r="L2461" s="3">
        <v>44660.524305547617</v>
      </c>
      <c r="M2461" s="15"/>
    </row>
    <row r="2462" spans="12:13">
      <c r="L2462" s="3">
        <v>44660.527777769836</v>
      </c>
      <c r="M2462" s="15"/>
    </row>
    <row r="2463" spans="12:13">
      <c r="L2463" s="3">
        <v>44660.531249992055</v>
      </c>
      <c r="M2463" s="15"/>
    </row>
    <row r="2464" spans="12:13">
      <c r="L2464" s="3">
        <v>44660.534722214274</v>
      </c>
      <c r="M2464" s="15"/>
    </row>
    <row r="2465" spans="12:13">
      <c r="L2465" s="3">
        <v>44660.538194436493</v>
      </c>
      <c r="M2465" s="15"/>
    </row>
    <row r="2466" spans="12:13">
      <c r="L2466" s="3">
        <v>44660.541666658712</v>
      </c>
      <c r="M2466" s="15"/>
    </row>
    <row r="2467" spans="12:13">
      <c r="L2467" s="3">
        <v>44660.545138880931</v>
      </c>
      <c r="M2467" s="15"/>
    </row>
    <row r="2468" spans="12:13">
      <c r="L2468" s="3">
        <v>44660.54861110315</v>
      </c>
      <c r="M2468" s="15"/>
    </row>
    <row r="2469" spans="12:13">
      <c r="L2469" s="3">
        <v>44660.552083325369</v>
      </c>
      <c r="M2469" s="15"/>
    </row>
    <row r="2470" spans="12:13">
      <c r="L2470" s="3">
        <v>44660.555555547588</v>
      </c>
      <c r="M2470" s="15"/>
    </row>
    <row r="2471" spans="12:13">
      <c r="L2471" s="3">
        <v>44660.559027769807</v>
      </c>
      <c r="M2471" s="15"/>
    </row>
    <row r="2472" spans="12:13">
      <c r="L2472" s="3">
        <v>44660.562499992026</v>
      </c>
      <c r="M2472" s="15"/>
    </row>
    <row r="2473" spans="12:13">
      <c r="L2473" s="3">
        <v>44660.565972214245</v>
      </c>
      <c r="M2473" s="15"/>
    </row>
    <row r="2474" spans="12:13">
      <c r="L2474" s="3">
        <v>44660.569444436464</v>
      </c>
      <c r="M2474" s="15"/>
    </row>
    <row r="2475" spans="12:13">
      <c r="L2475" s="3">
        <v>44660.572916658683</v>
      </c>
      <c r="M2475" s="15"/>
    </row>
    <row r="2476" spans="12:13">
      <c r="L2476" s="3">
        <v>44660.576388880902</v>
      </c>
      <c r="M2476" s="15"/>
    </row>
    <row r="2477" spans="12:13">
      <c r="L2477" s="3">
        <v>44660.57986110312</v>
      </c>
      <c r="M2477" s="15"/>
    </row>
    <row r="2478" spans="12:13">
      <c r="L2478" s="3">
        <v>44660.583333325339</v>
      </c>
      <c r="M2478" s="15"/>
    </row>
    <row r="2479" spans="12:13">
      <c r="L2479" s="3">
        <v>44660.586805547558</v>
      </c>
      <c r="M2479" s="15"/>
    </row>
    <row r="2480" spans="12:13">
      <c r="L2480" s="3">
        <v>44660.590277769777</v>
      </c>
      <c r="M2480" s="15"/>
    </row>
    <row r="2481" spans="12:13">
      <c r="L2481" s="3">
        <v>44660.593749991996</v>
      </c>
      <c r="M2481" s="15"/>
    </row>
    <row r="2482" spans="12:13">
      <c r="L2482" s="3">
        <v>44660.597222214215</v>
      </c>
      <c r="M2482" s="15"/>
    </row>
    <row r="2483" spans="12:13">
      <c r="L2483" s="3">
        <v>44660.600694436434</v>
      </c>
      <c r="M2483" s="15"/>
    </row>
    <row r="2484" spans="12:13">
      <c r="L2484" s="3">
        <v>44660.604166658653</v>
      </c>
      <c r="M2484" s="15"/>
    </row>
    <row r="2485" spans="12:13">
      <c r="L2485" s="3">
        <v>44660.607638880872</v>
      </c>
      <c r="M2485" s="15"/>
    </row>
    <row r="2486" spans="12:13">
      <c r="L2486" s="3">
        <v>44660.611111103091</v>
      </c>
      <c r="M2486" s="15"/>
    </row>
    <row r="2487" spans="12:13">
      <c r="L2487" s="3">
        <v>44660.61458332531</v>
      </c>
      <c r="M2487" s="15"/>
    </row>
    <row r="2488" spans="12:13">
      <c r="L2488" s="3">
        <v>44660.618055547529</v>
      </c>
      <c r="M2488" s="15"/>
    </row>
    <row r="2489" spans="12:13">
      <c r="L2489" s="3">
        <v>44660.621527769748</v>
      </c>
      <c r="M2489" s="15"/>
    </row>
    <row r="2490" spans="12:13">
      <c r="L2490" s="3">
        <v>44660.624999991967</v>
      </c>
      <c r="M2490" s="15"/>
    </row>
    <row r="2491" spans="12:13">
      <c r="L2491" s="3">
        <v>44660.628472214186</v>
      </c>
      <c r="M2491" s="15"/>
    </row>
    <row r="2492" spans="12:13">
      <c r="L2492" s="3">
        <v>44660.631944436405</v>
      </c>
      <c r="M2492" s="15"/>
    </row>
    <row r="2493" spans="12:13">
      <c r="L2493" s="3">
        <v>44660.635416658624</v>
      </c>
      <c r="M2493" s="15"/>
    </row>
    <row r="2494" spans="12:13">
      <c r="L2494" s="3">
        <v>44660.638888880843</v>
      </c>
      <c r="M2494" s="15"/>
    </row>
    <row r="2495" spans="12:13">
      <c r="L2495" s="3">
        <v>44660.642361103062</v>
      </c>
      <c r="M2495" s="15"/>
    </row>
    <row r="2496" spans="12:13">
      <c r="L2496" s="3">
        <v>44660.645833325281</v>
      </c>
      <c r="M2496" s="15"/>
    </row>
    <row r="2497" spans="12:13">
      <c r="L2497" s="3">
        <v>44660.6493055475</v>
      </c>
      <c r="M2497" s="15"/>
    </row>
    <row r="2498" spans="12:13">
      <c r="L2498" s="3">
        <v>44660.652777769719</v>
      </c>
      <c r="M2498" s="15"/>
    </row>
    <row r="2499" spans="12:13">
      <c r="L2499" s="3">
        <v>44660.656249991938</v>
      </c>
      <c r="M2499" s="15"/>
    </row>
    <row r="2500" spans="12:13">
      <c r="L2500" s="3">
        <v>44660.659722214157</v>
      </c>
      <c r="M2500" s="15"/>
    </row>
    <row r="2501" spans="12:13">
      <c r="L2501" s="3">
        <v>44660.663194436376</v>
      </c>
      <c r="M2501" s="15"/>
    </row>
    <row r="2502" spans="12:13">
      <c r="L2502" s="3">
        <v>44660.666666658595</v>
      </c>
      <c r="M2502" s="15"/>
    </row>
    <row r="2503" spans="12:13">
      <c r="L2503" s="3">
        <v>44660.670138880814</v>
      </c>
      <c r="M2503" s="15"/>
    </row>
    <row r="2504" spans="12:13">
      <c r="L2504" s="3">
        <v>44660.673611103033</v>
      </c>
      <c r="M2504" s="15"/>
    </row>
    <row r="2505" spans="12:13">
      <c r="L2505" s="3">
        <v>44660.677083325252</v>
      </c>
      <c r="M2505" s="15"/>
    </row>
    <row r="2506" spans="12:13">
      <c r="L2506" s="3">
        <v>44660.680555547471</v>
      </c>
      <c r="M2506" s="15"/>
    </row>
    <row r="2507" spans="12:13">
      <c r="L2507" s="3">
        <v>44660.68402776969</v>
      </c>
      <c r="M2507" s="15"/>
    </row>
    <row r="2508" spans="12:13">
      <c r="L2508" s="3">
        <v>44660.687499991909</v>
      </c>
      <c r="M2508" s="15"/>
    </row>
    <row r="2509" spans="12:13">
      <c r="L2509" s="3">
        <v>44660.690972214128</v>
      </c>
      <c r="M2509" s="15"/>
    </row>
    <row r="2510" spans="12:13">
      <c r="L2510" s="3">
        <v>44660.694444436347</v>
      </c>
      <c r="M2510" s="15"/>
    </row>
    <row r="2511" spans="12:13">
      <c r="L2511" s="3">
        <v>44660.697916658566</v>
      </c>
      <c r="M2511" s="15"/>
    </row>
    <row r="2512" spans="12:13">
      <c r="L2512" s="3">
        <v>44660.701388880785</v>
      </c>
      <c r="M2512" s="15"/>
    </row>
    <row r="2513" spans="12:13">
      <c r="L2513" s="3">
        <v>44660.704861103004</v>
      </c>
      <c r="M2513" s="15"/>
    </row>
    <row r="2514" spans="12:13">
      <c r="L2514" s="3">
        <v>44660.708333325223</v>
      </c>
      <c r="M2514" s="15"/>
    </row>
    <row r="2515" spans="12:13">
      <c r="L2515" s="3">
        <v>44660.711805547442</v>
      </c>
      <c r="M2515" s="15"/>
    </row>
    <row r="2516" spans="12:13">
      <c r="L2516" s="3">
        <v>44660.715277769661</v>
      </c>
      <c r="M2516" s="15"/>
    </row>
    <row r="2517" spans="12:13">
      <c r="L2517" s="3">
        <v>44660.71874999188</v>
      </c>
      <c r="M2517" s="15"/>
    </row>
    <row r="2518" spans="12:13">
      <c r="L2518" s="3">
        <v>44660.722222214099</v>
      </c>
      <c r="M2518" s="15"/>
    </row>
    <row r="2519" spans="12:13">
      <c r="L2519" s="3">
        <v>44660.725694436318</v>
      </c>
      <c r="M2519" s="15"/>
    </row>
    <row r="2520" spans="12:13">
      <c r="L2520" s="3">
        <v>44660.729166658537</v>
      </c>
      <c r="M2520" s="15"/>
    </row>
    <row r="2521" spans="12:13">
      <c r="L2521" s="3">
        <v>44660.732638880756</v>
      </c>
      <c r="M2521" s="15"/>
    </row>
    <row r="2522" spans="12:13">
      <c r="L2522" s="3">
        <v>44660.736111102975</v>
      </c>
      <c r="M2522" s="15"/>
    </row>
    <row r="2523" spans="12:13">
      <c r="L2523" s="3">
        <v>44660.739583325194</v>
      </c>
      <c r="M2523" s="15"/>
    </row>
    <row r="2524" spans="12:13">
      <c r="L2524" s="3">
        <v>44660.743055547413</v>
      </c>
      <c r="M2524" s="15"/>
    </row>
    <row r="2525" spans="12:13">
      <c r="L2525" s="3">
        <v>44660.746527769632</v>
      </c>
      <c r="M2525" s="15"/>
    </row>
    <row r="2526" spans="12:13">
      <c r="L2526" s="3">
        <v>44660.749999991851</v>
      </c>
      <c r="M2526" s="15"/>
    </row>
    <row r="2527" spans="12:13">
      <c r="L2527" s="3">
        <v>44660.75347221407</v>
      </c>
      <c r="M2527" s="15"/>
    </row>
    <row r="2528" spans="12:13">
      <c r="L2528" s="3">
        <v>44660.756944436289</v>
      </c>
      <c r="M2528" s="15"/>
    </row>
    <row r="2529" spans="12:13">
      <c r="L2529" s="3">
        <v>44660.760416658508</v>
      </c>
      <c r="M2529" s="15"/>
    </row>
    <row r="2530" spans="12:13">
      <c r="L2530" s="3">
        <v>44660.763888880727</v>
      </c>
      <c r="M2530" s="15"/>
    </row>
    <row r="2531" spans="12:13">
      <c r="L2531" s="3">
        <v>44660.767361102946</v>
      </c>
      <c r="M2531" s="15"/>
    </row>
    <row r="2532" spans="12:13">
      <c r="L2532" s="3">
        <v>44660.770833325165</v>
      </c>
      <c r="M2532" s="15"/>
    </row>
    <row r="2533" spans="12:13">
      <c r="L2533" s="3">
        <v>44660.774305547384</v>
      </c>
      <c r="M2533" s="15"/>
    </row>
    <row r="2534" spans="12:13">
      <c r="L2534" s="3">
        <v>44660.777777769603</v>
      </c>
      <c r="M2534" s="15"/>
    </row>
    <row r="2535" spans="12:13">
      <c r="L2535" s="3">
        <v>44660.781249991822</v>
      </c>
      <c r="M2535" s="15"/>
    </row>
    <row r="2536" spans="12:13">
      <c r="L2536" s="3">
        <v>44660.784722214041</v>
      </c>
      <c r="M2536" s="15"/>
    </row>
    <row r="2537" spans="12:13">
      <c r="L2537" s="3">
        <v>44660.78819443626</v>
      </c>
      <c r="M2537" s="15"/>
    </row>
    <row r="2538" spans="12:13">
      <c r="L2538" s="3">
        <v>44660.791666658479</v>
      </c>
      <c r="M2538" s="15"/>
    </row>
    <row r="2539" spans="12:13">
      <c r="L2539" s="3">
        <v>44660.795138880698</v>
      </c>
      <c r="M2539" s="15"/>
    </row>
    <row r="2540" spans="12:13">
      <c r="L2540" s="3">
        <v>44660.798611102917</v>
      </c>
      <c r="M2540" s="15"/>
    </row>
    <row r="2541" spans="12:13">
      <c r="L2541" s="3">
        <v>44660.802083325136</v>
      </c>
      <c r="M2541" s="15"/>
    </row>
    <row r="2542" spans="12:13">
      <c r="L2542" s="3">
        <v>44660.805555547355</v>
      </c>
      <c r="M2542" s="15"/>
    </row>
    <row r="2543" spans="12:13">
      <c r="L2543" s="3">
        <v>44660.809027769574</v>
      </c>
      <c r="M2543" s="15"/>
    </row>
    <row r="2544" spans="12:13">
      <c r="L2544" s="3">
        <v>44660.812499991793</v>
      </c>
      <c r="M2544" s="15"/>
    </row>
    <row r="2545" spans="12:13">
      <c r="L2545" s="3">
        <v>44660.815972214012</v>
      </c>
      <c r="M2545" s="15"/>
    </row>
    <row r="2546" spans="12:13">
      <c r="L2546" s="3">
        <v>44660.819444436231</v>
      </c>
      <c r="M2546" s="15"/>
    </row>
    <row r="2547" spans="12:13">
      <c r="L2547" s="3">
        <v>44660.82291665845</v>
      </c>
      <c r="M2547" s="15"/>
    </row>
    <row r="2548" spans="12:13">
      <c r="L2548" s="3">
        <v>44660.826388880669</v>
      </c>
      <c r="M2548" s="15"/>
    </row>
    <row r="2549" spans="12:13">
      <c r="L2549" s="3">
        <v>44660.829861102888</v>
      </c>
      <c r="M2549" s="15"/>
    </row>
    <row r="2550" spans="12:13">
      <c r="L2550" s="3">
        <v>44660.833333325107</v>
      </c>
      <c r="M2550" s="15"/>
    </row>
    <row r="2551" spans="12:13">
      <c r="L2551" s="3">
        <v>44660.836805547326</v>
      </c>
      <c r="M2551" s="15"/>
    </row>
    <row r="2552" spans="12:13">
      <c r="L2552" s="3">
        <v>44660.840277769545</v>
      </c>
      <c r="M2552" s="15"/>
    </row>
    <row r="2553" spans="12:13">
      <c r="L2553" s="3">
        <v>44660.843749991764</v>
      </c>
      <c r="M2553" s="15"/>
    </row>
    <row r="2554" spans="12:13">
      <c r="L2554" s="3">
        <v>44660.847222213983</v>
      </c>
      <c r="M2554" s="15"/>
    </row>
    <row r="2555" spans="12:13">
      <c r="L2555" s="3">
        <v>44660.850694436202</v>
      </c>
      <c r="M2555" s="15"/>
    </row>
    <row r="2556" spans="12:13">
      <c r="L2556" s="3">
        <v>44660.854166658421</v>
      </c>
      <c r="M2556" s="15"/>
    </row>
    <row r="2557" spans="12:13">
      <c r="L2557" s="3">
        <v>44660.85763888064</v>
      </c>
      <c r="M2557" s="15"/>
    </row>
    <row r="2558" spans="12:13">
      <c r="L2558" s="3">
        <v>44660.861111102859</v>
      </c>
      <c r="M2558" s="15"/>
    </row>
    <row r="2559" spans="12:13">
      <c r="L2559" s="3">
        <v>44660.864583325078</v>
      </c>
      <c r="M2559" s="15"/>
    </row>
    <row r="2560" spans="12:13">
      <c r="L2560" s="3">
        <v>44660.868055547297</v>
      </c>
      <c r="M2560" s="15"/>
    </row>
    <row r="2561" spans="12:13">
      <c r="L2561" s="3">
        <v>44660.871527769516</v>
      </c>
      <c r="M2561" s="15"/>
    </row>
    <row r="2562" spans="12:13">
      <c r="L2562" s="3">
        <v>44660.874999991735</v>
      </c>
      <c r="M2562" s="15"/>
    </row>
    <row r="2563" spans="12:13">
      <c r="L2563" s="3">
        <v>44660.878472213954</v>
      </c>
      <c r="M2563" s="15"/>
    </row>
    <row r="2564" spans="12:13">
      <c r="L2564" s="3">
        <v>44660.881944436172</v>
      </c>
      <c r="M2564" s="15"/>
    </row>
    <row r="2565" spans="12:13">
      <c r="L2565" s="3">
        <v>44660.885416658391</v>
      </c>
      <c r="M2565" s="15"/>
    </row>
    <row r="2566" spans="12:13">
      <c r="L2566" s="3">
        <v>44660.88888888061</v>
      </c>
      <c r="M2566" s="15"/>
    </row>
    <row r="2567" spans="12:13">
      <c r="L2567" s="3">
        <v>44660.892361102829</v>
      </c>
      <c r="M2567" s="15"/>
    </row>
    <row r="2568" spans="12:13">
      <c r="L2568" s="3">
        <v>44660.895833325048</v>
      </c>
      <c r="M2568" s="15"/>
    </row>
    <row r="2569" spans="12:13">
      <c r="L2569" s="3">
        <v>44660.899305547267</v>
      </c>
      <c r="M2569" s="15"/>
    </row>
    <row r="2570" spans="12:13">
      <c r="L2570" s="3">
        <v>44660.902777769486</v>
      </c>
      <c r="M2570" s="15"/>
    </row>
    <row r="2571" spans="12:13">
      <c r="L2571" s="3">
        <v>44660.906249991705</v>
      </c>
      <c r="M2571" s="15"/>
    </row>
    <row r="2572" spans="12:13">
      <c r="L2572" s="3">
        <v>44660.909722213924</v>
      </c>
      <c r="M2572" s="15"/>
    </row>
    <row r="2573" spans="12:13">
      <c r="L2573" s="3">
        <v>44660.913194436143</v>
      </c>
      <c r="M2573" s="15"/>
    </row>
    <row r="2574" spans="12:13">
      <c r="L2574" s="3">
        <v>44660.916666658362</v>
      </c>
      <c r="M2574" s="15"/>
    </row>
    <row r="2575" spans="12:13">
      <c r="L2575" s="3">
        <v>44660.920138880581</v>
      </c>
      <c r="M2575" s="15"/>
    </row>
    <row r="2576" spans="12:13">
      <c r="L2576" s="3">
        <v>44660.9236111028</v>
      </c>
      <c r="M2576" s="15"/>
    </row>
    <row r="2577" spans="12:13">
      <c r="L2577" s="3">
        <v>44660.927083325019</v>
      </c>
      <c r="M2577" s="15"/>
    </row>
    <row r="2578" spans="12:13">
      <c r="L2578" s="3">
        <v>44660.930555547238</v>
      </c>
      <c r="M2578" s="15"/>
    </row>
    <row r="2579" spans="12:13">
      <c r="L2579" s="3">
        <v>44660.934027769457</v>
      </c>
      <c r="M2579" s="15"/>
    </row>
    <row r="2580" spans="12:13">
      <c r="L2580" s="3">
        <v>44660.937499991676</v>
      </c>
      <c r="M2580" s="15"/>
    </row>
    <row r="2581" spans="12:13">
      <c r="L2581" s="3">
        <v>44660.940972213895</v>
      </c>
      <c r="M2581" s="15"/>
    </row>
    <row r="2582" spans="12:13">
      <c r="L2582" s="3">
        <v>44660.944444436114</v>
      </c>
      <c r="M2582" s="15"/>
    </row>
    <row r="2583" spans="12:13">
      <c r="L2583" s="3">
        <v>44660.947916658333</v>
      </c>
      <c r="M2583" s="15"/>
    </row>
    <row r="2584" spans="12:13">
      <c r="L2584" s="3">
        <v>44660.951388880552</v>
      </c>
      <c r="M2584" s="15"/>
    </row>
    <row r="2585" spans="12:13">
      <c r="L2585" s="3">
        <v>44660.954861102771</v>
      </c>
      <c r="M2585" s="15"/>
    </row>
    <row r="2586" spans="12:13">
      <c r="L2586" s="3">
        <v>44660.95833332499</v>
      </c>
      <c r="M2586" s="15"/>
    </row>
    <row r="2587" spans="12:13">
      <c r="L2587" s="3">
        <v>44660.961805547209</v>
      </c>
      <c r="M2587" s="15"/>
    </row>
    <row r="2588" spans="12:13">
      <c r="L2588" s="3">
        <v>44660.965277769428</v>
      </c>
      <c r="M2588" s="15"/>
    </row>
    <row r="2589" spans="12:13">
      <c r="L2589" s="3">
        <v>44660.968749991647</v>
      </c>
      <c r="M2589" s="15"/>
    </row>
    <row r="2590" spans="12:13">
      <c r="L2590" s="3">
        <v>44660.972222213866</v>
      </c>
      <c r="M2590" s="15"/>
    </row>
    <row r="2591" spans="12:13">
      <c r="L2591" s="3">
        <v>44660.975694436085</v>
      </c>
      <c r="M2591" s="15"/>
    </row>
    <row r="2592" spans="12:13">
      <c r="L2592" s="3">
        <v>44660.979166658304</v>
      </c>
      <c r="M2592" s="15"/>
    </row>
    <row r="2593" spans="12:13">
      <c r="L2593" s="3">
        <v>44660.982638880523</v>
      </c>
      <c r="M2593" s="15"/>
    </row>
    <row r="2594" spans="12:13">
      <c r="L2594" s="3">
        <v>44660.986111102742</v>
      </c>
      <c r="M2594" s="15"/>
    </row>
    <row r="2595" spans="12:13">
      <c r="L2595" s="3">
        <v>44660.989583324961</v>
      </c>
      <c r="M2595" s="15"/>
    </row>
    <row r="2596" spans="12:13">
      <c r="L2596" s="3">
        <v>44660.99305554718</v>
      </c>
      <c r="M2596" s="15"/>
    </row>
    <row r="2597" spans="12:13">
      <c r="L2597" s="3">
        <v>44660.996527769399</v>
      </c>
      <c r="M2597" s="15"/>
    </row>
    <row r="2598" spans="12:13">
      <c r="L2598" s="3">
        <v>44660.999999991618</v>
      </c>
      <c r="M2598" s="15"/>
    </row>
    <row r="2599" spans="12:13">
      <c r="L2599" s="3">
        <v>44661.003472213837</v>
      </c>
      <c r="M2599" s="15"/>
    </row>
    <row r="2600" spans="12:13">
      <c r="L2600" s="3">
        <v>44661.006944436056</v>
      </c>
      <c r="M2600" s="15"/>
    </row>
    <row r="2601" spans="12:13">
      <c r="L2601" s="3">
        <v>44661.010416658275</v>
      </c>
      <c r="M2601" s="15"/>
    </row>
    <row r="2602" spans="12:13">
      <c r="L2602" s="3">
        <v>44661.013888880494</v>
      </c>
      <c r="M2602" s="15"/>
    </row>
    <row r="2603" spans="12:13">
      <c r="L2603" s="3">
        <v>44661.017361102713</v>
      </c>
      <c r="M2603" s="15"/>
    </row>
    <row r="2604" spans="12:13">
      <c r="L2604" s="3">
        <v>44661.020833324932</v>
      </c>
      <c r="M2604" s="15"/>
    </row>
    <row r="2605" spans="12:13">
      <c r="L2605" s="3">
        <v>44661.024305547151</v>
      </c>
      <c r="M2605" s="15"/>
    </row>
    <row r="2606" spans="12:13">
      <c r="L2606" s="3">
        <v>44661.02777776937</v>
      </c>
      <c r="M2606" s="15"/>
    </row>
    <row r="2607" spans="12:13">
      <c r="L2607" s="3">
        <v>44661.031249991589</v>
      </c>
      <c r="M2607" s="15"/>
    </row>
    <row r="2608" spans="12:13">
      <c r="L2608" s="3">
        <v>44661.034722213808</v>
      </c>
      <c r="M2608" s="15"/>
    </row>
    <row r="2609" spans="12:13">
      <c r="L2609" s="3">
        <v>44661.038194436027</v>
      </c>
      <c r="M2609" s="15"/>
    </row>
    <row r="2610" spans="12:13">
      <c r="L2610" s="3">
        <v>44661.041666658246</v>
      </c>
      <c r="M2610" s="15"/>
    </row>
    <row r="2611" spans="12:13">
      <c r="L2611" s="3">
        <v>44661.045138880465</v>
      </c>
      <c r="M2611" s="15"/>
    </row>
    <row r="2612" spans="12:13">
      <c r="L2612" s="3">
        <v>44661.048611102684</v>
      </c>
      <c r="M2612" s="15"/>
    </row>
    <row r="2613" spans="12:13">
      <c r="L2613" s="3">
        <v>44661.052083324903</v>
      </c>
      <c r="M2613" s="15"/>
    </row>
    <row r="2614" spans="12:13">
      <c r="L2614" s="3">
        <v>44661.055555547122</v>
      </c>
      <c r="M2614" s="15"/>
    </row>
    <row r="2615" spans="12:13">
      <c r="L2615" s="3">
        <v>44661.059027769341</v>
      </c>
      <c r="M2615" s="15"/>
    </row>
    <row r="2616" spans="12:13">
      <c r="L2616" s="3">
        <v>44661.06249999156</v>
      </c>
      <c r="M2616" s="15"/>
    </row>
    <row r="2617" spans="12:13">
      <c r="L2617" s="3">
        <v>44661.065972213779</v>
      </c>
      <c r="M2617" s="15"/>
    </row>
    <row r="2618" spans="12:13">
      <c r="L2618" s="3">
        <v>44661.069444435998</v>
      </c>
      <c r="M2618" s="15"/>
    </row>
    <row r="2619" spans="12:13">
      <c r="L2619" s="3">
        <v>44661.072916658217</v>
      </c>
      <c r="M2619" s="15"/>
    </row>
    <row r="2620" spans="12:13">
      <c r="L2620" s="3">
        <v>44661.076388880436</v>
      </c>
      <c r="M2620" s="15"/>
    </row>
    <row r="2621" spans="12:13">
      <c r="L2621" s="3">
        <v>44661.079861102655</v>
      </c>
      <c r="M2621" s="15"/>
    </row>
    <row r="2622" spans="12:13">
      <c r="L2622" s="3">
        <v>44661.083333324874</v>
      </c>
      <c r="M2622" s="15"/>
    </row>
    <row r="2623" spans="12:13">
      <c r="L2623" s="3">
        <v>44661.086805547093</v>
      </c>
      <c r="M2623" s="15"/>
    </row>
    <row r="2624" spans="12:13">
      <c r="L2624" s="3">
        <v>44661.090277769312</v>
      </c>
      <c r="M2624" s="15"/>
    </row>
    <row r="2625" spans="12:13">
      <c r="L2625" s="3">
        <v>44661.093749991531</v>
      </c>
      <c r="M2625" s="15"/>
    </row>
    <row r="2626" spans="12:13">
      <c r="L2626" s="3">
        <v>44661.09722221375</v>
      </c>
      <c r="M2626" s="15"/>
    </row>
    <row r="2627" spans="12:13">
      <c r="L2627" s="3">
        <v>44661.100694435969</v>
      </c>
      <c r="M2627" s="15"/>
    </row>
    <row r="2628" spans="12:13">
      <c r="L2628" s="3">
        <v>44661.104166658188</v>
      </c>
      <c r="M2628" s="15"/>
    </row>
    <row r="2629" spans="12:13">
      <c r="L2629" s="3">
        <v>44661.107638880407</v>
      </c>
      <c r="M2629" s="15"/>
    </row>
    <row r="2630" spans="12:13">
      <c r="L2630" s="3">
        <v>44661.111111102626</v>
      </c>
      <c r="M2630" s="15"/>
    </row>
    <row r="2631" spans="12:13">
      <c r="L2631" s="3">
        <v>44661.114583324845</v>
      </c>
      <c r="M2631" s="15"/>
    </row>
    <row r="2632" spans="12:13">
      <c r="L2632" s="3">
        <v>44661.118055547064</v>
      </c>
      <c r="M2632" s="15"/>
    </row>
    <row r="2633" spans="12:13">
      <c r="L2633" s="3">
        <v>44661.121527769283</v>
      </c>
      <c r="M2633" s="15"/>
    </row>
    <row r="2634" spans="12:13">
      <c r="L2634" s="3">
        <v>44661.124999991502</v>
      </c>
      <c r="M2634" s="15"/>
    </row>
    <row r="2635" spans="12:13">
      <c r="L2635" s="3">
        <v>44661.128472213721</v>
      </c>
      <c r="M2635" s="15"/>
    </row>
    <row r="2636" spans="12:13">
      <c r="L2636" s="3">
        <v>44661.13194443594</v>
      </c>
      <c r="M2636" s="15"/>
    </row>
    <row r="2637" spans="12:13">
      <c r="L2637" s="3">
        <v>44661.135416658159</v>
      </c>
      <c r="M2637" s="15"/>
    </row>
    <row r="2638" spans="12:13">
      <c r="L2638" s="3">
        <v>44661.138888880378</v>
      </c>
      <c r="M2638" s="15"/>
    </row>
    <row r="2639" spans="12:13">
      <c r="L2639" s="3">
        <v>44661.142361102597</v>
      </c>
      <c r="M2639" s="15"/>
    </row>
    <row r="2640" spans="12:13">
      <c r="L2640" s="3">
        <v>44661.145833324816</v>
      </c>
      <c r="M2640" s="15"/>
    </row>
    <row r="2641" spans="12:13">
      <c r="L2641" s="3">
        <v>44661.149305547035</v>
      </c>
      <c r="M2641" s="15"/>
    </row>
    <row r="2642" spans="12:13">
      <c r="L2642" s="3">
        <v>44661.152777769254</v>
      </c>
      <c r="M2642" s="15"/>
    </row>
    <row r="2643" spans="12:13">
      <c r="L2643" s="3">
        <v>44661.156249991473</v>
      </c>
      <c r="M2643" s="15"/>
    </row>
    <row r="2644" spans="12:13">
      <c r="L2644" s="3">
        <v>44661.159722213692</v>
      </c>
      <c r="M2644" s="15"/>
    </row>
    <row r="2645" spans="12:13">
      <c r="L2645" s="3">
        <v>44661.163194435911</v>
      </c>
      <c r="M2645" s="15"/>
    </row>
    <row r="2646" spans="12:13">
      <c r="L2646" s="3">
        <v>44661.16666665813</v>
      </c>
      <c r="M2646" s="15"/>
    </row>
    <row r="2647" spans="12:13">
      <c r="L2647" s="3">
        <v>44661.170138880349</v>
      </c>
      <c r="M2647" s="15"/>
    </row>
    <row r="2648" spans="12:13">
      <c r="L2648" s="3">
        <v>44661.173611102568</v>
      </c>
      <c r="M2648" s="15"/>
    </row>
    <row r="2649" spans="12:13">
      <c r="L2649" s="3">
        <v>44661.177083324787</v>
      </c>
      <c r="M2649" s="15"/>
    </row>
    <row r="2650" spans="12:13">
      <c r="L2650" s="3">
        <v>44661.180555547005</v>
      </c>
      <c r="M2650" s="15"/>
    </row>
    <row r="2651" spans="12:13">
      <c r="L2651" s="3">
        <v>44661.184027769224</v>
      </c>
      <c r="M2651" s="15"/>
    </row>
    <row r="2652" spans="12:13">
      <c r="L2652" s="3">
        <v>44661.187499991443</v>
      </c>
      <c r="M2652" s="15"/>
    </row>
    <row r="2653" spans="12:13">
      <c r="L2653" s="3">
        <v>44661.190972213662</v>
      </c>
      <c r="M2653" s="15"/>
    </row>
    <row r="2654" spans="12:13">
      <c r="L2654" s="3">
        <v>44661.194444435881</v>
      </c>
      <c r="M2654" s="15"/>
    </row>
    <row r="2655" spans="12:13">
      <c r="L2655" s="3">
        <v>44661.1979166581</v>
      </c>
      <c r="M2655" s="15"/>
    </row>
    <row r="2656" spans="12:13">
      <c r="L2656" s="3">
        <v>44661.201388880319</v>
      </c>
      <c r="M2656" s="15"/>
    </row>
    <row r="2657" spans="12:13">
      <c r="L2657" s="3">
        <v>44661.204861102538</v>
      </c>
      <c r="M2657" s="15"/>
    </row>
    <row r="2658" spans="12:13">
      <c r="L2658" s="3">
        <v>44661.208333324757</v>
      </c>
      <c r="M2658" s="15"/>
    </row>
    <row r="2659" spans="12:13">
      <c r="L2659" s="3">
        <v>44661.211805546976</v>
      </c>
      <c r="M2659" s="15"/>
    </row>
    <row r="2660" spans="12:13">
      <c r="L2660" s="3">
        <v>44661.215277769195</v>
      </c>
      <c r="M2660" s="15"/>
    </row>
    <row r="2661" spans="12:13">
      <c r="L2661" s="3">
        <v>44661.218749991414</v>
      </c>
      <c r="M2661" s="15"/>
    </row>
    <row r="2662" spans="12:13">
      <c r="L2662" s="3">
        <v>44661.222222213633</v>
      </c>
      <c r="M2662" s="15"/>
    </row>
    <row r="2663" spans="12:13">
      <c r="L2663" s="3">
        <v>44661.225694435852</v>
      </c>
      <c r="M2663" s="15"/>
    </row>
    <row r="2664" spans="12:13">
      <c r="L2664" s="3">
        <v>44661.229166658071</v>
      </c>
      <c r="M2664" s="15"/>
    </row>
    <row r="2665" spans="12:13">
      <c r="L2665" s="3">
        <v>44661.23263888029</v>
      </c>
      <c r="M2665" s="15"/>
    </row>
    <row r="2666" spans="12:13">
      <c r="L2666" s="3">
        <v>44661.236111102509</v>
      </c>
      <c r="M2666" s="15"/>
    </row>
    <row r="2667" spans="12:13">
      <c r="L2667" s="3">
        <v>44661.239583324728</v>
      </c>
      <c r="M2667" s="15"/>
    </row>
    <row r="2668" spans="12:13">
      <c r="L2668" s="3">
        <v>44661.243055546947</v>
      </c>
      <c r="M2668" s="15"/>
    </row>
    <row r="2669" spans="12:13">
      <c r="L2669" s="3">
        <v>44661.246527769166</v>
      </c>
      <c r="M2669" s="15"/>
    </row>
    <row r="2670" spans="12:13">
      <c r="L2670" s="3">
        <v>44661.249999991385</v>
      </c>
      <c r="M2670" s="15"/>
    </row>
    <row r="2671" spans="12:13">
      <c r="L2671" s="3">
        <v>44661.253472213604</v>
      </c>
      <c r="M2671" s="15"/>
    </row>
    <row r="2672" spans="12:13">
      <c r="L2672" s="3">
        <v>44661.256944435823</v>
      </c>
      <c r="M2672" s="15"/>
    </row>
    <row r="2673" spans="12:13">
      <c r="L2673" s="3">
        <v>44661.260416658042</v>
      </c>
      <c r="M2673" s="15"/>
    </row>
    <row r="2674" spans="12:13">
      <c r="L2674" s="3">
        <v>44661.263888880261</v>
      </c>
      <c r="M2674" s="15"/>
    </row>
    <row r="2675" spans="12:13">
      <c r="L2675" s="3">
        <v>44661.26736110248</v>
      </c>
      <c r="M2675" s="15"/>
    </row>
    <row r="2676" spans="12:13">
      <c r="L2676" s="3">
        <v>44661.270833324699</v>
      </c>
      <c r="M2676" s="15"/>
    </row>
    <row r="2677" spans="12:13">
      <c r="L2677" s="3">
        <v>44661.274305546918</v>
      </c>
      <c r="M2677" s="15"/>
    </row>
    <row r="2678" spans="12:13">
      <c r="L2678" s="3">
        <v>44661.277777769137</v>
      </c>
      <c r="M2678" s="15"/>
    </row>
    <row r="2679" spans="12:13">
      <c r="L2679" s="3">
        <v>44661.281249991356</v>
      </c>
      <c r="M2679" s="15"/>
    </row>
    <row r="2680" spans="12:13">
      <c r="L2680" s="3">
        <v>44661.284722213575</v>
      </c>
      <c r="M2680" s="15"/>
    </row>
    <row r="2681" spans="12:13">
      <c r="L2681" s="3">
        <v>44661.288194435794</v>
      </c>
      <c r="M2681" s="15"/>
    </row>
    <row r="2682" spans="12:13">
      <c r="L2682" s="3">
        <v>44661.291666658013</v>
      </c>
      <c r="M2682" s="15"/>
    </row>
    <row r="2683" spans="12:13">
      <c r="L2683" s="3">
        <v>44661.295138880232</v>
      </c>
      <c r="M2683" s="15"/>
    </row>
    <row r="2684" spans="12:13">
      <c r="L2684" s="3">
        <v>44661.298611102451</v>
      </c>
      <c r="M2684" s="15"/>
    </row>
    <row r="2685" spans="12:13">
      <c r="L2685" s="3">
        <v>44661.30208332467</v>
      </c>
      <c r="M2685" s="15"/>
    </row>
    <row r="2686" spans="12:13">
      <c r="L2686" s="3">
        <v>44661.305555546889</v>
      </c>
      <c r="M2686" s="15"/>
    </row>
    <row r="2687" spans="12:13">
      <c r="L2687" s="3">
        <v>44661.309027769108</v>
      </c>
      <c r="M2687" s="15"/>
    </row>
    <row r="2688" spans="12:13">
      <c r="L2688" s="3">
        <v>44661.312499991327</v>
      </c>
      <c r="M2688" s="15"/>
    </row>
    <row r="2689" spans="12:13">
      <c r="L2689" s="3">
        <v>44661.315972213546</v>
      </c>
      <c r="M2689" s="15"/>
    </row>
    <row r="2690" spans="12:13">
      <c r="L2690" s="3">
        <v>44661.319444435765</v>
      </c>
      <c r="M2690" s="15"/>
    </row>
    <row r="2691" spans="12:13">
      <c r="L2691" s="3">
        <v>44661.322916657984</v>
      </c>
      <c r="M2691" s="15"/>
    </row>
    <row r="2692" spans="12:13">
      <c r="L2692" s="3">
        <v>44661.326388880203</v>
      </c>
      <c r="M2692" s="15"/>
    </row>
    <row r="2693" spans="12:13">
      <c r="L2693" s="3">
        <v>44661.329861102422</v>
      </c>
      <c r="M2693" s="15"/>
    </row>
    <row r="2694" spans="12:13">
      <c r="L2694" s="3">
        <v>44661.333333324641</v>
      </c>
      <c r="M2694" s="15"/>
    </row>
    <row r="2695" spans="12:13">
      <c r="L2695" s="3">
        <v>44661.33680554686</v>
      </c>
      <c r="M2695" s="15"/>
    </row>
    <row r="2696" spans="12:13">
      <c r="L2696" s="3">
        <v>44661.340277769079</v>
      </c>
      <c r="M2696" s="15"/>
    </row>
    <row r="2697" spans="12:13">
      <c r="L2697" s="3">
        <v>44661.343749991298</v>
      </c>
      <c r="M2697" s="15"/>
    </row>
    <row r="2698" spans="12:13">
      <c r="L2698" s="3">
        <v>44661.347222213517</v>
      </c>
      <c r="M2698" s="15"/>
    </row>
    <row r="2699" spans="12:13">
      <c r="L2699" s="3">
        <v>44661.350694435736</v>
      </c>
      <c r="M2699" s="15"/>
    </row>
    <row r="2700" spans="12:13">
      <c r="L2700" s="3">
        <v>44661.354166657955</v>
      </c>
      <c r="M2700" s="15"/>
    </row>
    <row r="2701" spans="12:13">
      <c r="L2701" s="3">
        <v>44661.357638880174</v>
      </c>
      <c r="M2701" s="15"/>
    </row>
    <row r="2702" spans="12:13">
      <c r="L2702" s="3">
        <v>44661.361111102393</v>
      </c>
      <c r="M2702" s="15"/>
    </row>
    <row r="2703" spans="12:13">
      <c r="L2703" s="3">
        <v>44661.364583324612</v>
      </c>
      <c r="M2703" s="15"/>
    </row>
    <row r="2704" spans="12:13">
      <c r="L2704" s="3">
        <v>44661.368055546831</v>
      </c>
      <c r="M2704" s="15"/>
    </row>
    <row r="2705" spans="12:13">
      <c r="L2705" s="3">
        <v>44661.37152776905</v>
      </c>
      <c r="M2705" s="15"/>
    </row>
    <row r="2706" spans="12:13">
      <c r="L2706" s="3">
        <v>44661.374999991269</v>
      </c>
      <c r="M2706" s="15"/>
    </row>
    <row r="2707" spans="12:13">
      <c r="L2707" s="3">
        <v>44661.378472213488</v>
      </c>
      <c r="M2707" s="15"/>
    </row>
    <row r="2708" spans="12:13">
      <c r="L2708" s="3">
        <v>44661.381944435707</v>
      </c>
      <c r="M2708" s="15"/>
    </row>
    <row r="2709" spans="12:13">
      <c r="L2709" s="3">
        <v>44661.385416657926</v>
      </c>
      <c r="M2709" s="15"/>
    </row>
    <row r="2710" spans="12:13">
      <c r="L2710" s="3">
        <v>44661.388888880145</v>
      </c>
      <c r="M2710" s="15"/>
    </row>
    <row r="2711" spans="12:13">
      <c r="L2711" s="3">
        <v>44661.392361102364</v>
      </c>
      <c r="M2711" s="15"/>
    </row>
    <row r="2712" spans="12:13">
      <c r="L2712" s="3">
        <v>44661.395833324583</v>
      </c>
      <c r="M2712" s="15"/>
    </row>
    <row r="2713" spans="12:13">
      <c r="L2713" s="3">
        <v>44661.399305546802</v>
      </c>
      <c r="M2713" s="15"/>
    </row>
    <row r="2714" spans="12:13">
      <c r="L2714" s="3">
        <v>44661.402777769021</v>
      </c>
      <c r="M2714" s="15"/>
    </row>
    <row r="2715" spans="12:13">
      <c r="L2715" s="3">
        <v>44661.40624999124</v>
      </c>
      <c r="M2715" s="15"/>
    </row>
    <row r="2716" spans="12:13">
      <c r="L2716" s="3">
        <v>44661.409722213459</v>
      </c>
      <c r="M2716" s="15"/>
    </row>
    <row r="2717" spans="12:13">
      <c r="L2717" s="3">
        <v>44661.413194435678</v>
      </c>
      <c r="M2717" s="15"/>
    </row>
    <row r="2718" spans="12:13">
      <c r="L2718" s="3">
        <v>44661.416666657897</v>
      </c>
      <c r="M2718" s="15"/>
    </row>
    <row r="2719" spans="12:13">
      <c r="L2719" s="3">
        <v>44661.420138880116</v>
      </c>
      <c r="M2719" s="15"/>
    </row>
    <row r="2720" spans="12:13">
      <c r="L2720" s="3">
        <v>44661.423611102335</v>
      </c>
      <c r="M2720" s="15"/>
    </row>
    <row r="2721" spans="12:13">
      <c r="L2721" s="3">
        <v>44661.427083324554</v>
      </c>
      <c r="M2721" s="15"/>
    </row>
    <row r="2722" spans="12:13">
      <c r="L2722" s="3">
        <v>44661.430555546773</v>
      </c>
      <c r="M2722" s="15"/>
    </row>
    <row r="2723" spans="12:13">
      <c r="L2723" s="3">
        <v>44661.434027768992</v>
      </c>
      <c r="M2723" s="15"/>
    </row>
    <row r="2724" spans="12:13">
      <c r="L2724" s="3">
        <v>44661.437499991211</v>
      </c>
      <c r="M2724" s="15"/>
    </row>
    <row r="2725" spans="12:13">
      <c r="L2725" s="3">
        <v>44661.44097221343</v>
      </c>
      <c r="M2725" s="15"/>
    </row>
    <row r="2726" spans="12:13">
      <c r="L2726" s="3">
        <v>44661.444444435649</v>
      </c>
      <c r="M2726" s="15"/>
    </row>
    <row r="2727" spans="12:13">
      <c r="L2727" s="3">
        <v>44661.447916657868</v>
      </c>
      <c r="M2727" s="15"/>
    </row>
    <row r="2728" spans="12:13">
      <c r="L2728" s="3">
        <v>44661.451388880087</v>
      </c>
      <c r="M2728" s="15"/>
    </row>
    <row r="2729" spans="12:13">
      <c r="L2729" s="3">
        <v>44661.454861102306</v>
      </c>
      <c r="M2729" s="15"/>
    </row>
    <row r="2730" spans="12:13">
      <c r="L2730" s="3">
        <v>44661.458333324525</v>
      </c>
      <c r="M2730" s="15"/>
    </row>
    <row r="2731" spans="12:13">
      <c r="L2731" s="3">
        <v>44661.461805546744</v>
      </c>
      <c r="M2731" s="15"/>
    </row>
    <row r="2732" spans="12:13">
      <c r="L2732" s="3">
        <v>44661.465277768963</v>
      </c>
      <c r="M2732" s="15"/>
    </row>
    <row r="2733" spans="12:13">
      <c r="L2733" s="3">
        <v>44661.468749991182</v>
      </c>
      <c r="M2733" s="15"/>
    </row>
    <row r="2734" spans="12:13">
      <c r="L2734" s="3">
        <v>44661.472222213401</v>
      </c>
      <c r="M2734" s="15"/>
    </row>
    <row r="2735" spans="12:13">
      <c r="L2735" s="3">
        <v>44661.47569443562</v>
      </c>
      <c r="M2735" s="15"/>
    </row>
    <row r="2736" spans="12:13">
      <c r="L2736" s="3">
        <v>44661.479166657839</v>
      </c>
      <c r="M2736" s="15"/>
    </row>
    <row r="2737" spans="12:13">
      <c r="L2737" s="3">
        <v>44661.482638880057</v>
      </c>
      <c r="M2737" s="15"/>
    </row>
    <row r="2738" spans="12:13">
      <c r="L2738" s="3">
        <v>44661.486111102276</v>
      </c>
      <c r="M2738" s="15"/>
    </row>
    <row r="2739" spans="12:13">
      <c r="L2739" s="3">
        <v>44661.489583324495</v>
      </c>
      <c r="M2739" s="15"/>
    </row>
    <row r="2740" spans="12:13">
      <c r="L2740" s="3">
        <v>44661.493055546714</v>
      </c>
      <c r="M2740" s="15"/>
    </row>
    <row r="2741" spans="12:13">
      <c r="L2741" s="3">
        <v>44661.496527768933</v>
      </c>
      <c r="M2741" s="15"/>
    </row>
    <row r="2742" spans="12:13">
      <c r="L2742" s="3">
        <v>44661.499999991152</v>
      </c>
      <c r="M2742" s="15"/>
    </row>
    <row r="2743" spans="12:13">
      <c r="L2743" s="3">
        <v>44661.503472213371</v>
      </c>
      <c r="M2743" s="15"/>
    </row>
    <row r="2744" spans="12:13">
      <c r="L2744" s="3">
        <v>44661.50694443559</v>
      </c>
      <c r="M2744" s="15"/>
    </row>
    <row r="2745" spans="12:13">
      <c r="L2745" s="3">
        <v>44661.510416657809</v>
      </c>
      <c r="M2745" s="15"/>
    </row>
    <row r="2746" spans="12:13">
      <c r="L2746" s="3">
        <v>44661.513888880028</v>
      </c>
      <c r="M2746" s="15"/>
    </row>
    <row r="2747" spans="12:13">
      <c r="L2747" s="3">
        <v>44661.517361102247</v>
      </c>
      <c r="M2747" s="15"/>
    </row>
    <row r="2748" spans="12:13">
      <c r="L2748" s="3">
        <v>44661.520833324466</v>
      </c>
      <c r="M2748" s="15"/>
    </row>
    <row r="2749" spans="12:13">
      <c r="L2749" s="3">
        <v>44661.524305546685</v>
      </c>
      <c r="M2749" s="15"/>
    </row>
    <row r="2750" spans="12:13">
      <c r="L2750" s="3">
        <v>44661.527777768904</v>
      </c>
      <c r="M2750" s="15"/>
    </row>
    <row r="2751" spans="12:13">
      <c r="L2751" s="3">
        <v>44661.531249991123</v>
      </c>
      <c r="M2751" s="15"/>
    </row>
    <row r="2752" spans="12:13">
      <c r="L2752" s="3">
        <v>44661.534722213342</v>
      </c>
      <c r="M2752" s="15"/>
    </row>
    <row r="2753" spans="12:13">
      <c r="L2753" s="3">
        <v>44661.538194435561</v>
      </c>
      <c r="M2753" s="15"/>
    </row>
    <row r="2754" spans="12:13">
      <c r="L2754" s="3">
        <v>44661.54166665778</v>
      </c>
      <c r="M2754" s="15"/>
    </row>
    <row r="2755" spans="12:13">
      <c r="L2755" s="3">
        <v>44661.545138879999</v>
      </c>
      <c r="M2755" s="15"/>
    </row>
    <row r="2756" spans="12:13">
      <c r="L2756" s="3">
        <v>44661.548611102218</v>
      </c>
      <c r="M2756" s="15"/>
    </row>
    <row r="2757" spans="12:13">
      <c r="L2757" s="3">
        <v>44661.552083324437</v>
      </c>
      <c r="M2757" s="15"/>
    </row>
    <row r="2758" spans="12:13">
      <c r="L2758" s="3">
        <v>44661.555555546656</v>
      </c>
      <c r="M2758" s="15"/>
    </row>
    <row r="2759" spans="12:13">
      <c r="L2759" s="3">
        <v>44661.559027768875</v>
      </c>
      <c r="M2759" s="15"/>
    </row>
    <row r="2760" spans="12:13">
      <c r="L2760" s="3">
        <v>44661.562499991094</v>
      </c>
      <c r="M2760" s="15"/>
    </row>
    <row r="2761" spans="12:13">
      <c r="L2761" s="3">
        <v>44661.565972213313</v>
      </c>
      <c r="M2761" s="15"/>
    </row>
    <row r="2762" spans="12:13">
      <c r="L2762" s="3">
        <v>44661.569444435532</v>
      </c>
      <c r="M2762" s="15"/>
    </row>
    <row r="2763" spans="12:13">
      <c r="L2763" s="3">
        <v>44661.572916657751</v>
      </c>
      <c r="M2763" s="15"/>
    </row>
    <row r="2764" spans="12:13">
      <c r="L2764" s="3">
        <v>44661.57638887997</v>
      </c>
      <c r="M2764" s="15"/>
    </row>
    <row r="2765" spans="12:13">
      <c r="L2765" s="3">
        <v>44661.579861102189</v>
      </c>
      <c r="M2765" s="15"/>
    </row>
    <row r="2766" spans="12:13">
      <c r="L2766" s="3">
        <v>44661.583333324408</v>
      </c>
      <c r="M2766" s="15"/>
    </row>
    <row r="2767" spans="12:13">
      <c r="L2767" s="3">
        <v>44661.586805546627</v>
      </c>
      <c r="M2767" s="15"/>
    </row>
    <row r="2768" spans="12:13">
      <c r="L2768" s="3">
        <v>44661.590277768846</v>
      </c>
      <c r="M2768" s="15"/>
    </row>
    <row r="2769" spans="12:13">
      <c r="L2769" s="3">
        <v>44661.593749991065</v>
      </c>
      <c r="M2769" s="15"/>
    </row>
    <row r="2770" spans="12:13">
      <c r="L2770" s="3">
        <v>44661.597222213284</v>
      </c>
      <c r="M2770" s="15"/>
    </row>
    <row r="2771" spans="12:13">
      <c r="L2771" s="3">
        <v>44661.600694435503</v>
      </c>
      <c r="M2771" s="15"/>
    </row>
    <row r="2772" spans="12:13">
      <c r="L2772" s="3">
        <v>44661.604166657722</v>
      </c>
      <c r="M2772" s="15"/>
    </row>
    <row r="2773" spans="12:13">
      <c r="L2773" s="3">
        <v>44661.607638879941</v>
      </c>
      <c r="M2773" s="15"/>
    </row>
    <row r="2774" spans="12:13">
      <c r="L2774" s="3">
        <v>44661.61111110216</v>
      </c>
      <c r="M2774" s="15"/>
    </row>
    <row r="2775" spans="12:13">
      <c r="L2775" s="3">
        <v>44661.614583324379</v>
      </c>
      <c r="M2775" s="15"/>
    </row>
    <row r="2776" spans="12:13">
      <c r="L2776" s="3">
        <v>44661.618055546598</v>
      </c>
      <c r="M2776" s="15"/>
    </row>
    <row r="2777" spans="12:13">
      <c r="L2777" s="3">
        <v>44661.621527768817</v>
      </c>
      <c r="M2777" s="15"/>
    </row>
    <row r="2778" spans="12:13">
      <c r="L2778" s="3">
        <v>44661.624999991036</v>
      </c>
      <c r="M2778" s="15"/>
    </row>
    <row r="2779" spans="12:13">
      <c r="L2779" s="3">
        <v>44661.628472213255</v>
      </c>
      <c r="M2779" s="15"/>
    </row>
    <row r="2780" spans="12:13">
      <c r="L2780" s="3">
        <v>44661.631944435474</v>
      </c>
      <c r="M2780" s="15"/>
    </row>
    <row r="2781" spans="12:13">
      <c r="L2781" s="3">
        <v>44661.635416657693</v>
      </c>
      <c r="M2781" s="15"/>
    </row>
    <row r="2782" spans="12:13">
      <c r="L2782" s="3">
        <v>44661.638888879912</v>
      </c>
      <c r="M2782" s="15"/>
    </row>
    <row r="2783" spans="12:13">
      <c r="L2783" s="3">
        <v>44661.642361102131</v>
      </c>
      <c r="M2783" s="15"/>
    </row>
    <row r="2784" spans="12:13">
      <c r="L2784" s="3">
        <v>44661.64583332435</v>
      </c>
      <c r="M2784" s="15"/>
    </row>
    <row r="2785" spans="12:13">
      <c r="L2785" s="3">
        <v>44661.649305546569</v>
      </c>
      <c r="M2785" s="15"/>
    </row>
    <row r="2786" spans="12:13">
      <c r="L2786" s="3">
        <v>44661.652777768788</v>
      </c>
      <c r="M2786" s="15"/>
    </row>
    <row r="2787" spans="12:13">
      <c r="L2787" s="3">
        <v>44661.656249991007</v>
      </c>
      <c r="M2787" s="15"/>
    </row>
    <row r="2788" spans="12:13">
      <c r="L2788" s="3">
        <v>44661.659722213226</v>
      </c>
      <c r="M2788" s="15"/>
    </row>
    <row r="2789" spans="12:13">
      <c r="L2789" s="3">
        <v>44661.663194435445</v>
      </c>
      <c r="M2789" s="15"/>
    </row>
    <row r="2790" spans="12:13">
      <c r="L2790" s="3">
        <v>44661.666666657664</v>
      </c>
      <c r="M2790" s="15"/>
    </row>
    <row r="2791" spans="12:13">
      <c r="L2791" s="3">
        <v>44661.670138879883</v>
      </c>
      <c r="M2791" s="15"/>
    </row>
    <row r="2792" spans="12:13">
      <c r="L2792" s="3">
        <v>44661.673611102102</v>
      </c>
      <c r="M2792" s="15"/>
    </row>
    <row r="2793" spans="12:13">
      <c r="L2793" s="3">
        <v>44661.677083324321</v>
      </c>
      <c r="M2793" s="15"/>
    </row>
    <row r="2794" spans="12:13">
      <c r="L2794" s="3">
        <v>44661.68055554654</v>
      </c>
      <c r="M2794" s="15"/>
    </row>
    <row r="2795" spans="12:13">
      <c r="L2795" s="3">
        <v>44661.684027768759</v>
      </c>
      <c r="M2795" s="15"/>
    </row>
    <row r="2796" spans="12:13">
      <c r="L2796" s="3">
        <v>44661.687499990978</v>
      </c>
      <c r="M2796" s="15"/>
    </row>
    <row r="2797" spans="12:13">
      <c r="L2797" s="3">
        <v>44661.690972213197</v>
      </c>
      <c r="M2797" s="15"/>
    </row>
    <row r="2798" spans="12:13">
      <c r="L2798" s="3">
        <v>44661.694444435416</v>
      </c>
      <c r="M2798" s="15"/>
    </row>
    <row r="2799" spans="12:13">
      <c r="L2799" s="3">
        <v>44661.697916657635</v>
      </c>
      <c r="M2799" s="15"/>
    </row>
    <row r="2800" spans="12:13">
      <c r="L2800" s="3">
        <v>44661.701388879854</v>
      </c>
      <c r="M2800" s="15"/>
    </row>
    <row r="2801" spans="12:13">
      <c r="L2801" s="3">
        <v>44661.704861102073</v>
      </c>
      <c r="M2801" s="15"/>
    </row>
    <row r="2802" spans="12:13">
      <c r="L2802" s="3">
        <v>44661.708333324292</v>
      </c>
      <c r="M2802" s="15"/>
    </row>
    <row r="2803" spans="12:13">
      <c r="L2803" s="3">
        <v>44661.711805546511</v>
      </c>
      <c r="M2803" s="15"/>
    </row>
    <row r="2804" spans="12:13">
      <c r="L2804" s="3">
        <v>44661.71527776873</v>
      </c>
      <c r="M2804" s="15"/>
    </row>
    <row r="2805" spans="12:13">
      <c r="L2805" s="3">
        <v>44661.718749990949</v>
      </c>
      <c r="M2805" s="15"/>
    </row>
    <row r="2806" spans="12:13">
      <c r="L2806" s="3">
        <v>44661.722222213168</v>
      </c>
      <c r="M2806" s="15"/>
    </row>
    <row r="2807" spans="12:13">
      <c r="L2807" s="3">
        <v>44661.725694435387</v>
      </c>
      <c r="M2807" s="15"/>
    </row>
    <row r="2808" spans="12:13">
      <c r="L2808" s="3">
        <v>44661.729166657606</v>
      </c>
      <c r="M2808" s="15"/>
    </row>
    <row r="2809" spans="12:13">
      <c r="L2809" s="3">
        <v>44661.732638879825</v>
      </c>
      <c r="M2809" s="15"/>
    </row>
    <row r="2810" spans="12:13">
      <c r="L2810" s="3">
        <v>44661.736111102044</v>
      </c>
      <c r="M2810" s="15"/>
    </row>
    <row r="2811" spans="12:13">
      <c r="L2811" s="3">
        <v>44661.739583324263</v>
      </c>
      <c r="M2811" s="15"/>
    </row>
    <row r="2812" spans="12:13">
      <c r="L2812" s="3">
        <v>44661.743055546482</v>
      </c>
      <c r="M2812" s="15"/>
    </row>
    <row r="2813" spans="12:13">
      <c r="L2813" s="3">
        <v>44661.746527768701</v>
      </c>
      <c r="M2813" s="15"/>
    </row>
    <row r="2814" spans="12:13">
      <c r="L2814" s="3">
        <v>44661.74999999092</v>
      </c>
      <c r="M2814" s="15"/>
    </row>
    <row r="2815" spans="12:13">
      <c r="L2815" s="3">
        <v>44661.753472213139</v>
      </c>
      <c r="M2815" s="15"/>
    </row>
    <row r="2816" spans="12:13">
      <c r="L2816" s="3">
        <v>44661.756944435358</v>
      </c>
      <c r="M2816" s="15"/>
    </row>
    <row r="2817" spans="12:13">
      <c r="L2817" s="3">
        <v>44661.760416657577</v>
      </c>
      <c r="M2817" s="15"/>
    </row>
    <row r="2818" spans="12:13">
      <c r="L2818" s="3">
        <v>44661.763888879796</v>
      </c>
      <c r="M2818" s="15"/>
    </row>
    <row r="2819" spans="12:13">
      <c r="L2819" s="3">
        <v>44661.767361102015</v>
      </c>
      <c r="M2819" s="15"/>
    </row>
    <row r="2820" spans="12:13">
      <c r="L2820" s="3">
        <v>44661.770833324234</v>
      </c>
      <c r="M2820" s="15"/>
    </row>
    <row r="2821" spans="12:13">
      <c r="L2821" s="3">
        <v>44661.774305546453</v>
      </c>
      <c r="M2821" s="15"/>
    </row>
    <row r="2822" spans="12:13">
      <c r="L2822" s="3">
        <v>44661.777777768672</v>
      </c>
      <c r="M2822" s="15"/>
    </row>
    <row r="2823" spans="12:13">
      <c r="L2823" s="3">
        <v>44661.781249990891</v>
      </c>
      <c r="M2823" s="15"/>
    </row>
    <row r="2824" spans="12:13">
      <c r="L2824" s="3">
        <v>44661.784722213109</v>
      </c>
      <c r="M2824" s="15"/>
    </row>
    <row r="2825" spans="12:13">
      <c r="L2825" s="3">
        <v>44661.788194435328</v>
      </c>
      <c r="M2825" s="15"/>
    </row>
    <row r="2826" spans="12:13">
      <c r="L2826" s="3">
        <v>44661.791666657547</v>
      </c>
      <c r="M2826" s="15"/>
    </row>
    <row r="2827" spans="12:13">
      <c r="L2827" s="3">
        <v>44661.795138879766</v>
      </c>
      <c r="M2827" s="15"/>
    </row>
    <row r="2828" spans="12:13">
      <c r="L2828" s="3">
        <v>44661.798611101985</v>
      </c>
      <c r="M2828" s="15"/>
    </row>
    <row r="2829" spans="12:13">
      <c r="L2829" s="3">
        <v>44661.802083324204</v>
      </c>
      <c r="M2829" s="15"/>
    </row>
    <row r="2830" spans="12:13">
      <c r="L2830" s="3">
        <v>44661.805555546423</v>
      </c>
      <c r="M2830" s="15"/>
    </row>
    <row r="2831" spans="12:13">
      <c r="L2831" s="3">
        <v>44661.809027768642</v>
      </c>
      <c r="M2831" s="15"/>
    </row>
    <row r="2832" spans="12:13">
      <c r="L2832" s="3">
        <v>44661.812499990861</v>
      </c>
      <c r="M2832" s="15"/>
    </row>
    <row r="2833" spans="12:13">
      <c r="L2833" s="3">
        <v>44661.81597221308</v>
      </c>
      <c r="M2833" s="15"/>
    </row>
    <row r="2834" spans="12:13">
      <c r="L2834" s="3">
        <v>44661.819444435299</v>
      </c>
      <c r="M2834" s="15"/>
    </row>
    <row r="2835" spans="12:13">
      <c r="L2835" s="3">
        <v>44661.822916657518</v>
      </c>
      <c r="M2835" s="15"/>
    </row>
    <row r="2836" spans="12:13">
      <c r="L2836" s="3">
        <v>44661.826388879737</v>
      </c>
      <c r="M2836" s="15"/>
    </row>
    <row r="2837" spans="12:13">
      <c r="L2837" s="3">
        <v>44661.829861101956</v>
      </c>
      <c r="M2837" s="15"/>
    </row>
    <row r="2838" spans="12:13">
      <c r="L2838" s="3">
        <v>44661.833333324175</v>
      </c>
      <c r="M2838" s="15"/>
    </row>
    <row r="2839" spans="12:13">
      <c r="L2839" s="3">
        <v>44661.836805546394</v>
      </c>
      <c r="M2839" s="15"/>
    </row>
    <row r="2840" spans="12:13">
      <c r="L2840" s="3">
        <v>44661.840277768613</v>
      </c>
      <c r="M2840" s="15"/>
    </row>
    <row r="2841" spans="12:13">
      <c r="L2841" s="3">
        <v>44661.843749990832</v>
      </c>
      <c r="M2841" s="15"/>
    </row>
    <row r="2842" spans="12:13">
      <c r="L2842" s="3">
        <v>44661.847222213051</v>
      </c>
      <c r="M2842" s="15"/>
    </row>
    <row r="2843" spans="12:13">
      <c r="L2843" s="3">
        <v>44661.85069443527</v>
      </c>
      <c r="M2843" s="15"/>
    </row>
    <row r="2844" spans="12:13">
      <c r="L2844" s="3">
        <v>44661.854166657489</v>
      </c>
      <c r="M2844" s="15"/>
    </row>
    <row r="2845" spans="12:13">
      <c r="L2845" s="3">
        <v>44661.857638879708</v>
      </c>
      <c r="M2845" s="15"/>
    </row>
    <row r="2846" spans="12:13">
      <c r="L2846" s="3">
        <v>44661.861111101927</v>
      </c>
      <c r="M2846" s="15"/>
    </row>
    <row r="2847" spans="12:13">
      <c r="L2847" s="3">
        <v>44661.864583324146</v>
      </c>
      <c r="M2847" s="15"/>
    </row>
    <row r="2848" spans="12:13">
      <c r="L2848" s="3">
        <v>44661.868055546365</v>
      </c>
      <c r="M2848" s="15"/>
    </row>
    <row r="2849" spans="12:13">
      <c r="L2849" s="3">
        <v>44661.871527768584</v>
      </c>
      <c r="M2849" s="15"/>
    </row>
    <row r="2850" spans="12:13">
      <c r="L2850" s="3">
        <v>44661.874999990803</v>
      </c>
      <c r="M2850" s="15"/>
    </row>
    <row r="2851" spans="12:13">
      <c r="L2851" s="3">
        <v>44661.878472213022</v>
      </c>
      <c r="M2851" s="15"/>
    </row>
    <row r="2852" spans="12:13">
      <c r="L2852" s="3">
        <v>44661.881944435241</v>
      </c>
      <c r="M2852" s="15"/>
    </row>
    <row r="2853" spans="12:13">
      <c r="L2853" s="3">
        <v>44661.88541665746</v>
      </c>
      <c r="M2853" s="15"/>
    </row>
    <row r="2854" spans="12:13">
      <c r="L2854" s="3">
        <v>44661.888888879679</v>
      </c>
      <c r="M2854" s="15"/>
    </row>
    <row r="2855" spans="12:13">
      <c r="L2855" s="3">
        <v>44661.892361101898</v>
      </c>
      <c r="M2855" s="15"/>
    </row>
    <row r="2856" spans="12:13">
      <c r="L2856" s="3">
        <v>44661.895833324117</v>
      </c>
      <c r="M2856" s="15"/>
    </row>
    <row r="2857" spans="12:13">
      <c r="L2857" s="3">
        <v>44661.899305546336</v>
      </c>
      <c r="M2857" s="15"/>
    </row>
    <row r="2858" spans="12:13">
      <c r="L2858" s="3">
        <v>44661.902777768555</v>
      </c>
      <c r="M2858" s="15"/>
    </row>
    <row r="2859" spans="12:13">
      <c r="L2859" s="3">
        <v>44661.906249990774</v>
      </c>
      <c r="M2859" s="15"/>
    </row>
    <row r="2860" spans="12:13">
      <c r="L2860" s="3">
        <v>44661.909722212993</v>
      </c>
      <c r="M2860" s="15"/>
    </row>
    <row r="2861" spans="12:13">
      <c r="L2861" s="3">
        <v>44661.913194435212</v>
      </c>
      <c r="M2861" s="15"/>
    </row>
    <row r="2862" spans="12:13">
      <c r="L2862" s="3">
        <v>44661.916666657431</v>
      </c>
      <c r="M2862" s="15"/>
    </row>
    <row r="2863" spans="12:13">
      <c r="L2863" s="3">
        <v>44661.92013887965</v>
      </c>
      <c r="M2863" s="15"/>
    </row>
    <row r="2864" spans="12:13">
      <c r="L2864" s="3">
        <v>44661.923611101869</v>
      </c>
      <c r="M2864" s="15"/>
    </row>
    <row r="2865" spans="12:13">
      <c r="L2865" s="3">
        <v>44661.927083324088</v>
      </c>
      <c r="M2865" s="15"/>
    </row>
    <row r="2866" spans="12:13">
      <c r="L2866" s="3">
        <v>44661.930555546307</v>
      </c>
      <c r="M2866" s="15"/>
    </row>
    <row r="2867" spans="12:13">
      <c r="L2867" s="3">
        <v>44661.934027768526</v>
      </c>
      <c r="M2867" s="15"/>
    </row>
    <row r="2868" spans="12:13">
      <c r="L2868" s="3">
        <v>44661.937499990745</v>
      </c>
      <c r="M2868" s="15"/>
    </row>
    <row r="2869" spans="12:13">
      <c r="L2869" s="3">
        <v>44661.940972212964</v>
      </c>
      <c r="M2869" s="15"/>
    </row>
    <row r="2870" spans="12:13">
      <c r="L2870" s="3">
        <v>44661.944444435183</v>
      </c>
      <c r="M2870" s="15"/>
    </row>
    <row r="2871" spans="12:13">
      <c r="L2871" s="3">
        <v>44661.947916657402</v>
      </c>
      <c r="M2871" s="15"/>
    </row>
    <row r="2872" spans="12:13">
      <c r="L2872" s="3">
        <v>44661.951388879621</v>
      </c>
      <c r="M2872" s="15"/>
    </row>
    <row r="2873" spans="12:13">
      <c r="L2873" s="3">
        <v>44661.95486110184</v>
      </c>
      <c r="M2873" s="15"/>
    </row>
    <row r="2874" spans="12:13">
      <c r="L2874" s="3">
        <v>44661.958333324059</v>
      </c>
      <c r="M2874" s="15"/>
    </row>
    <row r="2875" spans="12:13">
      <c r="L2875" s="3">
        <v>44661.961805546278</v>
      </c>
      <c r="M2875" s="15"/>
    </row>
    <row r="2876" spans="12:13">
      <c r="L2876" s="3">
        <v>44661.965277768497</v>
      </c>
      <c r="M2876" s="15"/>
    </row>
    <row r="2877" spans="12:13">
      <c r="L2877" s="3">
        <v>44661.968749990716</v>
      </c>
      <c r="M2877" s="15"/>
    </row>
    <row r="2878" spans="12:13">
      <c r="L2878" s="3">
        <v>44661.972222212935</v>
      </c>
      <c r="M2878" s="15"/>
    </row>
    <row r="2879" spans="12:13">
      <c r="L2879" s="3">
        <v>44661.975694435154</v>
      </c>
      <c r="M2879" s="15"/>
    </row>
    <row r="2880" spans="12:13">
      <c r="L2880" s="3">
        <v>44661.979166657373</v>
      </c>
      <c r="M2880" s="15"/>
    </row>
    <row r="2881" spans="12:13">
      <c r="L2881" s="3">
        <v>44661.982638879592</v>
      </c>
      <c r="M2881" s="15"/>
    </row>
    <row r="2882" spans="12:13">
      <c r="L2882" s="3">
        <v>44661.986111101811</v>
      </c>
      <c r="M2882" s="15"/>
    </row>
    <row r="2883" spans="12:13">
      <c r="L2883" s="3">
        <v>44661.98958332403</v>
      </c>
      <c r="M2883" s="15"/>
    </row>
    <row r="2884" spans="12:13">
      <c r="L2884" s="3">
        <v>44661.993055546249</v>
      </c>
      <c r="M2884" s="15"/>
    </row>
    <row r="2885" spans="12:13">
      <c r="L2885" s="3">
        <v>44661.996527768468</v>
      </c>
      <c r="M2885" s="15"/>
    </row>
    <row r="2886" spans="12:13">
      <c r="L2886" s="3">
        <v>44661.999999990687</v>
      </c>
      <c r="M2886" s="15"/>
    </row>
    <row r="2887" spans="12:13">
      <c r="L2887" s="3">
        <v>44662.003472212906</v>
      </c>
      <c r="M2887" s="15"/>
    </row>
    <row r="2888" spans="12:13">
      <c r="L2888" s="3">
        <v>44662.006944435125</v>
      </c>
      <c r="M2888" s="15"/>
    </row>
    <row r="2889" spans="12:13">
      <c r="L2889" s="3">
        <v>44662.010416657344</v>
      </c>
      <c r="M2889" s="15"/>
    </row>
    <row r="2890" spans="12:13">
      <c r="L2890" s="3">
        <v>44662.013888879563</v>
      </c>
      <c r="M2890" s="15"/>
    </row>
    <row r="2891" spans="12:13">
      <c r="L2891" s="3">
        <v>44662.017361101782</v>
      </c>
      <c r="M2891" s="15"/>
    </row>
    <row r="2892" spans="12:13">
      <c r="L2892" s="3">
        <v>44662.020833324001</v>
      </c>
      <c r="M2892" s="15"/>
    </row>
    <row r="2893" spans="12:13">
      <c r="L2893" s="3">
        <v>44662.02430554622</v>
      </c>
      <c r="M2893" s="15"/>
    </row>
    <row r="2894" spans="12:13">
      <c r="L2894" s="3">
        <v>44662.027777768439</v>
      </c>
      <c r="M2894" s="15"/>
    </row>
    <row r="2895" spans="12:13">
      <c r="L2895" s="3">
        <v>44662.031249990658</v>
      </c>
      <c r="M2895" s="15"/>
    </row>
    <row r="2896" spans="12:13">
      <c r="L2896" s="3">
        <v>44662.034722212877</v>
      </c>
      <c r="M2896" s="15"/>
    </row>
    <row r="2897" spans="12:13">
      <c r="L2897" s="3">
        <v>44662.038194435096</v>
      </c>
      <c r="M2897" s="15"/>
    </row>
    <row r="2898" spans="12:13">
      <c r="L2898" s="3">
        <v>44662.041666657315</v>
      </c>
      <c r="M2898" s="15"/>
    </row>
    <row r="2899" spans="12:13">
      <c r="L2899" s="3">
        <v>44662.045138879534</v>
      </c>
      <c r="M2899" s="15"/>
    </row>
    <row r="2900" spans="12:13">
      <c r="L2900" s="3">
        <v>44662.048611101753</v>
      </c>
      <c r="M2900" s="15"/>
    </row>
    <row r="2901" spans="12:13">
      <c r="L2901" s="3">
        <v>44662.052083323972</v>
      </c>
      <c r="M2901" s="15"/>
    </row>
    <row r="2902" spans="12:13">
      <c r="L2902" s="3">
        <v>44662.055555546191</v>
      </c>
      <c r="M2902" s="15"/>
    </row>
    <row r="2903" spans="12:13">
      <c r="L2903" s="3">
        <v>44662.05902776841</v>
      </c>
      <c r="M2903" s="15"/>
    </row>
    <row r="2904" spans="12:13">
      <c r="L2904" s="3">
        <v>44662.062499990629</v>
      </c>
      <c r="M2904" s="15"/>
    </row>
    <row r="2905" spans="12:13">
      <c r="L2905" s="3">
        <v>44662.065972212848</v>
      </c>
      <c r="M2905" s="15"/>
    </row>
    <row r="2906" spans="12:13">
      <c r="L2906" s="3">
        <v>44662.069444435067</v>
      </c>
      <c r="M2906" s="15"/>
    </row>
    <row r="2907" spans="12:13">
      <c r="L2907" s="3">
        <v>44662.072916657286</v>
      </c>
      <c r="M2907" s="15"/>
    </row>
    <row r="2908" spans="12:13">
      <c r="L2908" s="3">
        <v>44662.076388879505</v>
      </c>
      <c r="M2908" s="15"/>
    </row>
    <row r="2909" spans="12:13">
      <c r="L2909" s="3">
        <v>44662.079861101724</v>
      </c>
      <c r="M2909" s="15"/>
    </row>
    <row r="2910" spans="12:13">
      <c r="L2910" s="3">
        <v>44662.083333323942</v>
      </c>
      <c r="M2910" s="15"/>
    </row>
    <row r="2911" spans="12:13">
      <c r="L2911" s="3">
        <v>44662.086805546161</v>
      </c>
      <c r="M2911" s="15"/>
    </row>
    <row r="2912" spans="12:13">
      <c r="L2912" s="3">
        <v>44662.09027776838</v>
      </c>
      <c r="M2912" s="15"/>
    </row>
    <row r="2913" spans="12:13">
      <c r="L2913" s="3">
        <v>44662.093749990599</v>
      </c>
      <c r="M2913" s="15"/>
    </row>
    <row r="2914" spans="12:13">
      <c r="L2914" s="3">
        <v>44662.097222212818</v>
      </c>
      <c r="M2914" s="15"/>
    </row>
    <row r="2915" spans="12:13">
      <c r="L2915" s="3">
        <v>44662.100694435037</v>
      </c>
      <c r="M2915" s="15"/>
    </row>
    <row r="2916" spans="12:13">
      <c r="L2916" s="3">
        <v>44662.104166657256</v>
      </c>
      <c r="M2916" s="15"/>
    </row>
    <row r="2917" spans="12:13">
      <c r="L2917" s="3">
        <v>44662.107638879475</v>
      </c>
      <c r="M2917" s="15"/>
    </row>
    <row r="2918" spans="12:13">
      <c r="L2918" s="3">
        <v>44662.111111101694</v>
      </c>
      <c r="M2918" s="15"/>
    </row>
    <row r="2919" spans="12:13">
      <c r="L2919" s="3">
        <v>44662.114583323913</v>
      </c>
      <c r="M2919" s="15"/>
    </row>
    <row r="2920" spans="12:13">
      <c r="L2920" s="3">
        <v>44662.118055546132</v>
      </c>
      <c r="M2920" s="15"/>
    </row>
    <row r="2921" spans="12:13">
      <c r="L2921" s="3">
        <v>44662.121527768351</v>
      </c>
      <c r="M2921" s="15"/>
    </row>
    <row r="2922" spans="12:13">
      <c r="L2922" s="3">
        <v>44662.12499999057</v>
      </c>
      <c r="M2922" s="15"/>
    </row>
    <row r="2923" spans="12:13">
      <c r="L2923" s="3">
        <v>44662.128472212789</v>
      </c>
      <c r="M2923" s="15"/>
    </row>
    <row r="2924" spans="12:13">
      <c r="L2924" s="3">
        <v>44662.131944435008</v>
      </c>
      <c r="M2924" s="15"/>
    </row>
    <row r="2925" spans="12:13">
      <c r="L2925" s="3">
        <v>44662.135416657227</v>
      </c>
      <c r="M2925" s="15"/>
    </row>
    <row r="2926" spans="12:13">
      <c r="L2926" s="3">
        <v>44662.138888879446</v>
      </c>
      <c r="M2926" s="15"/>
    </row>
    <row r="2927" spans="12:13">
      <c r="L2927" s="3">
        <v>44662.142361101665</v>
      </c>
      <c r="M2927" s="15"/>
    </row>
    <row r="2928" spans="12:13">
      <c r="L2928" s="3">
        <v>44662.145833323884</v>
      </c>
      <c r="M2928" s="15"/>
    </row>
    <row r="2929" spans="12:13">
      <c r="L2929" s="3">
        <v>44662.149305546103</v>
      </c>
      <c r="M2929" s="15"/>
    </row>
    <row r="2930" spans="12:13">
      <c r="L2930" s="3">
        <v>44662.152777768322</v>
      </c>
      <c r="M2930" s="15"/>
    </row>
    <row r="2931" spans="12:13">
      <c r="L2931" s="3">
        <v>44662.156249990541</v>
      </c>
      <c r="M2931" s="15"/>
    </row>
    <row r="2932" spans="12:13">
      <c r="L2932" s="3">
        <v>44662.15972221276</v>
      </c>
      <c r="M2932" s="15"/>
    </row>
    <row r="2933" spans="12:13">
      <c r="L2933" s="3">
        <v>44662.163194434979</v>
      </c>
      <c r="M2933" s="15"/>
    </row>
    <row r="2934" spans="12:13">
      <c r="L2934" s="3">
        <v>44662.166666657198</v>
      </c>
      <c r="M2934" s="15"/>
    </row>
    <row r="2935" spans="12:13">
      <c r="L2935" s="3">
        <v>44662.170138879417</v>
      </c>
      <c r="M2935" s="15"/>
    </row>
    <row r="2936" spans="12:13">
      <c r="L2936" s="3">
        <v>44662.173611101636</v>
      </c>
      <c r="M2936" s="15"/>
    </row>
    <row r="2937" spans="12:13">
      <c r="L2937" s="3">
        <v>44662.177083323855</v>
      </c>
      <c r="M2937" s="15"/>
    </row>
    <row r="2938" spans="12:13">
      <c r="L2938" s="3">
        <v>44662.180555546074</v>
      </c>
      <c r="M2938" s="15"/>
    </row>
    <row r="2939" spans="12:13">
      <c r="L2939" s="3">
        <v>44662.184027768293</v>
      </c>
      <c r="M2939" s="15"/>
    </row>
    <row r="2940" spans="12:13">
      <c r="L2940" s="3">
        <v>44662.187499990512</v>
      </c>
      <c r="M2940" s="15"/>
    </row>
    <row r="2941" spans="12:13">
      <c r="L2941" s="3">
        <v>44662.190972212731</v>
      </c>
      <c r="M2941" s="15"/>
    </row>
    <row r="2942" spans="12:13">
      <c r="L2942" s="3">
        <v>44662.19444443495</v>
      </c>
      <c r="M2942" s="15"/>
    </row>
    <row r="2943" spans="12:13">
      <c r="L2943" s="3">
        <v>44662.197916657169</v>
      </c>
      <c r="M2943" s="15"/>
    </row>
    <row r="2944" spans="12:13">
      <c r="L2944" s="3">
        <v>44662.201388879388</v>
      </c>
      <c r="M2944" s="15"/>
    </row>
    <row r="2945" spans="12:13">
      <c r="L2945" s="3">
        <v>44662.204861101607</v>
      </c>
      <c r="M2945" s="15"/>
    </row>
    <row r="2946" spans="12:13">
      <c r="L2946" s="3">
        <v>44662.208333323826</v>
      </c>
      <c r="M2946" s="15"/>
    </row>
    <row r="2947" spans="12:13">
      <c r="L2947" s="3">
        <v>44662.211805546045</v>
      </c>
      <c r="M2947" s="15"/>
    </row>
    <row r="2948" spans="12:13">
      <c r="L2948" s="3">
        <v>44662.215277768264</v>
      </c>
      <c r="M2948" s="15"/>
    </row>
    <row r="2949" spans="12:13">
      <c r="L2949" s="3">
        <v>44662.218749990483</v>
      </c>
      <c r="M2949" s="15"/>
    </row>
    <row r="2950" spans="12:13">
      <c r="L2950" s="3">
        <v>44662.222222212702</v>
      </c>
      <c r="M2950" s="15"/>
    </row>
    <row r="2951" spans="12:13">
      <c r="L2951" s="3">
        <v>44662.225694434921</v>
      </c>
      <c r="M2951" s="15"/>
    </row>
    <row r="2952" spans="12:13">
      <c r="L2952" s="3">
        <v>44662.22916665714</v>
      </c>
      <c r="M2952" s="15"/>
    </row>
    <row r="2953" spans="12:13">
      <c r="L2953" s="3">
        <v>44662.232638879359</v>
      </c>
      <c r="M2953" s="15"/>
    </row>
    <row r="2954" spans="12:13">
      <c r="L2954" s="3">
        <v>44662.236111101578</v>
      </c>
      <c r="M2954" s="15"/>
    </row>
    <row r="2955" spans="12:13">
      <c r="L2955" s="3">
        <v>44662.239583323797</v>
      </c>
      <c r="M2955" s="15"/>
    </row>
    <row r="2956" spans="12:13">
      <c r="L2956" s="3">
        <v>44662.243055546016</v>
      </c>
      <c r="M2956" s="15"/>
    </row>
    <row r="2957" spans="12:13">
      <c r="L2957" s="3">
        <v>44662.246527768235</v>
      </c>
      <c r="M2957" s="15"/>
    </row>
    <row r="2958" spans="12:13">
      <c r="L2958" s="3">
        <v>44662.249999990454</v>
      </c>
      <c r="M2958" s="15"/>
    </row>
    <row r="2959" spans="12:13">
      <c r="L2959" s="3">
        <v>44662.253472212673</v>
      </c>
      <c r="M2959" s="15"/>
    </row>
    <row r="2960" spans="12:13">
      <c r="L2960" s="3">
        <v>44662.256944434892</v>
      </c>
      <c r="M2960" s="15"/>
    </row>
    <row r="2961" spans="12:13">
      <c r="L2961" s="3">
        <v>44662.260416657111</v>
      </c>
      <c r="M2961" s="15"/>
    </row>
    <row r="2962" spans="12:13">
      <c r="L2962" s="3">
        <v>44662.26388887933</v>
      </c>
      <c r="M2962" s="15"/>
    </row>
    <row r="2963" spans="12:13">
      <c r="L2963" s="3">
        <v>44662.267361101549</v>
      </c>
      <c r="M2963" s="15"/>
    </row>
    <row r="2964" spans="12:13">
      <c r="L2964" s="3">
        <v>44662.270833323768</v>
      </c>
      <c r="M2964" s="15"/>
    </row>
    <row r="2965" spans="12:13">
      <c r="L2965" s="3">
        <v>44662.274305545987</v>
      </c>
      <c r="M2965" s="15"/>
    </row>
    <row r="2966" spans="12:13">
      <c r="L2966" s="3">
        <v>44662.277777768206</v>
      </c>
      <c r="M2966" s="15"/>
    </row>
    <row r="2967" spans="12:13">
      <c r="L2967" s="3">
        <v>44662.281249990425</v>
      </c>
      <c r="M2967" s="15"/>
    </row>
    <row r="2968" spans="12:13">
      <c r="L2968" s="3">
        <v>44662.284722212644</v>
      </c>
      <c r="M2968" s="15"/>
    </row>
    <row r="2969" spans="12:13">
      <c r="L2969" s="3">
        <v>44662.288194434863</v>
      </c>
      <c r="M2969" s="15"/>
    </row>
    <row r="2970" spans="12:13">
      <c r="L2970" s="3">
        <v>44662.291666657082</v>
      </c>
      <c r="M2970" s="15"/>
    </row>
    <row r="2971" spans="12:13">
      <c r="L2971" s="3">
        <v>44662.295138879301</v>
      </c>
      <c r="M2971" s="15"/>
    </row>
    <row r="2972" spans="12:13">
      <c r="L2972" s="3">
        <v>44662.29861110152</v>
      </c>
      <c r="M2972" s="15"/>
    </row>
    <row r="2973" spans="12:13">
      <c r="L2973" s="3">
        <v>44662.302083323739</v>
      </c>
      <c r="M2973" s="15"/>
    </row>
    <row r="2974" spans="12:13">
      <c r="L2974" s="3">
        <v>44662.305555545958</v>
      </c>
      <c r="M2974" s="15"/>
    </row>
    <row r="2975" spans="12:13">
      <c r="L2975" s="3">
        <v>44662.309027768177</v>
      </c>
      <c r="M2975" s="15"/>
    </row>
    <row r="2976" spans="12:13">
      <c r="L2976" s="3">
        <v>44662.312499990396</v>
      </c>
      <c r="M2976" s="15"/>
    </row>
    <row r="2977" spans="12:13">
      <c r="L2977" s="3">
        <v>44662.315972212615</v>
      </c>
      <c r="M2977" s="15"/>
    </row>
    <row r="2978" spans="12:13">
      <c r="L2978" s="3">
        <v>44662.319444434834</v>
      </c>
      <c r="M2978" s="15"/>
    </row>
    <row r="2979" spans="12:13">
      <c r="L2979" s="3">
        <v>44662.322916657053</v>
      </c>
      <c r="M2979" s="15"/>
    </row>
    <row r="2980" spans="12:13">
      <c r="L2980" s="3">
        <v>44662.326388879272</v>
      </c>
      <c r="M2980" s="15"/>
    </row>
    <row r="2981" spans="12:13">
      <c r="L2981" s="3">
        <v>44662.329861101491</v>
      </c>
      <c r="M2981" s="15"/>
    </row>
    <row r="2982" spans="12:13">
      <c r="L2982" s="3">
        <v>44662.33333332371</v>
      </c>
      <c r="M2982" s="15"/>
    </row>
    <row r="2983" spans="12:13">
      <c r="L2983" s="3">
        <v>44662.336805545929</v>
      </c>
      <c r="M2983" s="15"/>
    </row>
    <row r="2984" spans="12:13">
      <c r="L2984" s="3">
        <v>44662.340277768148</v>
      </c>
      <c r="M2984" s="15"/>
    </row>
    <row r="2985" spans="12:13">
      <c r="L2985" s="3">
        <v>44662.343749990367</v>
      </c>
      <c r="M2985" s="15"/>
    </row>
    <row r="2986" spans="12:13">
      <c r="L2986" s="3">
        <v>44662.347222212586</v>
      </c>
      <c r="M2986" s="15"/>
    </row>
    <row r="2987" spans="12:13">
      <c r="L2987" s="3">
        <v>44662.350694434805</v>
      </c>
      <c r="M2987" s="15"/>
    </row>
    <row r="2988" spans="12:13">
      <c r="L2988" s="3">
        <v>44662.354166657024</v>
      </c>
      <c r="M2988" s="15"/>
    </row>
    <row r="2989" spans="12:13">
      <c r="L2989" s="3">
        <v>44662.357638879243</v>
      </c>
      <c r="M2989" s="15"/>
    </row>
    <row r="2990" spans="12:13">
      <c r="L2990" s="3">
        <v>44662.361111101462</v>
      </c>
      <c r="M2990" s="15"/>
    </row>
    <row r="2991" spans="12:13">
      <c r="L2991" s="3">
        <v>44662.364583323681</v>
      </c>
      <c r="M2991" s="15"/>
    </row>
    <row r="2992" spans="12:13">
      <c r="L2992" s="3">
        <v>44662.3680555459</v>
      </c>
      <c r="M2992" s="15"/>
    </row>
    <row r="2993" spans="12:13">
      <c r="L2993" s="3">
        <v>44662.371527768119</v>
      </c>
      <c r="M2993" s="15"/>
    </row>
    <row r="2994" spans="12:13">
      <c r="L2994" s="3">
        <v>44662.374999990338</v>
      </c>
      <c r="M2994" s="15"/>
    </row>
    <row r="2995" spans="12:13">
      <c r="L2995" s="3">
        <v>44662.378472212557</v>
      </c>
      <c r="M2995" s="15"/>
    </row>
    <row r="2996" spans="12:13">
      <c r="L2996" s="3">
        <v>44662.381944434776</v>
      </c>
      <c r="M2996" s="15"/>
    </row>
    <row r="2997" spans="12:13">
      <c r="L2997" s="3">
        <v>44662.385416656994</v>
      </c>
      <c r="M2997" s="15"/>
    </row>
    <row r="2998" spans="12:13">
      <c r="L2998" s="3">
        <v>44662.388888879213</v>
      </c>
      <c r="M2998" s="15"/>
    </row>
    <row r="2999" spans="12:13">
      <c r="L2999" s="3">
        <v>44662.392361101432</v>
      </c>
      <c r="M2999" s="15"/>
    </row>
    <row r="3000" spans="12:13">
      <c r="L3000" s="3">
        <v>44662.395833323651</v>
      </c>
      <c r="M3000" s="15"/>
    </row>
    <row r="3001" spans="12:13">
      <c r="L3001" s="3">
        <v>44662.39930554587</v>
      </c>
      <c r="M3001" s="15"/>
    </row>
    <row r="3002" spans="12:13">
      <c r="L3002" s="3">
        <v>44662.402777768089</v>
      </c>
      <c r="M3002" s="15"/>
    </row>
    <row r="3003" spans="12:13">
      <c r="L3003" s="3">
        <v>44662.406249990308</v>
      </c>
      <c r="M3003" s="15"/>
    </row>
    <row r="3004" spans="12:13">
      <c r="L3004" s="3">
        <v>44662.409722212527</v>
      </c>
      <c r="M3004" s="15"/>
    </row>
    <row r="3005" spans="12:13">
      <c r="L3005" s="3">
        <v>44662.413194434746</v>
      </c>
      <c r="M3005" s="15"/>
    </row>
    <row r="3006" spans="12:13">
      <c r="L3006" s="3">
        <v>44662.416666656965</v>
      </c>
      <c r="M3006" s="15"/>
    </row>
    <row r="3007" spans="12:13">
      <c r="L3007" s="3">
        <v>44662.420138879184</v>
      </c>
      <c r="M3007" s="15"/>
    </row>
    <row r="3008" spans="12:13">
      <c r="L3008" s="3">
        <v>44662.423611101403</v>
      </c>
      <c r="M3008" s="15"/>
    </row>
    <row r="3009" spans="12:13">
      <c r="L3009" s="3">
        <v>44662.427083323622</v>
      </c>
      <c r="M3009" s="15"/>
    </row>
    <row r="3010" spans="12:13">
      <c r="L3010" s="3">
        <v>44662.430555545841</v>
      </c>
      <c r="M3010" s="15"/>
    </row>
    <row r="3011" spans="12:13">
      <c r="L3011" s="3">
        <v>44662.43402776806</v>
      </c>
      <c r="M3011" s="15"/>
    </row>
    <row r="3012" spans="12:13">
      <c r="L3012" s="3">
        <v>44662.437499990279</v>
      </c>
      <c r="M3012" s="15"/>
    </row>
    <row r="3013" spans="12:13">
      <c r="L3013" s="3">
        <v>44662.440972212498</v>
      </c>
      <c r="M3013" s="15"/>
    </row>
    <row r="3014" spans="12:13">
      <c r="L3014" s="3">
        <v>44662.444444434717</v>
      </c>
      <c r="M3014" s="15"/>
    </row>
    <row r="3015" spans="12:13">
      <c r="L3015" s="3">
        <v>44662.447916656936</v>
      </c>
      <c r="M3015" s="15"/>
    </row>
    <row r="3016" spans="12:13">
      <c r="L3016" s="3">
        <v>44662.451388879155</v>
      </c>
      <c r="M3016" s="15"/>
    </row>
    <row r="3017" spans="12:13">
      <c r="L3017" s="3">
        <v>44662.454861101374</v>
      </c>
      <c r="M3017" s="15"/>
    </row>
    <row r="3018" spans="12:13">
      <c r="L3018" s="3">
        <v>44662.458333323593</v>
      </c>
      <c r="M3018" s="15"/>
    </row>
    <row r="3019" spans="12:13">
      <c r="L3019" s="3">
        <v>44662.461805545812</v>
      </c>
      <c r="M3019" s="15"/>
    </row>
    <row r="3020" spans="12:13">
      <c r="L3020" s="3">
        <v>44662.465277768031</v>
      </c>
      <c r="M3020" s="15"/>
    </row>
    <row r="3021" spans="12:13">
      <c r="L3021" s="3">
        <v>44662.46874999025</v>
      </c>
      <c r="M3021" s="15"/>
    </row>
    <row r="3022" spans="12:13">
      <c r="L3022" s="3">
        <v>44662.472222212469</v>
      </c>
      <c r="M3022" s="15"/>
    </row>
    <row r="3023" spans="12:13">
      <c r="L3023" s="3">
        <v>44662.475694434688</v>
      </c>
      <c r="M3023" s="15"/>
    </row>
    <row r="3024" spans="12:13">
      <c r="L3024" s="3">
        <v>44662.479166656907</v>
      </c>
      <c r="M3024" s="15"/>
    </row>
    <row r="3025" spans="12:13">
      <c r="L3025" s="3">
        <v>44662.482638879126</v>
      </c>
      <c r="M3025" s="15"/>
    </row>
    <row r="3026" spans="12:13">
      <c r="L3026" s="3">
        <v>44662.486111101345</v>
      </c>
      <c r="M3026" s="15"/>
    </row>
    <row r="3027" spans="12:13">
      <c r="L3027" s="3">
        <v>44662.489583323564</v>
      </c>
      <c r="M3027" s="15"/>
    </row>
    <row r="3028" spans="12:13">
      <c r="L3028" s="3">
        <v>44662.493055545783</v>
      </c>
      <c r="M3028" s="15"/>
    </row>
    <row r="3029" spans="12:13">
      <c r="L3029" s="3">
        <v>44662.496527768002</v>
      </c>
      <c r="M3029" s="15"/>
    </row>
    <row r="3030" spans="12:13">
      <c r="L3030" s="3">
        <v>44662.499999990221</v>
      </c>
      <c r="M3030" s="15"/>
    </row>
    <row r="3031" spans="12:13">
      <c r="L3031" s="3">
        <v>44662.50347221244</v>
      </c>
      <c r="M3031" s="15"/>
    </row>
    <row r="3032" spans="12:13">
      <c r="L3032" s="3">
        <v>44662.506944434659</v>
      </c>
      <c r="M3032" s="15"/>
    </row>
    <row r="3033" spans="12:13">
      <c r="L3033" s="3">
        <v>44662.510416656878</v>
      </c>
      <c r="M3033" s="15"/>
    </row>
    <row r="3034" spans="12:13">
      <c r="L3034" s="3">
        <v>44662.513888879097</v>
      </c>
      <c r="M3034" s="15"/>
    </row>
    <row r="3035" spans="12:13">
      <c r="L3035" s="3">
        <v>44662.517361101316</v>
      </c>
      <c r="M3035" s="15"/>
    </row>
    <row r="3036" spans="12:13">
      <c r="L3036" s="3">
        <v>44662.520833323535</v>
      </c>
      <c r="M3036" s="15"/>
    </row>
    <row r="3037" spans="12:13">
      <c r="L3037" s="3">
        <v>44662.524305545754</v>
      </c>
      <c r="M3037" s="15"/>
    </row>
    <row r="3038" spans="12:13">
      <c r="L3038" s="3">
        <v>44662.527777767973</v>
      </c>
      <c r="M3038" s="15"/>
    </row>
    <row r="3039" spans="12:13">
      <c r="L3039" s="3">
        <v>44662.531249990192</v>
      </c>
      <c r="M3039" s="15"/>
    </row>
    <row r="3040" spans="12:13">
      <c r="L3040" s="3">
        <v>44662.534722212411</v>
      </c>
      <c r="M3040" s="15"/>
    </row>
    <row r="3041" spans="12:13">
      <c r="L3041" s="3">
        <v>44662.53819443463</v>
      </c>
      <c r="M3041" s="15"/>
    </row>
    <row r="3042" spans="12:13">
      <c r="L3042" s="3">
        <v>44662.541666656849</v>
      </c>
      <c r="M3042" s="15"/>
    </row>
    <row r="3043" spans="12:13">
      <c r="L3043" s="3">
        <v>44662.545138879068</v>
      </c>
      <c r="M3043" s="15"/>
    </row>
    <row r="3044" spans="12:13">
      <c r="L3044" s="3">
        <v>44662.548611101287</v>
      </c>
      <c r="M3044" s="15"/>
    </row>
    <row r="3045" spans="12:13">
      <c r="L3045" s="3">
        <v>44662.552083323506</v>
      </c>
      <c r="M3045" s="15"/>
    </row>
    <row r="3046" spans="12:13">
      <c r="L3046" s="3">
        <v>44662.555555545725</v>
      </c>
      <c r="M3046" s="15"/>
    </row>
    <row r="3047" spans="12:13">
      <c r="L3047" s="3">
        <v>44662.559027767944</v>
      </c>
      <c r="M3047" s="15"/>
    </row>
    <row r="3048" spans="12:13">
      <c r="L3048" s="3">
        <v>44662.562499990163</v>
      </c>
      <c r="M3048" s="15"/>
    </row>
    <row r="3049" spans="12:13">
      <c r="L3049" s="3">
        <v>44662.565972212382</v>
      </c>
      <c r="M3049" s="15"/>
    </row>
    <row r="3050" spans="12:13">
      <c r="L3050" s="3">
        <v>44662.569444434601</v>
      </c>
      <c r="M3050" s="15"/>
    </row>
    <row r="3051" spans="12:13">
      <c r="L3051" s="3">
        <v>44662.57291665682</v>
      </c>
      <c r="M3051" s="15"/>
    </row>
    <row r="3052" spans="12:13">
      <c r="L3052" s="3">
        <v>44662.576388879039</v>
      </c>
      <c r="M3052" s="15"/>
    </row>
    <row r="3053" spans="12:13">
      <c r="L3053" s="3">
        <v>44662.579861101258</v>
      </c>
      <c r="M3053" s="15"/>
    </row>
    <row r="3054" spans="12:13">
      <c r="L3054" s="3">
        <v>44662.583333323477</v>
      </c>
      <c r="M3054" s="15"/>
    </row>
    <row r="3055" spans="12:13">
      <c r="L3055" s="3">
        <v>44662.586805545696</v>
      </c>
      <c r="M3055" s="15"/>
    </row>
    <row r="3056" spans="12:13">
      <c r="L3056" s="3">
        <v>44662.590277767915</v>
      </c>
      <c r="M3056" s="15"/>
    </row>
    <row r="3057" spans="12:13">
      <c r="L3057" s="3">
        <v>44662.593749990134</v>
      </c>
      <c r="M3057" s="15"/>
    </row>
    <row r="3058" spans="12:13">
      <c r="L3058" s="3">
        <v>44662.597222212353</v>
      </c>
      <c r="M3058" s="15"/>
    </row>
    <row r="3059" spans="12:13">
      <c r="L3059" s="3">
        <v>44662.600694434572</v>
      </c>
      <c r="M3059" s="15"/>
    </row>
    <row r="3060" spans="12:13">
      <c r="L3060" s="3">
        <v>44662.604166656791</v>
      </c>
      <c r="M3060" s="15"/>
    </row>
    <row r="3061" spans="12:13">
      <c r="L3061" s="3">
        <v>44662.60763887901</v>
      </c>
      <c r="M3061" s="15"/>
    </row>
    <row r="3062" spans="12:13">
      <c r="L3062" s="3">
        <v>44662.611111101229</v>
      </c>
      <c r="M3062" s="15"/>
    </row>
    <row r="3063" spans="12:13">
      <c r="L3063" s="3">
        <v>44662.614583323448</v>
      </c>
      <c r="M3063" s="15"/>
    </row>
    <row r="3064" spans="12:13">
      <c r="L3064" s="3">
        <v>44662.618055545667</v>
      </c>
      <c r="M3064" s="15"/>
    </row>
    <row r="3065" spans="12:13">
      <c r="L3065" s="3">
        <v>44662.621527767886</v>
      </c>
      <c r="M3065" s="15"/>
    </row>
    <row r="3066" spans="12:13">
      <c r="L3066" s="3">
        <v>44662.624999990105</v>
      </c>
      <c r="M3066" s="15"/>
    </row>
    <row r="3067" spans="12:13">
      <c r="L3067" s="3">
        <v>44662.628472212324</v>
      </c>
      <c r="M3067" s="15"/>
    </row>
    <row r="3068" spans="12:13">
      <c r="L3068" s="3">
        <v>44662.631944434543</v>
      </c>
      <c r="M3068" s="15"/>
    </row>
    <row r="3069" spans="12:13">
      <c r="L3069" s="3">
        <v>44662.635416656762</v>
      </c>
      <c r="M3069" s="15"/>
    </row>
    <row r="3070" spans="12:13">
      <c r="L3070" s="3">
        <v>44662.638888878981</v>
      </c>
      <c r="M3070" s="15"/>
    </row>
    <row r="3071" spans="12:13">
      <c r="L3071" s="3">
        <v>44662.6423611012</v>
      </c>
      <c r="M3071" s="15"/>
    </row>
    <row r="3072" spans="12:13">
      <c r="L3072" s="3">
        <v>44662.645833323419</v>
      </c>
      <c r="M3072" s="15"/>
    </row>
    <row r="3073" spans="12:13">
      <c r="L3073" s="3">
        <v>44662.649305545638</v>
      </c>
      <c r="M3073" s="15"/>
    </row>
    <row r="3074" spans="12:13">
      <c r="L3074" s="3">
        <v>44662.652777767857</v>
      </c>
      <c r="M3074" s="15"/>
    </row>
    <row r="3075" spans="12:13">
      <c r="L3075" s="3">
        <v>44662.656249990076</v>
      </c>
      <c r="M3075" s="15"/>
    </row>
    <row r="3076" spans="12:13">
      <c r="L3076" s="3">
        <v>44662.659722212295</v>
      </c>
      <c r="M3076" s="15"/>
    </row>
    <row r="3077" spans="12:13">
      <c r="L3077" s="3">
        <v>44662.663194434514</v>
      </c>
      <c r="M3077" s="15"/>
    </row>
    <row r="3078" spans="12:13">
      <c r="L3078" s="3">
        <v>44662.666666656733</v>
      </c>
      <c r="M3078" s="15"/>
    </row>
    <row r="3079" spans="12:13">
      <c r="L3079" s="3">
        <v>44662.670138878952</v>
      </c>
      <c r="M3079" s="15"/>
    </row>
    <row r="3080" spans="12:13">
      <c r="L3080" s="3">
        <v>44662.673611101171</v>
      </c>
      <c r="M3080" s="15"/>
    </row>
    <row r="3081" spans="12:13">
      <c r="L3081" s="3">
        <v>44662.67708332339</v>
      </c>
      <c r="M3081" s="15"/>
    </row>
    <row r="3082" spans="12:13">
      <c r="L3082" s="3">
        <v>44662.680555545609</v>
      </c>
      <c r="M3082" s="15"/>
    </row>
    <row r="3083" spans="12:13">
      <c r="L3083" s="3">
        <v>44662.684027767828</v>
      </c>
      <c r="M3083" s="15"/>
    </row>
    <row r="3084" spans="12:13">
      <c r="L3084" s="3">
        <v>44662.687499990046</v>
      </c>
      <c r="M3084" s="15"/>
    </row>
    <row r="3085" spans="12:13">
      <c r="L3085" s="3">
        <v>44662.690972212265</v>
      </c>
      <c r="M3085" s="15"/>
    </row>
    <row r="3086" spans="12:13">
      <c r="L3086" s="3">
        <v>44662.694444434484</v>
      </c>
      <c r="M3086" s="15"/>
    </row>
    <row r="3087" spans="12:13">
      <c r="L3087" s="3">
        <v>44662.697916656703</v>
      </c>
      <c r="M3087" s="15"/>
    </row>
    <row r="3088" spans="12:13">
      <c r="L3088" s="3">
        <v>44662.701388878922</v>
      </c>
      <c r="M3088" s="15"/>
    </row>
    <row r="3089" spans="12:13">
      <c r="L3089" s="3">
        <v>44662.704861101141</v>
      </c>
      <c r="M3089" s="15"/>
    </row>
    <row r="3090" spans="12:13">
      <c r="L3090" s="3">
        <v>44662.70833332336</v>
      </c>
      <c r="M3090" s="15"/>
    </row>
    <row r="3091" spans="12:13">
      <c r="L3091" s="3">
        <v>44662.711805545579</v>
      </c>
      <c r="M3091" s="15"/>
    </row>
    <row r="3092" spans="12:13">
      <c r="L3092" s="3">
        <v>44662.715277767798</v>
      </c>
      <c r="M3092" s="15"/>
    </row>
    <row r="3093" spans="12:13">
      <c r="L3093" s="3">
        <v>44662.718749990017</v>
      </c>
      <c r="M3093" s="15"/>
    </row>
    <row r="3094" spans="12:13">
      <c r="L3094" s="3">
        <v>44662.722222212236</v>
      </c>
      <c r="M3094" s="15"/>
    </row>
    <row r="3095" spans="12:13">
      <c r="L3095" s="3">
        <v>44662.725694434455</v>
      </c>
      <c r="M3095" s="15"/>
    </row>
    <row r="3096" spans="12:13">
      <c r="L3096" s="3">
        <v>44662.729166656674</v>
      </c>
      <c r="M3096" s="15"/>
    </row>
    <row r="3097" spans="12:13">
      <c r="L3097" s="3">
        <v>44662.732638878893</v>
      </c>
      <c r="M3097" s="15"/>
    </row>
    <row r="3098" spans="12:13">
      <c r="L3098" s="3">
        <v>44662.736111101112</v>
      </c>
      <c r="M3098" s="15"/>
    </row>
    <row r="3099" spans="12:13">
      <c r="L3099" s="3">
        <v>44662.739583323331</v>
      </c>
      <c r="M3099" s="15"/>
    </row>
    <row r="3100" spans="12:13">
      <c r="L3100" s="3">
        <v>44662.74305554555</v>
      </c>
      <c r="M3100" s="15"/>
    </row>
    <row r="3101" spans="12:13">
      <c r="L3101" s="3">
        <v>44662.746527767769</v>
      </c>
      <c r="M3101" s="15"/>
    </row>
    <row r="3102" spans="12:13">
      <c r="L3102" s="3">
        <v>44662.749999989988</v>
      </c>
      <c r="M3102" s="15"/>
    </row>
    <row r="3103" spans="12:13">
      <c r="L3103" s="3">
        <v>44662.753472212207</v>
      </c>
      <c r="M3103" s="15"/>
    </row>
    <row r="3104" spans="12:13">
      <c r="L3104" s="3">
        <v>44662.756944434426</v>
      </c>
      <c r="M3104" s="15"/>
    </row>
    <row r="3105" spans="12:13">
      <c r="L3105" s="3">
        <v>44662.760416656645</v>
      </c>
      <c r="M3105" s="15"/>
    </row>
    <row r="3106" spans="12:13">
      <c r="L3106" s="3">
        <v>44662.763888878864</v>
      </c>
      <c r="M3106" s="15"/>
    </row>
    <row r="3107" spans="12:13">
      <c r="L3107" s="3">
        <v>44662.767361101083</v>
      </c>
      <c r="M3107" s="15"/>
    </row>
    <row r="3108" spans="12:13">
      <c r="L3108" s="3">
        <v>44662.770833323302</v>
      </c>
      <c r="M3108" s="15"/>
    </row>
    <row r="3109" spans="12:13">
      <c r="L3109" s="3">
        <v>44662.774305545521</v>
      </c>
      <c r="M3109" s="15"/>
    </row>
    <row r="3110" spans="12:13">
      <c r="L3110" s="3">
        <v>44662.77777776774</v>
      </c>
      <c r="M3110" s="15"/>
    </row>
    <row r="3111" spans="12:13">
      <c r="L3111" s="3">
        <v>44662.781249989959</v>
      </c>
      <c r="M3111" s="15"/>
    </row>
    <row r="3112" spans="12:13">
      <c r="L3112" s="3">
        <v>44662.784722212178</v>
      </c>
      <c r="M3112" s="15"/>
    </row>
    <row r="3113" spans="12:13">
      <c r="L3113" s="3">
        <v>44662.788194434397</v>
      </c>
      <c r="M3113" s="15"/>
    </row>
    <row r="3114" spans="12:13">
      <c r="L3114" s="3">
        <v>44662.791666656616</v>
      </c>
      <c r="M3114" s="15"/>
    </row>
    <row r="3115" spans="12:13">
      <c r="L3115" s="3">
        <v>44662.795138878835</v>
      </c>
      <c r="M3115" s="15"/>
    </row>
    <row r="3116" spans="12:13">
      <c r="L3116" s="3">
        <v>44662.798611101054</v>
      </c>
      <c r="M3116" s="15"/>
    </row>
    <row r="3117" spans="12:13">
      <c r="L3117" s="3">
        <v>44662.802083323273</v>
      </c>
      <c r="M3117" s="15"/>
    </row>
    <row r="3118" spans="12:13">
      <c r="L3118" s="3">
        <v>44662.805555545492</v>
      </c>
      <c r="M3118" s="15"/>
    </row>
    <row r="3119" spans="12:13">
      <c r="L3119" s="3">
        <v>44662.809027767711</v>
      </c>
      <c r="M3119" s="15"/>
    </row>
    <row r="3120" spans="12:13">
      <c r="L3120" s="3">
        <v>44662.81249998993</v>
      </c>
      <c r="M3120" s="15"/>
    </row>
    <row r="3121" spans="12:13">
      <c r="L3121" s="3">
        <v>44662.815972212149</v>
      </c>
      <c r="M3121" s="15"/>
    </row>
    <row r="3122" spans="12:13">
      <c r="L3122" s="3">
        <v>44662.819444434368</v>
      </c>
      <c r="M3122" s="15"/>
    </row>
    <row r="3123" spans="12:13">
      <c r="L3123" s="3">
        <v>44662.822916656587</v>
      </c>
      <c r="M3123" s="15"/>
    </row>
    <row r="3124" spans="12:13">
      <c r="L3124" s="3">
        <v>44662.826388878806</v>
      </c>
      <c r="M3124" s="15"/>
    </row>
    <row r="3125" spans="12:13">
      <c r="L3125" s="3">
        <v>44662.829861101025</v>
      </c>
      <c r="M3125" s="15"/>
    </row>
    <row r="3126" spans="12:13">
      <c r="L3126" s="3">
        <v>44662.833333323244</v>
      </c>
      <c r="M3126" s="15"/>
    </row>
    <row r="3127" spans="12:13">
      <c r="L3127" s="3">
        <v>44662.836805545463</v>
      </c>
      <c r="M3127" s="15"/>
    </row>
    <row r="3128" spans="12:13">
      <c r="L3128" s="3">
        <v>44662.840277767682</v>
      </c>
      <c r="M3128" s="15"/>
    </row>
    <row r="3129" spans="12:13">
      <c r="L3129" s="3">
        <v>44662.843749989901</v>
      </c>
      <c r="M3129" s="15"/>
    </row>
    <row r="3130" spans="12:13">
      <c r="L3130" s="3">
        <v>44662.84722221212</v>
      </c>
      <c r="M3130" s="15"/>
    </row>
    <row r="3131" spans="12:13">
      <c r="L3131" s="3">
        <v>44662.850694434339</v>
      </c>
      <c r="M3131" s="15"/>
    </row>
    <row r="3132" spans="12:13">
      <c r="L3132" s="3">
        <v>44662.854166656558</v>
      </c>
      <c r="M3132" s="15"/>
    </row>
    <row r="3133" spans="12:13">
      <c r="L3133" s="3">
        <v>44662.857638878777</v>
      </c>
      <c r="M3133" s="15"/>
    </row>
    <row r="3134" spans="12:13">
      <c r="L3134" s="3">
        <v>44662.861111100996</v>
      </c>
      <c r="M3134" s="15"/>
    </row>
    <row r="3135" spans="12:13">
      <c r="L3135" s="3">
        <v>44662.864583323215</v>
      </c>
      <c r="M3135" s="15"/>
    </row>
    <row r="3136" spans="12:13">
      <c r="L3136" s="3">
        <v>44662.868055545434</v>
      </c>
      <c r="M3136" s="15"/>
    </row>
    <row r="3137" spans="12:13">
      <c r="L3137" s="3">
        <v>44662.871527767653</v>
      </c>
      <c r="M3137" s="15"/>
    </row>
    <row r="3138" spans="12:13">
      <c r="L3138" s="3">
        <v>44662.874999989872</v>
      </c>
      <c r="M3138" s="15"/>
    </row>
    <row r="3139" spans="12:13">
      <c r="L3139" s="3">
        <v>44662.878472212091</v>
      </c>
      <c r="M3139" s="15"/>
    </row>
    <row r="3140" spans="12:13">
      <c r="L3140" s="3">
        <v>44662.88194443431</v>
      </c>
      <c r="M3140" s="15"/>
    </row>
    <row r="3141" spans="12:13">
      <c r="L3141" s="3">
        <v>44662.885416656529</v>
      </c>
      <c r="M3141" s="15"/>
    </row>
    <row r="3142" spans="12:13">
      <c r="L3142" s="3">
        <v>44662.888888878748</v>
      </c>
      <c r="M3142" s="15"/>
    </row>
    <row r="3143" spans="12:13">
      <c r="L3143" s="3">
        <v>44662.892361100967</v>
      </c>
      <c r="M3143" s="15"/>
    </row>
    <row r="3144" spans="12:13">
      <c r="L3144" s="3">
        <v>44662.895833323186</v>
      </c>
      <c r="M3144" s="15"/>
    </row>
    <row r="3145" spans="12:13">
      <c r="L3145" s="3">
        <v>44662.899305545405</v>
      </c>
      <c r="M3145" s="15"/>
    </row>
    <row r="3146" spans="12:13">
      <c r="L3146" s="3">
        <v>44662.902777767624</v>
      </c>
      <c r="M3146" s="15"/>
    </row>
    <row r="3147" spans="12:13">
      <c r="L3147" s="3">
        <v>44662.906249989843</v>
      </c>
      <c r="M3147" s="15"/>
    </row>
    <row r="3148" spans="12:13">
      <c r="L3148" s="3">
        <v>44662.909722212062</v>
      </c>
      <c r="M3148" s="15"/>
    </row>
    <row r="3149" spans="12:13">
      <c r="L3149" s="3">
        <v>44662.913194434281</v>
      </c>
      <c r="M3149" s="15"/>
    </row>
    <row r="3150" spans="12:13">
      <c r="L3150" s="3">
        <v>44662.9166666565</v>
      </c>
      <c r="M3150" s="15"/>
    </row>
    <row r="3151" spans="12:13">
      <c r="L3151" s="3">
        <v>44662.920138878719</v>
      </c>
      <c r="M3151" s="15"/>
    </row>
    <row r="3152" spans="12:13">
      <c r="L3152" s="3">
        <v>44662.923611100938</v>
      </c>
      <c r="M3152" s="15"/>
    </row>
    <row r="3153" spans="12:13">
      <c r="L3153" s="3">
        <v>44662.927083323157</v>
      </c>
      <c r="M3153" s="15"/>
    </row>
    <row r="3154" spans="12:13">
      <c r="L3154" s="3">
        <v>44662.930555545376</v>
      </c>
      <c r="M3154" s="15"/>
    </row>
    <row r="3155" spans="12:13">
      <c r="L3155" s="3">
        <v>44662.934027767595</v>
      </c>
      <c r="M3155" s="15"/>
    </row>
    <row r="3156" spans="12:13">
      <c r="L3156" s="3">
        <v>44662.937499989814</v>
      </c>
      <c r="M3156" s="15"/>
    </row>
    <row r="3157" spans="12:13">
      <c r="L3157" s="3">
        <v>44662.940972212033</v>
      </c>
      <c r="M3157" s="15"/>
    </row>
    <row r="3158" spans="12:13">
      <c r="L3158" s="3">
        <v>44662.944444434252</v>
      </c>
      <c r="M3158" s="15"/>
    </row>
    <row r="3159" spans="12:13">
      <c r="L3159" s="3">
        <v>44662.947916656471</v>
      </c>
      <c r="M3159" s="15"/>
    </row>
    <row r="3160" spans="12:13">
      <c r="L3160" s="3">
        <v>44662.95138887869</v>
      </c>
      <c r="M3160" s="15"/>
    </row>
    <row r="3161" spans="12:13">
      <c r="L3161" s="3">
        <v>44662.954861100909</v>
      </c>
      <c r="M3161" s="15"/>
    </row>
    <row r="3162" spans="12:13">
      <c r="L3162" s="3">
        <v>44662.958333323128</v>
      </c>
      <c r="M3162" s="15"/>
    </row>
    <row r="3163" spans="12:13">
      <c r="L3163" s="3">
        <v>44662.961805545347</v>
      </c>
      <c r="M3163" s="15"/>
    </row>
    <row r="3164" spans="12:13">
      <c r="L3164" s="3">
        <v>44662.965277767566</v>
      </c>
      <c r="M3164" s="15"/>
    </row>
    <row r="3165" spans="12:13">
      <c r="L3165" s="3">
        <v>44662.968749989785</v>
      </c>
      <c r="M3165" s="15"/>
    </row>
    <row r="3166" spans="12:13">
      <c r="L3166" s="3">
        <v>44662.972222212004</v>
      </c>
      <c r="M3166" s="15"/>
    </row>
    <row r="3167" spans="12:13">
      <c r="L3167" s="3">
        <v>44662.975694434223</v>
      </c>
      <c r="M3167" s="15"/>
    </row>
    <row r="3168" spans="12:13">
      <c r="L3168" s="3">
        <v>44662.979166656442</v>
      </c>
      <c r="M3168" s="15"/>
    </row>
    <row r="3169" spans="12:13">
      <c r="L3169" s="3">
        <v>44662.982638878661</v>
      </c>
      <c r="M3169" s="15"/>
    </row>
    <row r="3170" spans="12:13">
      <c r="L3170" s="3">
        <v>44662.986111100879</v>
      </c>
      <c r="M3170" s="15"/>
    </row>
    <row r="3171" spans="12:13">
      <c r="L3171" s="3">
        <v>44662.989583323098</v>
      </c>
      <c r="M3171" s="15"/>
    </row>
    <row r="3172" spans="12:13">
      <c r="L3172" s="3">
        <v>44662.993055545317</v>
      </c>
      <c r="M3172" s="15"/>
    </row>
    <row r="3173" spans="12:13">
      <c r="L3173" s="3">
        <v>44662.996527767536</v>
      </c>
      <c r="M3173" s="15"/>
    </row>
    <row r="3174" spans="12:13">
      <c r="L3174" s="3">
        <v>44662.999999989755</v>
      </c>
      <c r="M3174" s="15"/>
    </row>
    <row r="3175" spans="12:13">
      <c r="L3175" s="3">
        <v>44663.003472211974</v>
      </c>
      <c r="M3175" s="15"/>
    </row>
    <row r="3176" spans="12:13">
      <c r="L3176" s="3">
        <v>44663.006944434193</v>
      </c>
      <c r="M3176" s="15"/>
    </row>
    <row r="3177" spans="12:13">
      <c r="L3177" s="3">
        <v>44663.010416656412</v>
      </c>
      <c r="M3177" s="15"/>
    </row>
    <row r="3178" spans="12:13">
      <c r="L3178" s="3">
        <v>44663.013888878631</v>
      </c>
      <c r="M3178" s="15"/>
    </row>
    <row r="3179" spans="12:13">
      <c r="L3179" s="3">
        <v>44663.01736110085</v>
      </c>
      <c r="M3179" s="15"/>
    </row>
    <row r="3180" spans="12:13">
      <c r="L3180" s="3">
        <v>44663.020833323069</v>
      </c>
      <c r="M3180" s="15"/>
    </row>
    <row r="3181" spans="12:13">
      <c r="L3181" s="3">
        <v>44663.024305545288</v>
      </c>
      <c r="M3181" s="15"/>
    </row>
    <row r="3182" spans="12:13">
      <c r="L3182" s="3">
        <v>44663.027777767507</v>
      </c>
      <c r="M3182" s="15"/>
    </row>
    <row r="3183" spans="12:13">
      <c r="L3183" s="3">
        <v>44663.031249989726</v>
      </c>
      <c r="M3183" s="15"/>
    </row>
    <row r="3184" spans="12:13">
      <c r="L3184" s="3">
        <v>44663.034722211945</v>
      </c>
      <c r="M3184" s="15"/>
    </row>
    <row r="3185" spans="12:13">
      <c r="L3185" s="3">
        <v>44663.038194434164</v>
      </c>
      <c r="M3185" s="15"/>
    </row>
    <row r="3186" spans="12:13">
      <c r="L3186" s="3">
        <v>44663.041666656383</v>
      </c>
      <c r="M3186" s="15"/>
    </row>
    <row r="3187" spans="12:13">
      <c r="L3187" s="3">
        <v>44663.045138878602</v>
      </c>
      <c r="M3187" s="15"/>
    </row>
    <row r="3188" spans="12:13">
      <c r="L3188" s="3">
        <v>44663.048611100821</v>
      </c>
      <c r="M3188" s="15"/>
    </row>
    <row r="3189" spans="12:13">
      <c r="L3189" s="3">
        <v>44663.05208332304</v>
      </c>
      <c r="M3189" s="15"/>
    </row>
    <row r="3190" spans="12:13">
      <c r="L3190" s="3">
        <v>44663.055555545259</v>
      </c>
      <c r="M3190" s="15"/>
    </row>
    <row r="3191" spans="12:13">
      <c r="L3191" s="3">
        <v>44663.059027767478</v>
      </c>
      <c r="M3191" s="15"/>
    </row>
    <row r="3192" spans="12:13">
      <c r="L3192" s="3">
        <v>44663.062499989697</v>
      </c>
      <c r="M3192" s="15"/>
    </row>
    <row r="3193" spans="12:13">
      <c r="L3193" s="3">
        <v>44663.065972211916</v>
      </c>
      <c r="M3193" s="15"/>
    </row>
    <row r="3194" spans="12:13">
      <c r="L3194" s="3">
        <v>44663.069444434135</v>
      </c>
      <c r="M3194" s="15"/>
    </row>
    <row r="3195" spans="12:13">
      <c r="L3195" s="3">
        <v>44663.072916656354</v>
      </c>
      <c r="M3195" s="15"/>
    </row>
    <row r="3196" spans="12:13">
      <c r="L3196" s="3">
        <v>44663.076388878573</v>
      </c>
      <c r="M3196" s="15"/>
    </row>
    <row r="3197" spans="12:13">
      <c r="L3197" s="3">
        <v>44663.079861100792</v>
      </c>
      <c r="M3197" s="15"/>
    </row>
    <row r="3198" spans="12:13">
      <c r="L3198" s="3">
        <v>44663.083333323011</v>
      </c>
      <c r="M3198" s="15"/>
    </row>
    <row r="3199" spans="12:13">
      <c r="L3199" s="3">
        <v>44663.08680554523</v>
      </c>
      <c r="M3199" s="15"/>
    </row>
    <row r="3200" spans="12:13">
      <c r="L3200" s="3">
        <v>44663.090277767449</v>
      </c>
      <c r="M3200" s="15"/>
    </row>
    <row r="3201" spans="12:13">
      <c r="L3201" s="3">
        <v>44663.093749989668</v>
      </c>
      <c r="M3201" s="15"/>
    </row>
    <row r="3202" spans="12:13">
      <c r="L3202" s="3">
        <v>44663.097222211887</v>
      </c>
      <c r="M3202" s="15"/>
    </row>
    <row r="3203" spans="12:13">
      <c r="L3203" s="3">
        <v>44663.100694434106</v>
      </c>
      <c r="M3203" s="15"/>
    </row>
    <row r="3204" spans="12:13">
      <c r="L3204" s="3">
        <v>44663.104166656325</v>
      </c>
      <c r="M3204" s="15"/>
    </row>
    <row r="3205" spans="12:13">
      <c r="L3205" s="3">
        <v>44663.107638878544</v>
      </c>
      <c r="M3205" s="15"/>
    </row>
    <row r="3206" spans="12:13">
      <c r="L3206" s="3">
        <v>44663.111111100763</v>
      </c>
      <c r="M3206" s="15"/>
    </row>
    <row r="3207" spans="12:13">
      <c r="L3207" s="3">
        <v>44663.114583322982</v>
      </c>
      <c r="M3207" s="15"/>
    </row>
    <row r="3208" spans="12:13">
      <c r="L3208" s="3">
        <v>44663.118055545201</v>
      </c>
      <c r="M3208" s="15"/>
    </row>
    <row r="3209" spans="12:13">
      <c r="L3209" s="3">
        <v>44663.12152776742</v>
      </c>
      <c r="M3209" s="15"/>
    </row>
    <row r="3210" spans="12:13">
      <c r="L3210" s="3">
        <v>44663.124999989639</v>
      </c>
      <c r="M3210" s="15"/>
    </row>
    <row r="3211" spans="12:13">
      <c r="L3211" s="3">
        <v>44663.128472211858</v>
      </c>
      <c r="M3211" s="15"/>
    </row>
    <row r="3212" spans="12:13">
      <c r="L3212" s="3">
        <v>44663.131944434077</v>
      </c>
      <c r="M3212" s="15"/>
    </row>
    <row r="3213" spans="12:13">
      <c r="L3213" s="3">
        <v>44663.135416656296</v>
      </c>
      <c r="M3213" s="15"/>
    </row>
    <row r="3214" spans="12:13">
      <c r="L3214" s="3">
        <v>44663.138888878515</v>
      </c>
      <c r="M3214" s="15"/>
    </row>
    <row r="3215" spans="12:13">
      <c r="L3215" s="3">
        <v>44663.142361100734</v>
      </c>
      <c r="M3215" s="15"/>
    </row>
    <row r="3216" spans="12:13">
      <c r="L3216" s="3">
        <v>44663.145833322953</v>
      </c>
      <c r="M3216" s="15"/>
    </row>
    <row r="3217" spans="12:13">
      <c r="L3217" s="3">
        <v>44663.149305545172</v>
      </c>
      <c r="M3217" s="15"/>
    </row>
    <row r="3218" spans="12:13">
      <c r="L3218" s="3">
        <v>44663.152777767391</v>
      </c>
      <c r="M3218" s="15"/>
    </row>
    <row r="3219" spans="12:13">
      <c r="L3219" s="3">
        <v>44663.15624998961</v>
      </c>
      <c r="M3219" s="15"/>
    </row>
    <row r="3220" spans="12:13">
      <c r="L3220" s="3">
        <v>44663.159722211829</v>
      </c>
      <c r="M3220" s="15"/>
    </row>
    <row r="3221" spans="12:13">
      <c r="L3221" s="3">
        <v>44663.163194434048</v>
      </c>
      <c r="M3221" s="15"/>
    </row>
    <row r="3222" spans="12:13">
      <c r="L3222" s="3">
        <v>44663.166666656267</v>
      </c>
      <c r="M3222" s="15"/>
    </row>
    <row r="3223" spans="12:13">
      <c r="L3223" s="3">
        <v>44663.170138878486</v>
      </c>
      <c r="M3223" s="15"/>
    </row>
    <row r="3224" spans="12:13">
      <c r="L3224" s="3">
        <v>44663.173611100705</v>
      </c>
      <c r="M3224" s="15"/>
    </row>
    <row r="3225" spans="12:13">
      <c r="L3225" s="3">
        <v>44663.177083322924</v>
      </c>
      <c r="M3225" s="15"/>
    </row>
    <row r="3226" spans="12:13">
      <c r="L3226" s="3">
        <v>44663.180555545143</v>
      </c>
      <c r="M3226" s="15"/>
    </row>
    <row r="3227" spans="12:13">
      <c r="L3227" s="3">
        <v>44663.184027767362</v>
      </c>
      <c r="M3227" s="15"/>
    </row>
    <row r="3228" spans="12:13">
      <c r="L3228" s="3">
        <v>44663.187499989581</v>
      </c>
      <c r="M3228" s="15"/>
    </row>
    <row r="3229" spans="12:13">
      <c r="L3229" s="3">
        <v>44663.1909722118</v>
      </c>
      <c r="M3229" s="15"/>
    </row>
    <row r="3230" spans="12:13">
      <c r="L3230" s="3">
        <v>44663.194444434019</v>
      </c>
      <c r="M3230" s="15"/>
    </row>
    <row r="3231" spans="12:13">
      <c r="L3231" s="3">
        <v>44663.197916656238</v>
      </c>
      <c r="M3231" s="15"/>
    </row>
    <row r="3232" spans="12:13">
      <c r="L3232" s="3">
        <v>44663.201388878457</v>
      </c>
      <c r="M3232" s="15"/>
    </row>
    <row r="3233" spans="12:13">
      <c r="L3233" s="3">
        <v>44663.204861100676</v>
      </c>
      <c r="M3233" s="15"/>
    </row>
    <row r="3234" spans="12:13">
      <c r="L3234" s="3">
        <v>44663.208333322895</v>
      </c>
      <c r="M3234" s="15"/>
    </row>
    <row r="3235" spans="12:13">
      <c r="L3235" s="3">
        <v>44663.211805545114</v>
      </c>
      <c r="M3235" s="15"/>
    </row>
    <row r="3236" spans="12:13">
      <c r="L3236" s="3">
        <v>44663.215277767333</v>
      </c>
      <c r="M3236" s="15"/>
    </row>
    <row r="3237" spans="12:13">
      <c r="L3237" s="3">
        <v>44663.218749989552</v>
      </c>
      <c r="M3237" s="15"/>
    </row>
    <row r="3238" spans="12:13">
      <c r="L3238" s="3">
        <v>44663.222222211771</v>
      </c>
      <c r="M3238" s="15"/>
    </row>
    <row r="3239" spans="12:13">
      <c r="L3239" s="3">
        <v>44663.22569443399</v>
      </c>
      <c r="M3239" s="15"/>
    </row>
    <row r="3240" spans="12:13">
      <c r="L3240" s="3">
        <v>44663.229166656209</v>
      </c>
      <c r="M3240" s="15"/>
    </row>
    <row r="3241" spans="12:13">
      <c r="L3241" s="3">
        <v>44663.232638878428</v>
      </c>
      <c r="M3241" s="15"/>
    </row>
    <row r="3242" spans="12:13">
      <c r="L3242" s="3">
        <v>44663.236111100647</v>
      </c>
      <c r="M3242" s="15"/>
    </row>
    <row r="3243" spans="12:13">
      <c r="L3243" s="3">
        <v>44663.239583322866</v>
      </c>
      <c r="M3243" s="15"/>
    </row>
    <row r="3244" spans="12:13">
      <c r="L3244" s="3">
        <v>44663.243055545085</v>
      </c>
      <c r="M3244" s="15"/>
    </row>
    <row r="3245" spans="12:13">
      <c r="L3245" s="3">
        <v>44663.246527767304</v>
      </c>
      <c r="M3245" s="15"/>
    </row>
    <row r="3246" spans="12:13">
      <c r="L3246" s="3">
        <v>44663.249999989523</v>
      </c>
      <c r="M3246" s="15"/>
    </row>
    <row r="3247" spans="12:13">
      <c r="L3247" s="3">
        <v>44663.253472211742</v>
      </c>
      <c r="M3247" s="15"/>
    </row>
    <row r="3248" spans="12:13">
      <c r="L3248" s="3">
        <v>44663.256944433961</v>
      </c>
      <c r="M3248" s="15"/>
    </row>
    <row r="3249" spans="12:13">
      <c r="L3249" s="3">
        <v>44663.26041665618</v>
      </c>
      <c r="M3249" s="15"/>
    </row>
    <row r="3250" spans="12:13">
      <c r="L3250" s="3">
        <v>44663.263888878399</v>
      </c>
      <c r="M3250" s="15"/>
    </row>
    <row r="3251" spans="12:13">
      <c r="L3251" s="3">
        <v>44663.267361100618</v>
      </c>
      <c r="M3251" s="15"/>
    </row>
    <row r="3252" spans="12:13">
      <c r="L3252" s="3">
        <v>44663.270833322837</v>
      </c>
      <c r="M3252" s="15"/>
    </row>
    <row r="3253" spans="12:13">
      <c r="L3253" s="3">
        <v>44663.274305545056</v>
      </c>
      <c r="M3253" s="15"/>
    </row>
    <row r="3254" spans="12:13">
      <c r="L3254" s="3">
        <v>44663.277777767275</v>
      </c>
      <c r="M3254" s="15"/>
    </row>
    <row r="3255" spans="12:13">
      <c r="L3255" s="3">
        <v>44663.281249989494</v>
      </c>
      <c r="M3255" s="15"/>
    </row>
    <row r="3256" spans="12:13">
      <c r="L3256" s="3">
        <v>44663.284722211713</v>
      </c>
      <c r="M3256" s="15"/>
    </row>
    <row r="3257" spans="12:13">
      <c r="L3257" s="3">
        <v>44663.288194433931</v>
      </c>
      <c r="M3257" s="15"/>
    </row>
    <row r="3258" spans="12:13">
      <c r="L3258" s="3">
        <v>44663.29166665615</v>
      </c>
      <c r="M3258" s="15"/>
    </row>
    <row r="3259" spans="12:13">
      <c r="L3259" s="3">
        <v>44663.295138878369</v>
      </c>
      <c r="M3259" s="15"/>
    </row>
    <row r="3260" spans="12:13">
      <c r="L3260" s="3">
        <v>44663.298611100588</v>
      </c>
      <c r="M3260" s="15"/>
    </row>
    <row r="3261" spans="12:13">
      <c r="L3261" s="3">
        <v>44663.302083322807</v>
      </c>
      <c r="M3261" s="15"/>
    </row>
    <row r="3262" spans="12:13">
      <c r="L3262" s="3">
        <v>44663.305555545026</v>
      </c>
      <c r="M3262" s="15"/>
    </row>
    <row r="3263" spans="12:13">
      <c r="L3263" s="3">
        <v>44663.309027767245</v>
      </c>
      <c r="M3263" s="15"/>
    </row>
    <row r="3264" spans="12:13">
      <c r="L3264" s="3">
        <v>44663.312499989464</v>
      </c>
      <c r="M3264" s="15"/>
    </row>
    <row r="3265" spans="12:13">
      <c r="L3265" s="3">
        <v>44663.315972211683</v>
      </c>
      <c r="M3265" s="15"/>
    </row>
    <row r="3266" spans="12:13">
      <c r="L3266" s="3">
        <v>44663.319444433902</v>
      </c>
      <c r="M3266" s="15"/>
    </row>
    <row r="3267" spans="12:13">
      <c r="L3267" s="3">
        <v>44663.322916656121</v>
      </c>
      <c r="M3267" s="15"/>
    </row>
    <row r="3268" spans="12:13">
      <c r="L3268" s="3">
        <v>44663.32638887834</v>
      </c>
      <c r="M3268" s="15"/>
    </row>
    <row r="3269" spans="12:13">
      <c r="L3269" s="3">
        <v>44663.329861100559</v>
      </c>
      <c r="M3269" s="15"/>
    </row>
    <row r="3270" spans="12:13">
      <c r="L3270" s="3">
        <v>44663.333333322778</v>
      </c>
      <c r="M3270" s="15"/>
    </row>
    <row r="3271" spans="12:13">
      <c r="L3271" s="3">
        <v>44663.336805544997</v>
      </c>
      <c r="M3271" s="15"/>
    </row>
    <row r="3272" spans="12:13">
      <c r="L3272" s="3">
        <v>44663.340277767216</v>
      </c>
      <c r="M3272" s="15"/>
    </row>
    <row r="3273" spans="12:13">
      <c r="L3273" s="3">
        <v>44663.343749989435</v>
      </c>
      <c r="M3273" s="15"/>
    </row>
    <row r="3274" spans="12:13">
      <c r="L3274" s="3">
        <v>44663.347222211654</v>
      </c>
      <c r="M3274" s="15"/>
    </row>
    <row r="3275" spans="12:13">
      <c r="L3275" s="3">
        <v>44663.350694433873</v>
      </c>
      <c r="M3275" s="15"/>
    </row>
    <row r="3276" spans="12:13">
      <c r="L3276" s="3">
        <v>44663.354166656092</v>
      </c>
      <c r="M3276" s="15"/>
    </row>
    <row r="3277" spans="12:13">
      <c r="L3277" s="3">
        <v>44663.357638878311</v>
      </c>
      <c r="M3277" s="15"/>
    </row>
    <row r="3278" spans="12:13">
      <c r="L3278" s="3">
        <v>44663.36111110053</v>
      </c>
      <c r="M3278" s="15"/>
    </row>
    <row r="3279" spans="12:13">
      <c r="L3279" s="3">
        <v>44663.364583322749</v>
      </c>
      <c r="M3279" s="15"/>
    </row>
    <row r="3280" spans="12:13">
      <c r="L3280" s="3">
        <v>44663.368055544968</v>
      </c>
      <c r="M3280" s="15"/>
    </row>
    <row r="3281" spans="12:13">
      <c r="L3281" s="3">
        <v>44663.371527767187</v>
      </c>
      <c r="M3281" s="15"/>
    </row>
    <row r="3282" spans="12:13">
      <c r="L3282" s="3">
        <v>44663.374999989406</v>
      </c>
      <c r="M3282" s="15"/>
    </row>
    <row r="3283" spans="12:13">
      <c r="L3283" s="3">
        <v>44663.378472211625</v>
      </c>
      <c r="M3283" s="15"/>
    </row>
    <row r="3284" spans="12:13">
      <c r="L3284" s="3">
        <v>44663.381944433844</v>
      </c>
      <c r="M3284" s="15"/>
    </row>
    <row r="3285" spans="12:13">
      <c r="L3285" s="3">
        <v>44663.385416656063</v>
      </c>
      <c r="M3285" s="15"/>
    </row>
    <row r="3286" spans="12:13">
      <c r="L3286" s="3">
        <v>44663.388888878282</v>
      </c>
      <c r="M3286" s="15"/>
    </row>
    <row r="3287" spans="12:13">
      <c r="L3287" s="3">
        <v>44663.392361100501</v>
      </c>
      <c r="M3287" s="15"/>
    </row>
    <row r="3288" spans="12:13">
      <c r="L3288" s="3">
        <v>44663.39583332272</v>
      </c>
      <c r="M3288" s="15"/>
    </row>
    <row r="3289" spans="12:13">
      <c r="L3289" s="3">
        <v>44663.399305544939</v>
      </c>
      <c r="M3289" s="15"/>
    </row>
    <row r="3290" spans="12:13">
      <c r="L3290" s="3">
        <v>44663.402777767158</v>
      </c>
      <c r="M3290" s="15"/>
    </row>
    <row r="3291" spans="12:13">
      <c r="L3291" s="3">
        <v>44663.406249989377</v>
      </c>
      <c r="M3291" s="15"/>
    </row>
    <row r="3292" spans="12:13">
      <c r="L3292" s="3">
        <v>44663.409722211596</v>
      </c>
      <c r="M3292" s="15"/>
    </row>
    <row r="3293" spans="12:13">
      <c r="L3293" s="3">
        <v>44663.413194433815</v>
      </c>
      <c r="M3293" s="15"/>
    </row>
    <row r="3294" spans="12:13">
      <c r="L3294" s="3">
        <v>44663.416666656034</v>
      </c>
      <c r="M3294" s="15"/>
    </row>
    <row r="3295" spans="12:13">
      <c r="L3295" s="3">
        <v>44663.420138878253</v>
      </c>
      <c r="M3295" s="15"/>
    </row>
    <row r="3296" spans="12:13">
      <c r="L3296" s="3">
        <v>44663.423611100472</v>
      </c>
      <c r="M3296" s="15"/>
    </row>
    <row r="3297" spans="12:13">
      <c r="L3297" s="3">
        <v>44663.427083322691</v>
      </c>
      <c r="M3297" s="15"/>
    </row>
    <row r="3298" spans="12:13">
      <c r="L3298" s="3">
        <v>44663.43055554491</v>
      </c>
      <c r="M3298" s="15"/>
    </row>
    <row r="3299" spans="12:13">
      <c r="L3299" s="3">
        <v>44663.434027767129</v>
      </c>
      <c r="M3299" s="15"/>
    </row>
    <row r="3300" spans="12:13">
      <c r="L3300" s="3">
        <v>44663.437499989348</v>
      </c>
      <c r="M3300" s="15"/>
    </row>
    <row r="3301" spans="12:13">
      <c r="L3301" s="3">
        <v>44663.440972211567</v>
      </c>
      <c r="M3301" s="15"/>
    </row>
    <row r="3302" spans="12:13">
      <c r="L3302" s="3">
        <v>44663.444444433786</v>
      </c>
      <c r="M3302" s="15"/>
    </row>
    <row r="3303" spans="12:13">
      <c r="L3303" s="3">
        <v>44663.447916656005</v>
      </c>
      <c r="M3303" s="15"/>
    </row>
    <row r="3304" spans="12:13">
      <c r="L3304" s="3">
        <v>44663.451388878224</v>
      </c>
      <c r="M3304" s="15"/>
    </row>
    <row r="3305" spans="12:13">
      <c r="L3305" s="3">
        <v>44663.454861100443</v>
      </c>
      <c r="M3305" s="15"/>
    </row>
    <row r="3306" spans="12:13">
      <c r="L3306" s="3">
        <v>44663.458333322662</v>
      </c>
      <c r="M3306" s="15"/>
    </row>
    <row r="3307" spans="12:13">
      <c r="L3307" s="3">
        <v>44663.461805544881</v>
      </c>
      <c r="M3307" s="15"/>
    </row>
    <row r="3308" spans="12:13">
      <c r="L3308" s="3">
        <v>44663.4652777671</v>
      </c>
      <c r="M3308" s="15"/>
    </row>
    <row r="3309" spans="12:13">
      <c r="L3309" s="3">
        <v>44663.468749989319</v>
      </c>
      <c r="M3309" s="15"/>
    </row>
    <row r="3310" spans="12:13">
      <c r="L3310" s="3">
        <v>44663.472222211538</v>
      </c>
      <c r="M3310" s="15"/>
    </row>
    <row r="3311" spans="12:13">
      <c r="L3311" s="3">
        <v>44663.475694433757</v>
      </c>
      <c r="M3311" s="15"/>
    </row>
    <row r="3312" spans="12:13">
      <c r="L3312" s="3">
        <v>44663.479166655976</v>
      </c>
      <c r="M3312" s="15"/>
    </row>
    <row r="3313" spans="12:13">
      <c r="L3313" s="3">
        <v>44663.482638878195</v>
      </c>
      <c r="M3313" s="15"/>
    </row>
    <row r="3314" spans="12:13">
      <c r="L3314" s="3">
        <v>44663.486111100414</v>
      </c>
      <c r="M3314" s="15"/>
    </row>
    <row r="3315" spans="12:13">
      <c r="L3315" s="3">
        <v>44663.489583322633</v>
      </c>
      <c r="M3315" s="15"/>
    </row>
    <row r="3316" spans="12:13">
      <c r="L3316" s="3">
        <v>44663.493055544852</v>
      </c>
      <c r="M3316" s="15"/>
    </row>
    <row r="3317" spans="12:13">
      <c r="L3317" s="3">
        <v>44663.496527767071</v>
      </c>
      <c r="M3317" s="15"/>
    </row>
    <row r="3318" spans="12:13">
      <c r="L3318" s="3">
        <v>44663.49999998929</v>
      </c>
      <c r="M3318" s="15"/>
    </row>
    <row r="3319" spans="12:13">
      <c r="L3319" s="3">
        <v>44663.503472211509</v>
      </c>
      <c r="M3319" s="15"/>
    </row>
    <row r="3320" spans="12:13">
      <c r="L3320" s="3">
        <v>44663.506944433728</v>
      </c>
      <c r="M3320" s="15"/>
    </row>
    <row r="3321" spans="12:13">
      <c r="L3321" s="3">
        <v>44663.510416655947</v>
      </c>
      <c r="M3321" s="15"/>
    </row>
    <row r="3322" spans="12:13">
      <c r="L3322" s="3">
        <v>44663.513888878166</v>
      </c>
      <c r="M3322" s="15"/>
    </row>
    <row r="3323" spans="12:13">
      <c r="L3323" s="3">
        <v>44663.517361100385</v>
      </c>
      <c r="M3323" s="15"/>
    </row>
    <row r="3324" spans="12:13">
      <c r="L3324" s="3">
        <v>44663.520833322604</v>
      </c>
      <c r="M3324" s="15"/>
    </row>
    <row r="3325" spans="12:13">
      <c r="L3325" s="3">
        <v>44663.524305544823</v>
      </c>
      <c r="M3325" s="15"/>
    </row>
    <row r="3326" spans="12:13">
      <c r="L3326" s="3">
        <v>44663.527777767042</v>
      </c>
      <c r="M3326" s="15"/>
    </row>
    <row r="3327" spans="12:13">
      <c r="L3327" s="3">
        <v>44663.531249989261</v>
      </c>
      <c r="M3327" s="15"/>
    </row>
    <row r="3328" spans="12:13">
      <c r="L3328" s="3">
        <v>44663.53472221148</v>
      </c>
      <c r="M3328" s="15"/>
    </row>
    <row r="3329" spans="12:13">
      <c r="L3329" s="3">
        <v>44663.538194433699</v>
      </c>
      <c r="M3329" s="15"/>
    </row>
    <row r="3330" spans="12:13">
      <c r="L3330" s="3">
        <v>44663.541666655918</v>
      </c>
      <c r="M3330" s="15"/>
    </row>
    <row r="3331" spans="12:13">
      <c r="L3331" s="3">
        <v>44663.545138878137</v>
      </c>
      <c r="M3331" s="15"/>
    </row>
    <row r="3332" spans="12:13">
      <c r="L3332" s="3">
        <v>44663.548611100356</v>
      </c>
      <c r="M3332" s="15"/>
    </row>
    <row r="3333" spans="12:13">
      <c r="L3333" s="3">
        <v>44663.552083322575</v>
      </c>
      <c r="M3333" s="15"/>
    </row>
    <row r="3334" spans="12:13">
      <c r="L3334" s="3">
        <v>44663.555555544794</v>
      </c>
      <c r="M3334" s="15"/>
    </row>
    <row r="3335" spans="12:13">
      <c r="L3335" s="3">
        <v>44663.559027767013</v>
      </c>
      <c r="M3335" s="15"/>
    </row>
    <row r="3336" spans="12:13">
      <c r="L3336" s="3">
        <v>44663.562499989232</v>
      </c>
      <c r="M3336" s="15"/>
    </row>
    <row r="3337" spans="12:13">
      <c r="L3337" s="3">
        <v>44663.565972211451</v>
      </c>
      <c r="M3337" s="15"/>
    </row>
    <row r="3338" spans="12:13">
      <c r="L3338" s="3">
        <v>44663.56944443367</v>
      </c>
      <c r="M3338" s="15"/>
    </row>
    <row r="3339" spans="12:13">
      <c r="L3339" s="3">
        <v>44663.572916655889</v>
      </c>
      <c r="M3339" s="15"/>
    </row>
    <row r="3340" spans="12:13">
      <c r="L3340" s="3">
        <v>44663.576388878108</v>
      </c>
      <c r="M3340" s="15"/>
    </row>
    <row r="3341" spans="12:13">
      <c r="L3341" s="3">
        <v>44663.579861100327</v>
      </c>
      <c r="M3341" s="15"/>
    </row>
    <row r="3342" spans="12:13">
      <c r="L3342" s="3">
        <v>44663.583333322546</v>
      </c>
      <c r="M3342" s="15"/>
    </row>
    <row r="3343" spans="12:13">
      <c r="L3343" s="3">
        <v>44663.586805544765</v>
      </c>
      <c r="M3343" s="15"/>
    </row>
    <row r="3344" spans="12:13">
      <c r="L3344" s="3">
        <v>44663.590277766983</v>
      </c>
      <c r="M3344" s="15"/>
    </row>
    <row r="3345" spans="12:13">
      <c r="L3345" s="3">
        <v>44663.593749989202</v>
      </c>
      <c r="M3345" s="15"/>
    </row>
    <row r="3346" spans="12:13">
      <c r="L3346" s="3">
        <v>44663.597222211421</v>
      </c>
      <c r="M3346" s="15"/>
    </row>
    <row r="3347" spans="12:13">
      <c r="L3347" s="3">
        <v>44663.60069443364</v>
      </c>
      <c r="M3347" s="15"/>
    </row>
    <row r="3348" spans="12:13">
      <c r="L3348" s="3">
        <v>44663.604166655859</v>
      </c>
      <c r="M3348" s="15"/>
    </row>
    <row r="3349" spans="12:13">
      <c r="L3349" s="3">
        <v>44663.607638878078</v>
      </c>
      <c r="M3349" s="15"/>
    </row>
    <row r="3350" spans="12:13">
      <c r="L3350" s="3">
        <v>44663.611111100297</v>
      </c>
      <c r="M3350" s="15"/>
    </row>
    <row r="3351" spans="12:13">
      <c r="L3351" s="3">
        <v>44663.614583322516</v>
      </c>
      <c r="M3351" s="15"/>
    </row>
    <row r="3352" spans="12:13">
      <c r="L3352" s="3">
        <v>44663.618055544735</v>
      </c>
      <c r="M3352" s="15"/>
    </row>
    <row r="3353" spans="12:13">
      <c r="L3353" s="3">
        <v>44663.621527766954</v>
      </c>
      <c r="M3353" s="15"/>
    </row>
    <row r="3354" spans="12:13">
      <c r="L3354" s="3">
        <v>44663.624999989173</v>
      </c>
      <c r="M3354" s="15"/>
    </row>
    <row r="3355" spans="12:13">
      <c r="L3355" s="3">
        <v>44663.628472211392</v>
      </c>
      <c r="M3355" s="15"/>
    </row>
    <row r="3356" spans="12:13">
      <c r="L3356" s="3">
        <v>44663.631944433611</v>
      </c>
      <c r="M3356" s="15"/>
    </row>
    <row r="3357" spans="12:13">
      <c r="L3357" s="3">
        <v>44663.63541665583</v>
      </c>
      <c r="M3357" s="15"/>
    </row>
    <row r="3358" spans="12:13">
      <c r="L3358" s="3">
        <v>44663.638888878049</v>
      </c>
      <c r="M3358" s="15"/>
    </row>
    <row r="3359" spans="12:13">
      <c r="L3359" s="3">
        <v>44663.642361100268</v>
      </c>
      <c r="M3359" s="15"/>
    </row>
    <row r="3360" spans="12:13">
      <c r="L3360" s="3">
        <v>44663.645833322487</v>
      </c>
      <c r="M3360" s="15"/>
    </row>
    <row r="3361" spans="12:13">
      <c r="L3361" s="3">
        <v>44663.649305544706</v>
      </c>
      <c r="M3361" s="15"/>
    </row>
    <row r="3362" spans="12:13">
      <c r="L3362" s="3">
        <v>44663.652777766925</v>
      </c>
      <c r="M3362" s="15"/>
    </row>
    <row r="3363" spans="12:13">
      <c r="L3363" s="3">
        <v>44663.656249989144</v>
      </c>
      <c r="M3363" s="15"/>
    </row>
    <row r="3364" spans="12:13">
      <c r="L3364" s="3">
        <v>44663.659722211363</v>
      </c>
      <c r="M3364" s="15"/>
    </row>
    <row r="3365" spans="12:13">
      <c r="L3365" s="3">
        <v>44663.663194433582</v>
      </c>
      <c r="M3365" s="15"/>
    </row>
    <row r="3366" spans="12:13">
      <c r="L3366" s="3">
        <v>44663.666666655801</v>
      </c>
      <c r="M3366" s="15"/>
    </row>
    <row r="3367" spans="12:13">
      <c r="L3367" s="3">
        <v>44663.67013887802</v>
      </c>
      <c r="M3367" s="15"/>
    </row>
    <row r="3368" spans="12:13">
      <c r="L3368" s="3">
        <v>44663.673611100239</v>
      </c>
      <c r="M3368" s="15"/>
    </row>
    <row r="3369" spans="12:13">
      <c r="L3369" s="3">
        <v>44663.677083322458</v>
      </c>
      <c r="M3369" s="15"/>
    </row>
    <row r="3370" spans="12:13">
      <c r="L3370" s="3">
        <v>44663.680555544677</v>
      </c>
      <c r="M3370" s="15"/>
    </row>
    <row r="3371" spans="12:13">
      <c r="L3371" s="3">
        <v>44663.684027766896</v>
      </c>
      <c r="M3371" s="15"/>
    </row>
    <row r="3372" spans="12:13">
      <c r="L3372" s="3">
        <v>44663.687499989115</v>
      </c>
      <c r="M3372" s="15"/>
    </row>
    <row r="3373" spans="12:13">
      <c r="L3373" s="3">
        <v>44663.690972211334</v>
      </c>
      <c r="M3373" s="15"/>
    </row>
    <row r="3374" spans="12:13">
      <c r="L3374" s="3">
        <v>44663.694444433553</v>
      </c>
      <c r="M3374" s="15"/>
    </row>
    <row r="3375" spans="12:13">
      <c r="L3375" s="3">
        <v>44663.697916655772</v>
      </c>
      <c r="M3375" s="15"/>
    </row>
    <row r="3376" spans="12:13">
      <c r="L3376" s="3">
        <v>44663.701388877991</v>
      </c>
      <c r="M3376" s="15"/>
    </row>
    <row r="3377" spans="12:13">
      <c r="L3377" s="3">
        <v>44663.70486110021</v>
      </c>
      <c r="M3377" s="15"/>
    </row>
    <row r="3378" spans="12:13">
      <c r="L3378" s="3">
        <v>44663.708333322429</v>
      </c>
      <c r="M3378" s="15"/>
    </row>
    <row r="3379" spans="12:13">
      <c r="L3379" s="3">
        <v>44663.711805544648</v>
      </c>
      <c r="M3379" s="15"/>
    </row>
    <row r="3380" spans="12:13">
      <c r="L3380" s="3">
        <v>44663.715277766867</v>
      </c>
      <c r="M3380" s="15"/>
    </row>
    <row r="3381" spans="12:13">
      <c r="L3381" s="3">
        <v>44663.718749989086</v>
      </c>
      <c r="M3381" s="15"/>
    </row>
    <row r="3382" spans="12:13">
      <c r="L3382" s="3">
        <v>44663.722222211305</v>
      </c>
      <c r="M3382" s="15"/>
    </row>
    <row r="3383" spans="12:13">
      <c r="L3383" s="3">
        <v>44663.725694433524</v>
      </c>
      <c r="M3383" s="15"/>
    </row>
    <row r="3384" spans="12:13">
      <c r="L3384" s="3">
        <v>44663.729166655743</v>
      </c>
      <c r="M3384" s="15"/>
    </row>
    <row r="3385" spans="12:13">
      <c r="L3385" s="3">
        <v>44663.732638877962</v>
      </c>
      <c r="M3385" s="15"/>
    </row>
    <row r="3386" spans="12:13">
      <c r="L3386" s="3">
        <v>44663.736111100181</v>
      </c>
      <c r="M3386" s="15"/>
    </row>
    <row r="3387" spans="12:13">
      <c r="L3387" s="3">
        <v>44663.7395833224</v>
      </c>
      <c r="M3387" s="15"/>
    </row>
    <row r="3388" spans="12:13">
      <c r="L3388" s="3">
        <v>44663.743055544619</v>
      </c>
      <c r="M3388" s="15"/>
    </row>
    <row r="3389" spans="12:13">
      <c r="L3389" s="3">
        <v>44663.746527766838</v>
      </c>
      <c r="M3389" s="15"/>
    </row>
    <row r="3390" spans="12:13">
      <c r="L3390" s="3">
        <v>44663.749999989057</v>
      </c>
      <c r="M3390" s="15"/>
    </row>
    <row r="3391" spans="12:13">
      <c r="L3391" s="3">
        <v>44663.753472211276</v>
      </c>
      <c r="M3391" s="15"/>
    </row>
    <row r="3392" spans="12:13">
      <c r="L3392" s="3">
        <v>44663.756944433495</v>
      </c>
      <c r="M3392" s="15"/>
    </row>
    <row r="3393" spans="12:13">
      <c r="L3393" s="3">
        <v>44663.760416655714</v>
      </c>
      <c r="M3393" s="15"/>
    </row>
    <row r="3394" spans="12:13">
      <c r="L3394" s="3">
        <v>44663.763888877933</v>
      </c>
      <c r="M3394" s="15"/>
    </row>
    <row r="3395" spans="12:13">
      <c r="L3395" s="3">
        <v>44663.767361100152</v>
      </c>
      <c r="M3395" s="15"/>
    </row>
    <row r="3396" spans="12:13">
      <c r="L3396" s="3">
        <v>44663.770833322371</v>
      </c>
      <c r="M3396" s="15"/>
    </row>
    <row r="3397" spans="12:13">
      <c r="L3397" s="3">
        <v>44663.77430554459</v>
      </c>
      <c r="M3397" s="15"/>
    </row>
    <row r="3398" spans="12:13">
      <c r="L3398" s="3">
        <v>44663.777777766809</v>
      </c>
      <c r="M3398" s="15"/>
    </row>
    <row r="3399" spans="12:13">
      <c r="L3399" s="3">
        <v>44663.781249989028</v>
      </c>
      <c r="M3399" s="15"/>
    </row>
    <row r="3400" spans="12:13">
      <c r="L3400" s="3">
        <v>44663.784722211247</v>
      </c>
      <c r="M3400" s="15"/>
    </row>
    <row r="3401" spans="12:13">
      <c r="L3401" s="3">
        <v>44663.788194433466</v>
      </c>
      <c r="M3401" s="15"/>
    </row>
    <row r="3402" spans="12:13">
      <c r="L3402" s="3">
        <v>44663.791666655685</v>
      </c>
      <c r="M3402" s="15"/>
    </row>
    <row r="3403" spans="12:13">
      <c r="L3403" s="3">
        <v>44663.795138877904</v>
      </c>
      <c r="M3403" s="15"/>
    </row>
    <row r="3404" spans="12:13">
      <c r="L3404" s="3">
        <v>44663.798611100123</v>
      </c>
      <c r="M3404" s="15"/>
    </row>
    <row r="3405" spans="12:13">
      <c r="L3405" s="3">
        <v>44663.802083322342</v>
      </c>
      <c r="M3405" s="15"/>
    </row>
    <row r="3406" spans="12:13">
      <c r="L3406" s="3">
        <v>44663.805555544561</v>
      </c>
      <c r="M3406" s="15"/>
    </row>
    <row r="3407" spans="12:13">
      <c r="L3407" s="3">
        <v>44663.80902776678</v>
      </c>
      <c r="M3407" s="15"/>
    </row>
    <row r="3408" spans="12:13">
      <c r="L3408" s="3">
        <v>44663.812499988999</v>
      </c>
      <c r="M3408" s="15"/>
    </row>
    <row r="3409" spans="12:13">
      <c r="L3409" s="3">
        <v>44663.815972211218</v>
      </c>
      <c r="M3409" s="15"/>
    </row>
    <row r="3410" spans="12:13">
      <c r="L3410" s="3">
        <v>44663.819444433437</v>
      </c>
      <c r="M3410" s="15"/>
    </row>
    <row r="3411" spans="12:13">
      <c r="L3411" s="3">
        <v>44663.822916655656</v>
      </c>
      <c r="M3411" s="15"/>
    </row>
    <row r="3412" spans="12:13">
      <c r="L3412" s="3">
        <v>44663.826388877875</v>
      </c>
      <c r="M3412" s="15"/>
    </row>
    <row r="3413" spans="12:13">
      <c r="L3413" s="3">
        <v>44663.829861100094</v>
      </c>
      <c r="M3413" s="15"/>
    </row>
    <row r="3414" spans="12:13">
      <c r="L3414" s="3">
        <v>44663.833333322313</v>
      </c>
      <c r="M3414" s="15"/>
    </row>
    <row r="3415" spans="12:13">
      <c r="L3415" s="3">
        <v>44663.836805544532</v>
      </c>
      <c r="M3415" s="15"/>
    </row>
    <row r="3416" spans="12:13">
      <c r="L3416" s="3">
        <v>44663.840277766751</v>
      </c>
      <c r="M3416" s="15"/>
    </row>
    <row r="3417" spans="12:13">
      <c r="L3417" s="3">
        <v>44663.84374998897</v>
      </c>
      <c r="M3417" s="15"/>
    </row>
    <row r="3418" spans="12:13">
      <c r="L3418" s="3">
        <v>44663.847222211189</v>
      </c>
      <c r="M3418" s="15"/>
    </row>
    <row r="3419" spans="12:13">
      <c r="L3419" s="3">
        <v>44663.850694433408</v>
      </c>
      <c r="M3419" s="15"/>
    </row>
    <row r="3420" spans="12:13">
      <c r="L3420" s="3">
        <v>44663.854166655627</v>
      </c>
      <c r="M3420" s="15"/>
    </row>
    <row r="3421" spans="12:13">
      <c r="L3421" s="3">
        <v>44663.857638877846</v>
      </c>
      <c r="M3421" s="15"/>
    </row>
    <row r="3422" spans="12:13">
      <c r="L3422" s="3">
        <v>44663.861111100065</v>
      </c>
      <c r="M3422" s="15"/>
    </row>
    <row r="3423" spans="12:13">
      <c r="L3423" s="3">
        <v>44663.864583322284</v>
      </c>
      <c r="M3423" s="15"/>
    </row>
    <row r="3424" spans="12:13">
      <c r="L3424" s="3">
        <v>44663.868055544503</v>
      </c>
      <c r="M3424" s="15"/>
    </row>
    <row r="3425" spans="12:13">
      <c r="L3425" s="3">
        <v>44663.871527766722</v>
      </c>
      <c r="M3425" s="15"/>
    </row>
    <row r="3426" spans="12:13">
      <c r="L3426" s="3">
        <v>44663.874999988941</v>
      </c>
      <c r="M3426" s="15"/>
    </row>
    <row r="3427" spans="12:13">
      <c r="L3427" s="3">
        <v>44663.87847221116</v>
      </c>
      <c r="M3427" s="15"/>
    </row>
    <row r="3428" spans="12:13">
      <c r="L3428" s="3">
        <v>44663.881944433379</v>
      </c>
      <c r="M3428" s="15"/>
    </row>
    <row r="3429" spans="12:13">
      <c r="L3429" s="3">
        <v>44663.885416655598</v>
      </c>
      <c r="M3429" s="15"/>
    </row>
    <row r="3430" spans="12:13">
      <c r="L3430" s="3">
        <v>44663.888888877816</v>
      </c>
      <c r="M3430" s="15"/>
    </row>
    <row r="3431" spans="12:13">
      <c r="L3431" s="3">
        <v>44663.892361100035</v>
      </c>
      <c r="M3431" s="15"/>
    </row>
    <row r="3432" spans="12:13">
      <c r="L3432" s="3">
        <v>44663.895833322254</v>
      </c>
      <c r="M3432" s="15"/>
    </row>
    <row r="3433" spans="12:13">
      <c r="L3433" s="3">
        <v>44663.899305544473</v>
      </c>
      <c r="M3433" s="15"/>
    </row>
    <row r="3434" spans="12:13">
      <c r="L3434" s="3">
        <v>44663.902777766692</v>
      </c>
      <c r="M3434" s="15"/>
    </row>
    <row r="3435" spans="12:13">
      <c r="L3435" s="3">
        <v>44663.906249988911</v>
      </c>
      <c r="M3435" s="15"/>
    </row>
    <row r="3436" spans="12:13">
      <c r="L3436" s="3">
        <v>44663.90972221113</v>
      </c>
      <c r="M3436" s="15"/>
    </row>
    <row r="3437" spans="12:13">
      <c r="L3437" s="3">
        <v>44663.913194433349</v>
      </c>
      <c r="M3437" s="15"/>
    </row>
    <row r="3438" spans="12:13">
      <c r="L3438" s="3">
        <v>44663.916666655568</v>
      </c>
      <c r="M3438" s="15"/>
    </row>
    <row r="3439" spans="12:13">
      <c r="L3439" s="3">
        <v>44663.920138877787</v>
      </c>
      <c r="M3439" s="15"/>
    </row>
    <row r="3440" spans="12:13">
      <c r="L3440" s="3">
        <v>44663.923611100006</v>
      </c>
      <c r="M3440" s="15"/>
    </row>
    <row r="3441" spans="12:13">
      <c r="L3441" s="3">
        <v>44663.927083322225</v>
      </c>
      <c r="M3441" s="15"/>
    </row>
    <row r="3442" spans="12:13">
      <c r="L3442" s="3">
        <v>44663.930555544444</v>
      </c>
      <c r="M3442" s="15"/>
    </row>
    <row r="3443" spans="12:13">
      <c r="L3443" s="3">
        <v>44663.934027766663</v>
      </c>
      <c r="M3443" s="15"/>
    </row>
    <row r="3444" spans="12:13">
      <c r="L3444" s="3">
        <v>44663.937499988882</v>
      </c>
      <c r="M3444" s="15"/>
    </row>
    <row r="3445" spans="12:13">
      <c r="L3445" s="3">
        <v>44663.940972211101</v>
      </c>
      <c r="M3445" s="15"/>
    </row>
    <row r="3446" spans="12:13">
      <c r="L3446" s="3">
        <v>44663.94444443332</v>
      </c>
      <c r="M3446" s="15"/>
    </row>
    <row r="3447" spans="12:13">
      <c r="L3447" s="3">
        <v>44663.947916655539</v>
      </c>
      <c r="M3447" s="15"/>
    </row>
    <row r="3448" spans="12:13">
      <c r="L3448" s="3">
        <v>44663.951388877758</v>
      </c>
      <c r="M3448" s="15"/>
    </row>
    <row r="3449" spans="12:13">
      <c r="L3449" s="3">
        <v>44663.954861099977</v>
      </c>
      <c r="M3449" s="15"/>
    </row>
    <row r="3450" spans="12:13">
      <c r="L3450" s="3">
        <v>44663.958333322196</v>
      </c>
      <c r="M3450" s="15"/>
    </row>
    <row r="3451" spans="12:13">
      <c r="L3451" s="3">
        <v>44663.961805544415</v>
      </c>
      <c r="M3451" s="15"/>
    </row>
    <row r="3452" spans="12:13">
      <c r="L3452" s="3">
        <v>44663.965277766634</v>
      </c>
      <c r="M3452" s="15"/>
    </row>
    <row r="3453" spans="12:13">
      <c r="L3453" s="3">
        <v>44663.968749988853</v>
      </c>
      <c r="M3453" s="15"/>
    </row>
    <row r="3454" spans="12:13">
      <c r="L3454" s="3">
        <v>44663.972222211072</v>
      </c>
      <c r="M3454" s="15"/>
    </row>
    <row r="3455" spans="12:13">
      <c r="L3455" s="3">
        <v>44663.975694433291</v>
      </c>
      <c r="M3455" s="15"/>
    </row>
    <row r="3456" spans="12:13">
      <c r="L3456" s="3">
        <v>44663.97916665551</v>
      </c>
      <c r="M3456" s="15"/>
    </row>
    <row r="3457" spans="12:13">
      <c r="L3457" s="3">
        <v>44663.982638877729</v>
      </c>
      <c r="M3457" s="15"/>
    </row>
    <row r="3458" spans="12:13">
      <c r="L3458" s="3">
        <v>44663.986111099948</v>
      </c>
      <c r="M3458" s="15"/>
    </row>
    <row r="3459" spans="12:13">
      <c r="L3459" s="3">
        <v>44663.989583322167</v>
      </c>
      <c r="M3459" s="15"/>
    </row>
    <row r="3460" spans="12:13">
      <c r="L3460" s="3">
        <v>44663.993055544386</v>
      </c>
      <c r="M3460" s="15"/>
    </row>
    <row r="3461" spans="12:13">
      <c r="L3461" s="3">
        <v>44663.996527766605</v>
      </c>
      <c r="M3461" s="15"/>
    </row>
    <row r="3462" spans="12:13">
      <c r="L3462" s="3">
        <v>44663.999999988824</v>
      </c>
      <c r="M3462" s="15"/>
    </row>
    <row r="3463" spans="12:13">
      <c r="L3463" s="3">
        <v>44664.003472211043</v>
      </c>
      <c r="M3463" s="15"/>
    </row>
    <row r="3464" spans="12:13">
      <c r="L3464" s="3">
        <v>44664.006944433262</v>
      </c>
      <c r="M3464" s="15"/>
    </row>
    <row r="3465" spans="12:13">
      <c r="L3465" s="3">
        <v>44664.010416655481</v>
      </c>
      <c r="M3465" s="15"/>
    </row>
    <row r="3466" spans="12:13">
      <c r="L3466" s="3">
        <v>44664.0138888777</v>
      </c>
      <c r="M3466" s="15"/>
    </row>
    <row r="3467" spans="12:13">
      <c r="L3467" s="3">
        <v>44664.017361099919</v>
      </c>
      <c r="M3467" s="15"/>
    </row>
    <row r="3468" spans="12:13">
      <c r="L3468" s="3">
        <v>44664.020833322138</v>
      </c>
      <c r="M3468" s="15"/>
    </row>
    <row r="3469" spans="12:13">
      <c r="L3469" s="3">
        <v>44664.024305544357</v>
      </c>
      <c r="M3469" s="15"/>
    </row>
    <row r="3470" spans="12:13">
      <c r="L3470" s="3">
        <v>44664.027777766576</v>
      </c>
      <c r="M3470" s="15"/>
    </row>
    <row r="3471" spans="12:13">
      <c r="L3471" s="3">
        <v>44664.031249988795</v>
      </c>
      <c r="M3471" s="15"/>
    </row>
    <row r="3472" spans="12:13">
      <c r="L3472" s="3">
        <v>44664.034722211014</v>
      </c>
      <c r="M3472" s="15"/>
    </row>
    <row r="3473" spans="12:13">
      <c r="L3473" s="3">
        <v>44664.038194433233</v>
      </c>
      <c r="M3473" s="15"/>
    </row>
    <row r="3474" spans="12:13">
      <c r="L3474" s="3">
        <v>44664.041666655452</v>
      </c>
      <c r="M3474" s="15"/>
    </row>
    <row r="3475" spans="12:13">
      <c r="L3475" s="3">
        <v>44664.045138877671</v>
      </c>
      <c r="M3475" s="15"/>
    </row>
    <row r="3476" spans="12:13">
      <c r="L3476" s="3">
        <v>44664.04861109989</v>
      </c>
      <c r="M3476" s="15"/>
    </row>
    <row r="3477" spans="12:13">
      <c r="L3477" s="3">
        <v>44664.052083322109</v>
      </c>
      <c r="M3477" s="15"/>
    </row>
    <row r="3478" spans="12:13">
      <c r="L3478" s="3">
        <v>44664.055555544328</v>
      </c>
      <c r="M3478" s="15"/>
    </row>
    <row r="3479" spans="12:13">
      <c r="L3479" s="3">
        <v>44664.059027766547</v>
      </c>
      <c r="M3479" s="15"/>
    </row>
    <row r="3480" spans="12:13">
      <c r="L3480" s="3">
        <v>44664.062499988766</v>
      </c>
      <c r="M3480" s="15"/>
    </row>
    <row r="3481" spans="12:13">
      <c r="L3481" s="3">
        <v>44664.065972210985</v>
      </c>
      <c r="M3481" s="15"/>
    </row>
    <row r="3482" spans="12:13">
      <c r="L3482" s="3">
        <v>44664.069444433204</v>
      </c>
      <c r="M3482" s="15"/>
    </row>
    <row r="3483" spans="12:13">
      <c r="L3483" s="3">
        <v>44664.072916655423</v>
      </c>
      <c r="M3483" s="15"/>
    </row>
    <row r="3484" spans="12:13">
      <c r="L3484" s="3">
        <v>44664.076388877642</v>
      </c>
      <c r="M3484" s="15"/>
    </row>
    <row r="3485" spans="12:13">
      <c r="L3485" s="3">
        <v>44664.079861099861</v>
      </c>
      <c r="M3485" s="15"/>
    </row>
    <row r="3486" spans="12:13">
      <c r="L3486" s="3">
        <v>44664.08333332208</v>
      </c>
      <c r="M3486" s="15"/>
    </row>
    <row r="3487" spans="12:13">
      <c r="L3487" s="3">
        <v>44664.086805544299</v>
      </c>
      <c r="M3487" s="15"/>
    </row>
    <row r="3488" spans="12:13">
      <c r="L3488" s="3">
        <v>44664.090277766518</v>
      </c>
      <c r="M3488" s="15"/>
    </row>
    <row r="3489" spans="12:13">
      <c r="L3489" s="3">
        <v>44664.093749988737</v>
      </c>
      <c r="M3489" s="15"/>
    </row>
    <row r="3490" spans="12:13">
      <c r="L3490" s="3">
        <v>44664.097222210956</v>
      </c>
      <c r="M3490" s="15"/>
    </row>
    <row r="3491" spans="12:13">
      <c r="L3491" s="3">
        <v>44664.100694433175</v>
      </c>
      <c r="M3491" s="15"/>
    </row>
    <row r="3492" spans="12:13">
      <c r="L3492" s="3">
        <v>44664.104166655394</v>
      </c>
      <c r="M3492" s="15"/>
    </row>
    <row r="3493" spans="12:13">
      <c r="L3493" s="3">
        <v>44664.107638877613</v>
      </c>
      <c r="M3493" s="15"/>
    </row>
    <row r="3494" spans="12:13">
      <c r="L3494" s="3">
        <v>44664.111111099832</v>
      </c>
      <c r="M3494" s="15"/>
    </row>
    <row r="3495" spans="12:13">
      <c r="L3495" s="3">
        <v>44664.114583322051</v>
      </c>
      <c r="M3495" s="15"/>
    </row>
    <row r="3496" spans="12:13">
      <c r="L3496" s="3">
        <v>44664.11805554427</v>
      </c>
      <c r="M3496" s="15"/>
    </row>
    <row r="3497" spans="12:13">
      <c r="L3497" s="3">
        <v>44664.121527766489</v>
      </c>
      <c r="M3497" s="15"/>
    </row>
    <row r="3498" spans="12:13">
      <c r="L3498" s="3">
        <v>44664.124999988708</v>
      </c>
      <c r="M3498" s="15"/>
    </row>
    <row r="3499" spans="12:13">
      <c r="L3499" s="3">
        <v>44664.128472210927</v>
      </c>
      <c r="M3499" s="15"/>
    </row>
    <row r="3500" spans="12:13">
      <c r="L3500" s="3">
        <v>44664.131944433146</v>
      </c>
      <c r="M3500" s="15"/>
    </row>
    <row r="3501" spans="12:13">
      <c r="L3501" s="3">
        <v>44664.135416655365</v>
      </c>
      <c r="M3501" s="15"/>
    </row>
    <row r="3502" spans="12:13">
      <c r="L3502" s="3">
        <v>44664.138888877584</v>
      </c>
      <c r="M3502" s="15"/>
    </row>
    <row r="3503" spans="12:13">
      <c r="L3503" s="3">
        <v>44664.142361099803</v>
      </c>
      <c r="M3503" s="15"/>
    </row>
    <row r="3504" spans="12:13">
      <c r="L3504" s="3">
        <v>44664.145833322022</v>
      </c>
      <c r="M3504" s="15"/>
    </row>
    <row r="3505" spans="12:13">
      <c r="L3505" s="3">
        <v>44664.149305544241</v>
      </c>
      <c r="M3505" s="15"/>
    </row>
    <row r="3506" spans="12:13">
      <c r="L3506" s="3">
        <v>44664.15277776646</v>
      </c>
      <c r="M3506" s="15"/>
    </row>
    <row r="3507" spans="12:13">
      <c r="L3507" s="3">
        <v>44664.156249988679</v>
      </c>
      <c r="M3507" s="15"/>
    </row>
    <row r="3508" spans="12:13">
      <c r="L3508" s="3">
        <v>44664.159722210898</v>
      </c>
      <c r="M3508" s="15"/>
    </row>
    <row r="3509" spans="12:13">
      <c r="L3509" s="3">
        <v>44664.163194433117</v>
      </c>
      <c r="M3509" s="15"/>
    </row>
    <row r="3510" spans="12:13">
      <c r="L3510" s="3">
        <v>44664.166666655336</v>
      </c>
      <c r="M3510" s="15"/>
    </row>
    <row r="3511" spans="12:13">
      <c r="L3511" s="3">
        <v>44664.170138877555</v>
      </c>
      <c r="M3511" s="15"/>
    </row>
    <row r="3512" spans="12:13">
      <c r="L3512" s="3">
        <v>44664.173611099774</v>
      </c>
      <c r="M3512" s="15"/>
    </row>
    <row r="3513" spans="12:13">
      <c r="L3513" s="3">
        <v>44664.177083321993</v>
      </c>
      <c r="M3513" s="15"/>
    </row>
    <row r="3514" spans="12:13">
      <c r="L3514" s="3">
        <v>44664.180555544212</v>
      </c>
      <c r="M3514" s="15"/>
    </row>
    <row r="3515" spans="12:13">
      <c r="L3515" s="3">
        <v>44664.184027766431</v>
      </c>
      <c r="M3515" s="15"/>
    </row>
    <row r="3516" spans="12:13">
      <c r="L3516" s="3">
        <v>44664.18749998865</v>
      </c>
      <c r="M3516" s="15"/>
    </row>
    <row r="3517" spans="12:13">
      <c r="L3517" s="3">
        <v>44664.190972210868</v>
      </c>
      <c r="M3517" s="15"/>
    </row>
    <row r="3518" spans="12:13">
      <c r="L3518" s="3">
        <v>44664.194444433087</v>
      </c>
      <c r="M3518" s="15"/>
    </row>
    <row r="3519" spans="12:13">
      <c r="L3519" s="3">
        <v>44664.197916655306</v>
      </c>
      <c r="M3519" s="15"/>
    </row>
    <row r="3520" spans="12:13">
      <c r="L3520" s="3">
        <v>44664.201388877525</v>
      </c>
      <c r="M3520" s="15"/>
    </row>
    <row r="3521" spans="12:13">
      <c r="L3521" s="3">
        <v>44664.204861099744</v>
      </c>
      <c r="M3521" s="15"/>
    </row>
    <row r="3522" spans="12:13">
      <c r="L3522" s="3">
        <v>44664.208333321963</v>
      </c>
      <c r="M3522" s="15"/>
    </row>
    <row r="3523" spans="12:13">
      <c r="L3523" s="3">
        <v>44664.211805544182</v>
      </c>
      <c r="M3523" s="15"/>
    </row>
    <row r="3524" spans="12:13">
      <c r="L3524" s="3">
        <v>44664.215277766401</v>
      </c>
      <c r="M3524" s="15"/>
    </row>
    <row r="3525" spans="12:13">
      <c r="L3525" s="3">
        <v>44664.21874998862</v>
      </c>
      <c r="M3525" s="15"/>
    </row>
    <row r="3526" spans="12:13">
      <c r="L3526" s="3">
        <v>44664.222222210839</v>
      </c>
      <c r="M3526" s="15"/>
    </row>
    <row r="3527" spans="12:13">
      <c r="L3527" s="3">
        <v>44664.225694433058</v>
      </c>
      <c r="M3527" s="15"/>
    </row>
    <row r="3528" spans="12:13">
      <c r="L3528" s="3">
        <v>44664.229166655277</v>
      </c>
      <c r="M3528" s="15"/>
    </row>
    <row r="3529" spans="12:13">
      <c r="L3529" s="3">
        <v>44664.232638877496</v>
      </c>
      <c r="M3529" s="15"/>
    </row>
    <row r="3530" spans="12:13">
      <c r="L3530" s="3">
        <v>44664.236111099715</v>
      </c>
      <c r="M3530" s="15"/>
    </row>
    <row r="3531" spans="12:13">
      <c r="L3531" s="3">
        <v>44664.239583321934</v>
      </c>
      <c r="M3531" s="15"/>
    </row>
    <row r="3532" spans="12:13">
      <c r="L3532" s="3">
        <v>44664.243055544153</v>
      </c>
      <c r="M3532" s="15"/>
    </row>
    <row r="3533" spans="12:13">
      <c r="L3533" s="3">
        <v>44664.246527766372</v>
      </c>
      <c r="M3533" s="15"/>
    </row>
    <row r="3534" spans="12:13">
      <c r="L3534" s="3">
        <v>44664.249999988591</v>
      </c>
      <c r="M3534" s="15"/>
    </row>
    <row r="3535" spans="12:13">
      <c r="L3535" s="3">
        <v>44664.25347221081</v>
      </c>
      <c r="M3535" s="15"/>
    </row>
    <row r="3536" spans="12:13">
      <c r="L3536" s="3">
        <v>44664.256944433029</v>
      </c>
      <c r="M3536" s="15"/>
    </row>
    <row r="3537" spans="12:13">
      <c r="L3537" s="3">
        <v>44664.260416655248</v>
      </c>
      <c r="M3537" s="15"/>
    </row>
    <row r="3538" spans="12:13">
      <c r="L3538" s="3">
        <v>44664.263888877467</v>
      </c>
      <c r="M3538" s="15"/>
    </row>
    <row r="3539" spans="12:13">
      <c r="L3539" s="3">
        <v>44664.267361099686</v>
      </c>
      <c r="M3539" s="15"/>
    </row>
    <row r="3540" spans="12:13">
      <c r="L3540" s="3">
        <v>44664.270833321905</v>
      </c>
      <c r="M3540" s="15"/>
    </row>
    <row r="3541" spans="12:13">
      <c r="L3541" s="3">
        <v>44664.274305544124</v>
      </c>
      <c r="M3541" s="15"/>
    </row>
    <row r="3542" spans="12:13">
      <c r="L3542" s="3">
        <v>44664.277777766343</v>
      </c>
      <c r="M3542" s="15"/>
    </row>
    <row r="3543" spans="12:13">
      <c r="L3543" s="3">
        <v>44664.281249988562</v>
      </c>
      <c r="M3543" s="15"/>
    </row>
    <row r="3544" spans="12:13">
      <c r="L3544" s="3">
        <v>44664.284722210781</v>
      </c>
      <c r="M3544" s="15"/>
    </row>
    <row r="3545" spans="12:13">
      <c r="L3545" s="3">
        <v>44664.288194433</v>
      </c>
      <c r="M3545" s="15"/>
    </row>
    <row r="3546" spans="12:13">
      <c r="L3546" s="3">
        <v>44664.291666655219</v>
      </c>
      <c r="M3546" s="15"/>
    </row>
    <row r="3547" spans="12:13">
      <c r="L3547" s="3">
        <v>44664.295138877438</v>
      </c>
      <c r="M3547" s="15"/>
    </row>
    <row r="3548" spans="12:13">
      <c r="L3548" s="3">
        <v>44664.298611099657</v>
      </c>
      <c r="M3548" s="15"/>
    </row>
    <row r="3549" spans="12:13">
      <c r="L3549" s="3">
        <v>44664.302083321876</v>
      </c>
      <c r="M3549" s="15"/>
    </row>
    <row r="3550" spans="12:13">
      <c r="L3550" s="3">
        <v>44664.305555544095</v>
      </c>
      <c r="M3550" s="15"/>
    </row>
    <row r="3551" spans="12:13">
      <c r="L3551" s="3">
        <v>44664.309027766314</v>
      </c>
      <c r="M3551" s="15"/>
    </row>
    <row r="3552" spans="12:13">
      <c r="L3552" s="3">
        <v>44664.312499988533</v>
      </c>
      <c r="M3552" s="15"/>
    </row>
    <row r="3553" spans="12:13">
      <c r="L3553" s="3">
        <v>44664.315972210752</v>
      </c>
      <c r="M3553" s="15"/>
    </row>
    <row r="3554" spans="12:13">
      <c r="L3554" s="3">
        <v>44664.319444432971</v>
      </c>
      <c r="M3554" s="15"/>
    </row>
    <row r="3555" spans="12:13">
      <c r="L3555" s="3">
        <v>44664.32291665519</v>
      </c>
      <c r="M3555" s="15"/>
    </row>
    <row r="3556" spans="12:13">
      <c r="L3556" s="3">
        <v>44664.326388877409</v>
      </c>
      <c r="M3556" s="15"/>
    </row>
    <row r="3557" spans="12:13">
      <c r="L3557" s="3">
        <v>44664.329861099628</v>
      </c>
      <c r="M3557" s="15"/>
    </row>
    <row r="3558" spans="12:13">
      <c r="L3558" s="3">
        <v>44664.333333321847</v>
      </c>
      <c r="M3558" s="15"/>
    </row>
    <row r="3559" spans="12:13">
      <c r="L3559" s="3">
        <v>44664.336805544066</v>
      </c>
      <c r="M3559" s="15"/>
    </row>
    <row r="3560" spans="12:13">
      <c r="L3560" s="3">
        <v>44664.340277766285</v>
      </c>
      <c r="M3560" s="15"/>
    </row>
    <row r="3561" spans="12:13">
      <c r="L3561" s="3">
        <v>44664.343749988504</v>
      </c>
      <c r="M3561" s="15"/>
    </row>
    <row r="3562" spans="12:13">
      <c r="L3562" s="3">
        <v>44664.347222210723</v>
      </c>
      <c r="M3562" s="15"/>
    </row>
    <row r="3563" spans="12:13">
      <c r="L3563" s="3">
        <v>44664.350694432942</v>
      </c>
      <c r="M3563" s="15"/>
    </row>
    <row r="3564" spans="12:13">
      <c r="L3564" s="3">
        <v>44664.354166655161</v>
      </c>
      <c r="M3564" s="15"/>
    </row>
    <row r="3565" spans="12:13">
      <c r="L3565" s="3">
        <v>44664.35763887738</v>
      </c>
      <c r="M3565" s="15"/>
    </row>
    <row r="3566" spans="12:13">
      <c r="L3566" s="3">
        <v>44664.361111099599</v>
      </c>
      <c r="M3566" s="15"/>
    </row>
    <row r="3567" spans="12:13">
      <c r="L3567" s="3">
        <v>44664.364583321818</v>
      </c>
      <c r="M3567" s="15"/>
    </row>
    <row r="3568" spans="12:13">
      <c r="L3568" s="3">
        <v>44664.368055544037</v>
      </c>
      <c r="M3568" s="15"/>
    </row>
    <row r="3569" spans="12:13">
      <c r="L3569" s="3">
        <v>44664.371527766256</v>
      </c>
      <c r="M3569" s="15"/>
    </row>
    <row r="3570" spans="12:13">
      <c r="L3570" s="3">
        <v>44664.374999988475</v>
      </c>
      <c r="M3570" s="15"/>
    </row>
    <row r="3571" spans="12:13">
      <c r="L3571" s="3">
        <v>44664.378472210694</v>
      </c>
      <c r="M3571" s="15"/>
    </row>
    <row r="3572" spans="12:13">
      <c r="L3572" s="3">
        <v>44664.381944432913</v>
      </c>
      <c r="M3572" s="15"/>
    </row>
    <row r="3573" spans="12:13">
      <c r="L3573" s="3">
        <v>44664.385416655132</v>
      </c>
      <c r="M3573" s="15"/>
    </row>
    <row r="3574" spans="12:13">
      <c r="L3574" s="3">
        <v>44664.388888877351</v>
      </c>
      <c r="M3574" s="15"/>
    </row>
    <row r="3575" spans="12:13">
      <c r="L3575" s="3">
        <v>44664.39236109957</v>
      </c>
      <c r="M3575" s="15"/>
    </row>
    <row r="3576" spans="12:13">
      <c r="L3576" s="3">
        <v>44664.395833321789</v>
      </c>
      <c r="M3576" s="15"/>
    </row>
    <row r="3577" spans="12:13">
      <c r="L3577" s="3">
        <v>44664.399305544008</v>
      </c>
      <c r="M3577" s="15"/>
    </row>
    <row r="3578" spans="12:13">
      <c r="L3578" s="3">
        <v>44664.402777766227</v>
      </c>
      <c r="M3578" s="15"/>
    </row>
    <row r="3579" spans="12:13">
      <c r="L3579" s="3">
        <v>44664.406249988446</v>
      </c>
      <c r="M3579" s="15"/>
    </row>
    <row r="3580" spans="12:13">
      <c r="L3580" s="3">
        <v>44664.409722210665</v>
      </c>
      <c r="M3580" s="15"/>
    </row>
    <row r="3581" spans="12:13">
      <c r="L3581" s="3">
        <v>44664.413194432884</v>
      </c>
      <c r="M3581" s="15"/>
    </row>
    <row r="3582" spans="12:13">
      <c r="L3582" s="3">
        <v>44664.416666655103</v>
      </c>
      <c r="M3582" s="15"/>
    </row>
    <row r="3583" spans="12:13">
      <c r="L3583" s="3">
        <v>44664.420138877322</v>
      </c>
      <c r="M3583" s="15"/>
    </row>
    <row r="3584" spans="12:13">
      <c r="L3584" s="3">
        <v>44664.423611099541</v>
      </c>
      <c r="M3584" s="15"/>
    </row>
    <row r="3585" spans="12:13">
      <c r="L3585" s="3">
        <v>44664.42708332176</v>
      </c>
      <c r="M3585" s="15"/>
    </row>
    <row r="3586" spans="12:13">
      <c r="L3586" s="3">
        <v>44664.430555543979</v>
      </c>
      <c r="M3586" s="15"/>
    </row>
    <row r="3587" spans="12:13">
      <c r="L3587" s="3">
        <v>44664.434027766198</v>
      </c>
      <c r="M3587" s="15"/>
    </row>
    <row r="3588" spans="12:13">
      <c r="L3588" s="3">
        <v>44664.437499988417</v>
      </c>
      <c r="M3588" s="15"/>
    </row>
    <row r="3589" spans="12:13">
      <c r="L3589" s="3">
        <v>44664.440972210636</v>
      </c>
      <c r="M3589" s="15"/>
    </row>
    <row r="3590" spans="12:13">
      <c r="L3590" s="3">
        <v>44664.444444432855</v>
      </c>
      <c r="M3590" s="15"/>
    </row>
    <row r="3591" spans="12:13">
      <c r="L3591" s="3">
        <v>44664.447916655074</v>
      </c>
      <c r="M3591" s="15"/>
    </row>
    <row r="3592" spans="12:13">
      <c r="L3592" s="3">
        <v>44664.451388877293</v>
      </c>
      <c r="M3592" s="15"/>
    </row>
    <row r="3593" spans="12:13">
      <c r="L3593" s="3">
        <v>44664.454861099512</v>
      </c>
      <c r="M3593" s="15"/>
    </row>
    <row r="3594" spans="12:13">
      <c r="L3594" s="3">
        <v>44664.458333321731</v>
      </c>
      <c r="M3594" s="15"/>
    </row>
    <row r="3595" spans="12:13">
      <c r="L3595" s="3">
        <v>44664.46180554395</v>
      </c>
      <c r="M3595" s="15"/>
    </row>
    <row r="3596" spans="12:13">
      <c r="L3596" s="3">
        <v>44664.465277766169</v>
      </c>
      <c r="M3596" s="15"/>
    </row>
    <row r="3597" spans="12:13">
      <c r="L3597" s="3">
        <v>44664.468749988388</v>
      </c>
      <c r="M3597" s="15"/>
    </row>
    <row r="3598" spans="12:13">
      <c r="L3598" s="3">
        <v>44664.472222210607</v>
      </c>
      <c r="M3598" s="15"/>
    </row>
    <row r="3599" spans="12:13">
      <c r="L3599" s="3">
        <v>44664.475694432826</v>
      </c>
      <c r="M3599" s="15"/>
    </row>
    <row r="3600" spans="12:13">
      <c r="L3600" s="3">
        <v>44664.479166655045</v>
      </c>
      <c r="M3600" s="15"/>
    </row>
    <row r="3601" spans="12:13">
      <c r="L3601" s="3">
        <v>44664.482638877264</v>
      </c>
      <c r="M3601" s="15"/>
    </row>
    <row r="3602" spans="12:13">
      <c r="L3602" s="3">
        <v>44664.486111099483</v>
      </c>
      <c r="M3602" s="15"/>
    </row>
    <row r="3603" spans="12:13">
      <c r="L3603" s="3">
        <v>44664.489583321702</v>
      </c>
      <c r="M3603" s="15"/>
    </row>
    <row r="3604" spans="12:13">
      <c r="L3604" s="3">
        <v>44664.49305554392</v>
      </c>
      <c r="M3604" s="15"/>
    </row>
    <row r="3605" spans="12:13">
      <c r="L3605" s="3">
        <v>44664.496527766139</v>
      </c>
      <c r="M3605" s="15"/>
    </row>
    <row r="3606" spans="12:13">
      <c r="L3606" s="3">
        <v>44664.499999988358</v>
      </c>
      <c r="M3606" s="15"/>
    </row>
    <row r="3607" spans="12:13">
      <c r="L3607" s="3">
        <v>44664.503472210577</v>
      </c>
      <c r="M3607" s="15"/>
    </row>
    <row r="3608" spans="12:13">
      <c r="L3608" s="3">
        <v>44664.506944432796</v>
      </c>
      <c r="M3608" s="15"/>
    </row>
    <row r="3609" spans="12:13">
      <c r="L3609" s="3">
        <v>44664.510416655015</v>
      </c>
      <c r="M3609" s="15"/>
    </row>
    <row r="3610" spans="12:13">
      <c r="L3610" s="3">
        <v>44664.513888877234</v>
      </c>
      <c r="M3610" s="15"/>
    </row>
    <row r="3611" spans="12:13">
      <c r="L3611" s="3">
        <v>44664.517361099453</v>
      </c>
      <c r="M3611" s="15"/>
    </row>
    <row r="3612" spans="12:13">
      <c r="L3612" s="3">
        <v>44664.520833321672</v>
      </c>
      <c r="M3612" s="15"/>
    </row>
    <row r="3613" spans="12:13">
      <c r="L3613" s="3">
        <v>44664.524305543891</v>
      </c>
      <c r="M3613" s="15"/>
    </row>
    <row r="3614" spans="12:13">
      <c r="L3614" s="3">
        <v>44664.52777776611</v>
      </c>
      <c r="M3614" s="15"/>
    </row>
    <row r="3615" spans="12:13">
      <c r="L3615" s="3">
        <v>44664.531249988329</v>
      </c>
      <c r="M3615" s="15"/>
    </row>
    <row r="3616" spans="12:13">
      <c r="L3616" s="3">
        <v>44664.534722210548</v>
      </c>
      <c r="M3616" s="15"/>
    </row>
    <row r="3617" spans="12:13">
      <c r="L3617" s="3">
        <v>44664.538194432767</v>
      </c>
      <c r="M3617" s="15"/>
    </row>
    <row r="3618" spans="12:13">
      <c r="L3618" s="3">
        <v>44664.541666654986</v>
      </c>
      <c r="M3618" s="15"/>
    </row>
    <row r="3619" spans="12:13">
      <c r="L3619" s="3">
        <v>44664.545138877205</v>
      </c>
      <c r="M3619" s="15"/>
    </row>
    <row r="3620" spans="12:13">
      <c r="L3620" s="3">
        <v>44664.548611099424</v>
      </c>
      <c r="M3620" s="15"/>
    </row>
    <row r="3621" spans="12:13">
      <c r="L3621" s="3">
        <v>44664.552083321643</v>
      </c>
      <c r="M3621" s="15"/>
    </row>
    <row r="3622" spans="12:13">
      <c r="L3622" s="3">
        <v>44664.555555543862</v>
      </c>
      <c r="M3622" s="15"/>
    </row>
    <row r="3623" spans="12:13">
      <c r="L3623" s="3">
        <v>44664.559027766081</v>
      </c>
      <c r="M3623" s="15"/>
    </row>
    <row r="3624" spans="12:13">
      <c r="L3624" s="3">
        <v>44664.5624999883</v>
      </c>
      <c r="M3624" s="15"/>
    </row>
    <row r="3625" spans="12:13">
      <c r="L3625" s="3">
        <v>44664.565972210519</v>
      </c>
      <c r="M3625" s="15"/>
    </row>
    <row r="3626" spans="12:13">
      <c r="L3626" s="3">
        <v>44664.569444432738</v>
      </c>
      <c r="M3626" s="15"/>
    </row>
    <row r="3627" spans="12:13">
      <c r="L3627" s="3">
        <v>44664.572916654957</v>
      </c>
      <c r="M3627" s="15"/>
    </row>
    <row r="3628" spans="12:13">
      <c r="L3628" s="3">
        <v>44664.576388877176</v>
      </c>
      <c r="M3628" s="15"/>
    </row>
    <row r="3629" spans="12:13">
      <c r="L3629" s="3">
        <v>44664.579861099395</v>
      </c>
      <c r="M3629" s="15"/>
    </row>
    <row r="3630" spans="12:13">
      <c r="L3630" s="3">
        <v>44664.583333321614</v>
      </c>
      <c r="M3630" s="15"/>
    </row>
    <row r="3631" spans="12:13">
      <c r="L3631" s="3">
        <v>44664.586805543833</v>
      </c>
      <c r="M3631" s="15"/>
    </row>
    <row r="3632" spans="12:13">
      <c r="L3632" s="3">
        <v>44664.590277766052</v>
      </c>
      <c r="M3632" s="15"/>
    </row>
    <row r="3633" spans="12:13">
      <c r="L3633" s="3">
        <v>44664.593749988271</v>
      </c>
      <c r="M3633" s="15"/>
    </row>
    <row r="3634" spans="12:13">
      <c r="L3634" s="3">
        <v>44664.59722221049</v>
      </c>
      <c r="M3634" s="15"/>
    </row>
    <row r="3635" spans="12:13">
      <c r="L3635" s="3">
        <v>44664.600694432709</v>
      </c>
      <c r="M3635" s="15"/>
    </row>
    <row r="3636" spans="12:13">
      <c r="L3636" s="3">
        <v>44664.604166654928</v>
      </c>
      <c r="M3636" s="15"/>
    </row>
    <row r="3637" spans="12:13">
      <c r="L3637" s="3">
        <v>44664.607638877147</v>
      </c>
      <c r="M3637" s="15"/>
    </row>
    <row r="3638" spans="12:13">
      <c r="L3638" s="3">
        <v>44664.611111099366</v>
      </c>
      <c r="M3638" s="15"/>
    </row>
    <row r="3639" spans="12:13">
      <c r="L3639" s="3">
        <v>44664.614583321585</v>
      </c>
      <c r="M3639" s="15"/>
    </row>
    <row r="3640" spans="12:13">
      <c r="L3640" s="3">
        <v>44664.618055543804</v>
      </c>
      <c r="M3640" s="15"/>
    </row>
    <row r="3641" spans="12:13">
      <c r="L3641" s="3">
        <v>44664.621527766023</v>
      </c>
      <c r="M3641" s="15"/>
    </row>
    <row r="3642" spans="12:13">
      <c r="L3642" s="3">
        <v>44664.624999988242</v>
      </c>
      <c r="M3642" s="15"/>
    </row>
    <row r="3643" spans="12:13">
      <c r="L3643" s="3">
        <v>44664.628472210461</v>
      </c>
      <c r="M3643" s="15"/>
    </row>
    <row r="3644" spans="12:13">
      <c r="L3644" s="3">
        <v>44664.63194443268</v>
      </c>
      <c r="M3644" s="15"/>
    </row>
    <row r="3645" spans="12:13">
      <c r="L3645" s="3">
        <v>44664.635416654899</v>
      </c>
      <c r="M3645" s="15"/>
    </row>
    <row r="3646" spans="12:13">
      <c r="L3646" s="3">
        <v>44664.638888877118</v>
      </c>
      <c r="M3646" s="15"/>
    </row>
    <row r="3647" spans="12:13">
      <c r="L3647" s="3">
        <v>44664.642361099337</v>
      </c>
      <c r="M3647" s="15"/>
    </row>
    <row r="3648" spans="12:13">
      <c r="L3648" s="3">
        <v>44664.645833321556</v>
      </c>
      <c r="M3648" s="15"/>
    </row>
    <row r="3649" spans="12:13">
      <c r="L3649" s="3">
        <v>44664.649305543775</v>
      </c>
      <c r="M3649" s="15"/>
    </row>
    <row r="3650" spans="12:13">
      <c r="L3650" s="3">
        <v>44664.652777765994</v>
      </c>
      <c r="M3650" s="15"/>
    </row>
    <row r="3651" spans="12:13">
      <c r="L3651" s="3">
        <v>44664.656249988213</v>
      </c>
      <c r="M3651" s="15"/>
    </row>
    <row r="3652" spans="12:13">
      <c r="L3652" s="3">
        <v>44664.659722210432</v>
      </c>
      <c r="M3652" s="15"/>
    </row>
    <row r="3653" spans="12:13">
      <c r="L3653" s="3">
        <v>44664.663194432651</v>
      </c>
      <c r="M3653" s="15"/>
    </row>
    <row r="3654" spans="12:13">
      <c r="L3654" s="3">
        <v>44664.66666665487</v>
      </c>
      <c r="M3654" s="15"/>
    </row>
    <row r="3655" spans="12:13">
      <c r="L3655" s="3">
        <v>44664.670138877089</v>
      </c>
      <c r="M3655" s="15"/>
    </row>
    <row r="3656" spans="12:13">
      <c r="L3656" s="3">
        <v>44664.673611099308</v>
      </c>
      <c r="M3656" s="15"/>
    </row>
    <row r="3657" spans="12:13">
      <c r="L3657" s="3">
        <v>44664.677083321527</v>
      </c>
      <c r="M3657" s="15"/>
    </row>
    <row r="3658" spans="12:13">
      <c r="L3658" s="3">
        <v>44664.680555543746</v>
      </c>
      <c r="M3658" s="15"/>
    </row>
    <row r="3659" spans="12:13">
      <c r="L3659" s="3">
        <v>44664.684027765965</v>
      </c>
      <c r="M3659" s="15"/>
    </row>
    <row r="3660" spans="12:13">
      <c r="L3660" s="3">
        <v>44664.687499988184</v>
      </c>
      <c r="M3660" s="15"/>
    </row>
    <row r="3661" spans="12:13">
      <c r="L3661" s="3">
        <v>44664.690972210403</v>
      </c>
      <c r="M3661" s="15"/>
    </row>
    <row r="3662" spans="12:13">
      <c r="L3662" s="3">
        <v>44664.694444432622</v>
      </c>
      <c r="M3662" s="15"/>
    </row>
    <row r="3663" spans="12:13">
      <c r="L3663" s="3">
        <v>44664.697916654841</v>
      </c>
      <c r="M3663" s="15"/>
    </row>
    <row r="3664" spans="12:13">
      <c r="L3664" s="3">
        <v>44664.70138887706</v>
      </c>
      <c r="M3664" s="15"/>
    </row>
    <row r="3665" spans="12:13">
      <c r="L3665" s="3">
        <v>44664.704861099279</v>
      </c>
      <c r="M3665" s="15"/>
    </row>
    <row r="3666" spans="12:13">
      <c r="L3666" s="3">
        <v>44664.708333321498</v>
      </c>
      <c r="M3666" s="15"/>
    </row>
    <row r="3667" spans="12:13">
      <c r="L3667" s="3">
        <v>44664.711805543717</v>
      </c>
      <c r="M3667" s="15"/>
    </row>
    <row r="3668" spans="12:13">
      <c r="L3668" s="3">
        <v>44664.715277765936</v>
      </c>
      <c r="M3668" s="15"/>
    </row>
    <row r="3669" spans="12:13">
      <c r="L3669" s="3">
        <v>44664.718749988155</v>
      </c>
      <c r="M3669" s="15"/>
    </row>
    <row r="3670" spans="12:13">
      <c r="L3670" s="3">
        <v>44664.722222210374</v>
      </c>
      <c r="M3670" s="15"/>
    </row>
    <row r="3671" spans="12:13">
      <c r="L3671" s="3">
        <v>44664.725694432593</v>
      </c>
      <c r="M3671" s="15"/>
    </row>
    <row r="3672" spans="12:13">
      <c r="L3672" s="3">
        <v>44664.729166654812</v>
      </c>
      <c r="M3672" s="15"/>
    </row>
    <row r="3673" spans="12:13">
      <c r="L3673" s="3">
        <v>44664.732638877031</v>
      </c>
      <c r="M3673" s="15"/>
    </row>
    <row r="3674" spans="12:13">
      <c r="L3674" s="3">
        <v>44664.73611109925</v>
      </c>
      <c r="M3674" s="15"/>
    </row>
    <row r="3675" spans="12:13">
      <c r="L3675" s="3">
        <v>44664.739583321469</v>
      </c>
      <c r="M3675" s="15"/>
    </row>
    <row r="3676" spans="12:13">
      <c r="L3676" s="3">
        <v>44664.743055543688</v>
      </c>
      <c r="M3676" s="15"/>
    </row>
    <row r="3677" spans="12:13">
      <c r="L3677" s="3">
        <v>44664.746527765907</v>
      </c>
      <c r="M3677" s="15"/>
    </row>
    <row r="3678" spans="12:13">
      <c r="L3678" s="3">
        <v>44664.749999988126</v>
      </c>
      <c r="M3678" s="15"/>
    </row>
    <row r="3679" spans="12:13">
      <c r="L3679" s="3">
        <v>44664.753472210345</v>
      </c>
      <c r="M3679" s="15"/>
    </row>
    <row r="3680" spans="12:13">
      <c r="L3680" s="3">
        <v>44664.756944432564</v>
      </c>
      <c r="M3680" s="15"/>
    </row>
    <row r="3681" spans="12:13">
      <c r="L3681" s="3">
        <v>44664.760416654783</v>
      </c>
      <c r="M3681" s="15"/>
    </row>
    <row r="3682" spans="12:13">
      <c r="L3682" s="3">
        <v>44664.763888877002</v>
      </c>
      <c r="M3682" s="15"/>
    </row>
    <row r="3683" spans="12:13">
      <c r="L3683" s="3">
        <v>44664.767361099221</v>
      </c>
      <c r="M3683" s="15"/>
    </row>
    <row r="3684" spans="12:13">
      <c r="L3684" s="3">
        <v>44664.77083332144</v>
      </c>
      <c r="M3684" s="15"/>
    </row>
    <row r="3685" spans="12:13">
      <c r="L3685" s="3">
        <v>44664.774305543659</v>
      </c>
      <c r="M3685" s="15"/>
    </row>
    <row r="3686" spans="12:13">
      <c r="L3686" s="3">
        <v>44664.777777765878</v>
      </c>
      <c r="M3686" s="15"/>
    </row>
    <row r="3687" spans="12:13">
      <c r="L3687" s="3">
        <v>44664.781249988097</v>
      </c>
      <c r="M3687" s="15"/>
    </row>
    <row r="3688" spans="12:13">
      <c r="L3688" s="3">
        <v>44664.784722210316</v>
      </c>
      <c r="M3688" s="15"/>
    </row>
    <row r="3689" spans="12:13">
      <c r="L3689" s="3">
        <v>44664.788194432535</v>
      </c>
      <c r="M3689" s="15"/>
    </row>
    <row r="3690" spans="12:13">
      <c r="L3690" s="3">
        <v>44664.791666654753</v>
      </c>
      <c r="M3690" s="15"/>
    </row>
    <row r="3691" spans="12:13">
      <c r="L3691" s="3">
        <v>44664.795138876972</v>
      </c>
      <c r="M3691" s="15"/>
    </row>
    <row r="3692" spans="12:13">
      <c r="L3692" s="3">
        <v>44664.798611099191</v>
      </c>
      <c r="M3692" s="15"/>
    </row>
    <row r="3693" spans="12:13">
      <c r="L3693" s="3">
        <v>44664.80208332141</v>
      </c>
      <c r="M3693" s="15"/>
    </row>
    <row r="3694" spans="12:13">
      <c r="L3694" s="3">
        <v>44664.805555543629</v>
      </c>
      <c r="M3694" s="15"/>
    </row>
    <row r="3695" spans="12:13">
      <c r="L3695" s="3">
        <v>44664.809027765848</v>
      </c>
      <c r="M3695" s="15"/>
    </row>
    <row r="3696" spans="12:13">
      <c r="L3696" s="3">
        <v>44664.812499988067</v>
      </c>
      <c r="M3696" s="15"/>
    </row>
    <row r="3697" spans="12:13">
      <c r="L3697" s="3">
        <v>44664.815972210286</v>
      </c>
      <c r="M3697" s="15"/>
    </row>
    <row r="3698" spans="12:13">
      <c r="L3698" s="3">
        <v>44664.819444432505</v>
      </c>
      <c r="M3698" s="15"/>
    </row>
    <row r="3699" spans="12:13">
      <c r="L3699" s="3">
        <v>44664.822916654724</v>
      </c>
      <c r="M3699" s="15"/>
    </row>
    <row r="3700" spans="12:13">
      <c r="L3700" s="3">
        <v>44664.826388876943</v>
      </c>
      <c r="M3700" s="15"/>
    </row>
    <row r="3701" spans="12:13">
      <c r="L3701" s="3">
        <v>44664.829861099162</v>
      </c>
      <c r="M3701" s="15"/>
    </row>
    <row r="3702" spans="12:13">
      <c r="L3702" s="3">
        <v>44664.833333321381</v>
      </c>
      <c r="M3702" s="15"/>
    </row>
    <row r="3703" spans="12:13">
      <c r="L3703" s="3">
        <v>44664.8368055436</v>
      </c>
      <c r="M3703" s="15"/>
    </row>
    <row r="3704" spans="12:13">
      <c r="L3704" s="3">
        <v>44664.840277765819</v>
      </c>
      <c r="M3704" s="15"/>
    </row>
    <row r="3705" spans="12:13">
      <c r="L3705" s="3">
        <v>44664.843749988038</v>
      </c>
      <c r="M3705" s="15"/>
    </row>
    <row r="3706" spans="12:13">
      <c r="L3706" s="3">
        <v>44664.847222210257</v>
      </c>
      <c r="M3706" s="15"/>
    </row>
    <row r="3707" spans="12:13">
      <c r="L3707" s="3">
        <v>44664.850694432476</v>
      </c>
      <c r="M3707" s="15"/>
    </row>
    <row r="3708" spans="12:13">
      <c r="L3708" s="3">
        <v>44664.854166654695</v>
      </c>
      <c r="M3708" s="15"/>
    </row>
    <row r="3709" spans="12:13">
      <c r="L3709" s="3">
        <v>44664.857638876914</v>
      </c>
      <c r="M3709" s="15"/>
    </row>
    <row r="3710" spans="12:13">
      <c r="L3710" s="3">
        <v>44664.861111099133</v>
      </c>
      <c r="M3710" s="15"/>
    </row>
    <row r="3711" spans="12:13">
      <c r="L3711" s="3">
        <v>44664.864583321352</v>
      </c>
      <c r="M3711" s="15"/>
    </row>
    <row r="3712" spans="12:13">
      <c r="L3712" s="3">
        <v>44664.868055543571</v>
      </c>
      <c r="M3712" s="15"/>
    </row>
    <row r="3713" spans="12:13">
      <c r="L3713" s="3">
        <v>44664.87152776579</v>
      </c>
      <c r="M3713" s="15"/>
    </row>
    <row r="3714" spans="12:13">
      <c r="L3714" s="3">
        <v>44664.874999988009</v>
      </c>
      <c r="M3714" s="15"/>
    </row>
    <row r="3715" spans="12:13">
      <c r="L3715" s="3">
        <v>44664.878472210228</v>
      </c>
      <c r="M3715" s="15"/>
    </row>
    <row r="3716" spans="12:13">
      <c r="L3716" s="3">
        <v>44664.881944432447</v>
      </c>
      <c r="M3716" s="15"/>
    </row>
    <row r="3717" spans="12:13">
      <c r="L3717" s="3">
        <v>44664.885416654666</v>
      </c>
      <c r="M3717" s="15"/>
    </row>
    <row r="3718" spans="12:13">
      <c r="L3718" s="3">
        <v>44664.888888876885</v>
      </c>
      <c r="M3718" s="15"/>
    </row>
    <row r="3719" spans="12:13">
      <c r="L3719" s="3">
        <v>44664.892361099104</v>
      </c>
      <c r="M3719" s="15"/>
    </row>
    <row r="3720" spans="12:13">
      <c r="L3720" s="3">
        <v>44664.895833321323</v>
      </c>
      <c r="M3720" s="15"/>
    </row>
    <row r="3721" spans="12:13">
      <c r="L3721" s="3">
        <v>44664.899305543542</v>
      </c>
      <c r="M3721" s="15"/>
    </row>
    <row r="3722" spans="12:13">
      <c r="L3722" s="3">
        <v>44664.902777765761</v>
      </c>
      <c r="M3722" s="15"/>
    </row>
    <row r="3723" spans="12:13">
      <c r="L3723" s="3">
        <v>44664.90624998798</v>
      </c>
      <c r="M3723" s="15"/>
    </row>
    <row r="3724" spans="12:13">
      <c r="L3724" s="3">
        <v>44664.909722210199</v>
      </c>
      <c r="M3724" s="15"/>
    </row>
    <row r="3725" spans="12:13">
      <c r="L3725" s="3">
        <v>44664.913194432418</v>
      </c>
      <c r="M3725" s="15"/>
    </row>
    <row r="3726" spans="12:13">
      <c r="L3726" s="3">
        <v>44664.916666654637</v>
      </c>
      <c r="M3726" s="15"/>
    </row>
    <row r="3727" spans="12:13">
      <c r="L3727" s="3">
        <v>44664.920138876856</v>
      </c>
      <c r="M3727" s="15"/>
    </row>
    <row r="3728" spans="12:13">
      <c r="L3728" s="3">
        <v>44664.923611099075</v>
      </c>
      <c r="M3728" s="15"/>
    </row>
    <row r="3729" spans="12:13">
      <c r="L3729" s="3">
        <v>44664.927083321294</v>
      </c>
      <c r="M3729" s="15"/>
    </row>
    <row r="3730" spans="12:13">
      <c r="L3730" s="3">
        <v>44664.930555543513</v>
      </c>
      <c r="M3730" s="15"/>
    </row>
    <row r="3731" spans="12:13">
      <c r="L3731" s="3">
        <v>44664.934027765732</v>
      </c>
      <c r="M3731" s="15"/>
    </row>
    <row r="3732" spans="12:13">
      <c r="L3732" s="3">
        <v>44664.937499987951</v>
      </c>
      <c r="M3732" s="15"/>
    </row>
    <row r="3733" spans="12:13">
      <c r="L3733" s="3">
        <v>44664.94097221017</v>
      </c>
      <c r="M3733" s="15"/>
    </row>
    <row r="3734" spans="12:13">
      <c r="L3734" s="3">
        <v>44664.944444432389</v>
      </c>
      <c r="M3734" s="15"/>
    </row>
    <row r="3735" spans="12:13">
      <c r="L3735" s="3">
        <v>44664.947916654608</v>
      </c>
      <c r="M3735" s="15"/>
    </row>
    <row r="3736" spans="12:13">
      <c r="L3736" s="3">
        <v>44664.951388876827</v>
      </c>
      <c r="M3736" s="15"/>
    </row>
    <row r="3737" spans="12:13">
      <c r="L3737" s="3">
        <v>44664.954861099046</v>
      </c>
      <c r="M3737" s="15"/>
    </row>
    <row r="3738" spans="12:13">
      <c r="L3738" s="3">
        <v>44664.958333321265</v>
      </c>
      <c r="M3738" s="15"/>
    </row>
    <row r="3739" spans="12:13">
      <c r="L3739" s="3">
        <v>44664.961805543484</v>
      </c>
      <c r="M3739" s="15"/>
    </row>
    <row r="3740" spans="12:13">
      <c r="L3740" s="3">
        <v>44664.965277765703</v>
      </c>
      <c r="M3740" s="15"/>
    </row>
    <row r="3741" spans="12:13">
      <c r="L3741" s="3">
        <v>44664.968749987922</v>
      </c>
      <c r="M3741" s="15"/>
    </row>
    <row r="3742" spans="12:13">
      <c r="L3742" s="3">
        <v>44664.972222210141</v>
      </c>
      <c r="M3742" s="15"/>
    </row>
    <row r="3743" spans="12:13">
      <c r="L3743" s="3">
        <v>44664.97569443236</v>
      </c>
      <c r="M3743" s="15"/>
    </row>
    <row r="3744" spans="12:13">
      <c r="L3744" s="3">
        <v>44664.979166654579</v>
      </c>
      <c r="M3744" s="15"/>
    </row>
    <row r="3745" spans="12:13">
      <c r="L3745" s="3">
        <v>44664.982638876798</v>
      </c>
      <c r="M3745" s="15"/>
    </row>
    <row r="3746" spans="12:13">
      <c r="L3746" s="3">
        <v>44664.986111099017</v>
      </c>
      <c r="M3746" s="15"/>
    </row>
    <row r="3747" spans="12:13">
      <c r="L3747" s="3">
        <v>44664.989583321236</v>
      </c>
      <c r="M3747" s="15"/>
    </row>
    <row r="3748" spans="12:13">
      <c r="L3748" s="3">
        <v>44664.993055543455</v>
      </c>
      <c r="M3748" s="15"/>
    </row>
    <row r="3749" spans="12:13">
      <c r="L3749" s="3">
        <v>44664.996527765674</v>
      </c>
      <c r="M3749" s="15"/>
    </row>
    <row r="3750" spans="12:13">
      <c r="L3750" s="3">
        <v>44664.999999987893</v>
      </c>
      <c r="M3750" s="15"/>
    </row>
    <row r="3751" spans="12:13">
      <c r="L3751" s="3">
        <v>44665.003472210112</v>
      </c>
      <c r="M3751" s="15"/>
    </row>
    <row r="3752" spans="12:13">
      <c r="L3752" s="3">
        <v>44665.006944432331</v>
      </c>
      <c r="M3752" s="15"/>
    </row>
    <row r="3753" spans="12:13">
      <c r="L3753" s="3">
        <v>44665.01041665455</v>
      </c>
      <c r="M3753" s="15"/>
    </row>
    <row r="3754" spans="12:13">
      <c r="L3754" s="3">
        <v>44665.013888876769</v>
      </c>
      <c r="M3754" s="15"/>
    </row>
    <row r="3755" spans="12:13">
      <c r="L3755" s="3">
        <v>44665.017361098988</v>
      </c>
      <c r="M3755" s="15"/>
    </row>
    <row r="3756" spans="12:13">
      <c r="L3756" s="3">
        <v>44665.020833321207</v>
      </c>
      <c r="M3756" s="15"/>
    </row>
    <row r="3757" spans="12:13">
      <c r="L3757" s="3">
        <v>44665.024305543426</v>
      </c>
      <c r="M3757" s="15"/>
    </row>
    <row r="3758" spans="12:13">
      <c r="L3758" s="3">
        <v>44665.027777765645</v>
      </c>
      <c r="M3758" s="15"/>
    </row>
    <row r="3759" spans="12:13">
      <c r="L3759" s="3">
        <v>44665.031249987864</v>
      </c>
      <c r="M3759" s="15"/>
    </row>
    <row r="3760" spans="12:13">
      <c r="L3760" s="3">
        <v>44665.034722210083</v>
      </c>
      <c r="M3760" s="15"/>
    </row>
    <row r="3761" spans="12:13">
      <c r="L3761" s="3">
        <v>44665.038194432302</v>
      </c>
      <c r="M3761" s="15"/>
    </row>
    <row r="3762" spans="12:13">
      <c r="L3762" s="3">
        <v>44665.041666654521</v>
      </c>
      <c r="M3762" s="15"/>
    </row>
    <row r="3763" spans="12:13">
      <c r="L3763" s="3">
        <v>44665.04513887674</v>
      </c>
      <c r="M3763" s="15"/>
    </row>
    <row r="3764" spans="12:13">
      <c r="L3764" s="3">
        <v>44665.048611098959</v>
      </c>
      <c r="M3764" s="15"/>
    </row>
    <row r="3765" spans="12:13">
      <c r="L3765" s="3">
        <v>44665.052083321178</v>
      </c>
      <c r="M3765" s="15"/>
    </row>
    <row r="3766" spans="12:13">
      <c r="L3766" s="3">
        <v>44665.055555543397</v>
      </c>
      <c r="M3766" s="15"/>
    </row>
    <row r="3767" spans="12:13">
      <c r="L3767" s="3">
        <v>44665.059027765616</v>
      </c>
      <c r="M3767" s="15"/>
    </row>
    <row r="3768" spans="12:13">
      <c r="L3768" s="3">
        <v>44665.062499987835</v>
      </c>
      <c r="M3768" s="15"/>
    </row>
    <row r="3769" spans="12:13">
      <c r="L3769" s="3">
        <v>44665.065972210054</v>
      </c>
      <c r="M3769" s="15"/>
    </row>
    <row r="3770" spans="12:13">
      <c r="L3770" s="3">
        <v>44665.069444432273</v>
      </c>
      <c r="M3770" s="15"/>
    </row>
    <row r="3771" spans="12:13">
      <c r="L3771" s="3">
        <v>44665.072916654492</v>
      </c>
      <c r="M3771" s="15"/>
    </row>
    <row r="3772" spans="12:13">
      <c r="L3772" s="3">
        <v>44665.076388876711</v>
      </c>
      <c r="M3772" s="15"/>
    </row>
    <row r="3773" spans="12:13">
      <c r="L3773" s="3">
        <v>44665.07986109893</v>
      </c>
      <c r="M3773" s="15"/>
    </row>
    <row r="3774" spans="12:13">
      <c r="L3774" s="3">
        <v>44665.083333321149</v>
      </c>
      <c r="M3774" s="15"/>
    </row>
    <row r="3775" spans="12:13">
      <c r="L3775" s="3">
        <v>44665.086805543368</v>
      </c>
      <c r="M3775" s="15"/>
    </row>
    <row r="3776" spans="12:13">
      <c r="L3776" s="3">
        <v>44665.090277765587</v>
      </c>
      <c r="M3776" s="15"/>
    </row>
    <row r="3777" spans="12:13">
      <c r="L3777" s="3">
        <v>44665.093749987805</v>
      </c>
      <c r="M3777" s="15"/>
    </row>
    <row r="3778" spans="12:13">
      <c r="L3778" s="3">
        <v>44665.097222210024</v>
      </c>
      <c r="M3778" s="15"/>
    </row>
    <row r="3779" spans="12:13">
      <c r="L3779" s="3">
        <v>44665.100694432243</v>
      </c>
      <c r="M3779" s="15"/>
    </row>
    <row r="3780" spans="12:13">
      <c r="L3780" s="3">
        <v>44665.104166654462</v>
      </c>
      <c r="M3780" s="15"/>
    </row>
    <row r="3781" spans="12:13">
      <c r="L3781" s="3">
        <v>44665.107638876681</v>
      </c>
      <c r="M3781" s="15"/>
    </row>
    <row r="3782" spans="12:13">
      <c r="L3782" s="3">
        <v>44665.1111110989</v>
      </c>
      <c r="M3782" s="15"/>
    </row>
    <row r="3783" spans="12:13">
      <c r="L3783" s="3">
        <v>44665.114583321119</v>
      </c>
      <c r="M3783" s="15"/>
    </row>
    <row r="3784" spans="12:13">
      <c r="L3784" s="3">
        <v>44665.118055543338</v>
      </c>
      <c r="M3784" s="15"/>
    </row>
    <row r="3785" spans="12:13">
      <c r="L3785" s="3">
        <v>44665.121527765557</v>
      </c>
      <c r="M3785" s="15"/>
    </row>
    <row r="3786" spans="12:13">
      <c r="L3786" s="3">
        <v>44665.124999987776</v>
      </c>
      <c r="M3786" s="15"/>
    </row>
    <row r="3787" spans="12:13">
      <c r="L3787" s="3">
        <v>44665.128472209995</v>
      </c>
      <c r="M3787" s="15"/>
    </row>
    <row r="3788" spans="12:13">
      <c r="L3788" s="3">
        <v>44665.131944432214</v>
      </c>
      <c r="M3788" s="15"/>
    </row>
    <row r="3789" spans="12:13">
      <c r="L3789" s="3">
        <v>44665.135416654433</v>
      </c>
      <c r="M3789" s="15"/>
    </row>
    <row r="3790" spans="12:13">
      <c r="L3790" s="3">
        <v>44665.138888876652</v>
      </c>
      <c r="M3790" s="15"/>
    </row>
    <row r="3791" spans="12:13">
      <c r="L3791" s="3">
        <v>44665.142361098871</v>
      </c>
      <c r="M3791" s="15"/>
    </row>
    <row r="3792" spans="12:13">
      <c r="L3792" s="3">
        <v>44665.14583332109</v>
      </c>
      <c r="M3792" s="15"/>
    </row>
    <row r="3793" spans="12:13">
      <c r="L3793" s="3">
        <v>44665.149305543309</v>
      </c>
      <c r="M3793" s="15"/>
    </row>
    <row r="3794" spans="12:13">
      <c r="L3794" s="3">
        <v>44665.152777765528</v>
      </c>
      <c r="M3794" s="15"/>
    </row>
    <row r="3795" spans="12:13">
      <c r="L3795" s="3">
        <v>44665.156249987747</v>
      </c>
      <c r="M3795" s="15"/>
    </row>
    <row r="3796" spans="12:13">
      <c r="L3796" s="3">
        <v>44665.159722209966</v>
      </c>
      <c r="M3796" s="15"/>
    </row>
    <row r="3797" spans="12:13">
      <c r="L3797" s="3">
        <v>44665.163194432185</v>
      </c>
      <c r="M3797" s="15"/>
    </row>
    <row r="3798" spans="12:13">
      <c r="L3798" s="3">
        <v>44665.166666654404</v>
      </c>
      <c r="M3798" s="15"/>
    </row>
    <row r="3799" spans="12:13">
      <c r="L3799" s="3">
        <v>44665.170138876623</v>
      </c>
      <c r="M3799" s="15"/>
    </row>
    <row r="3800" spans="12:13">
      <c r="L3800" s="3">
        <v>44665.173611098842</v>
      </c>
      <c r="M3800" s="15"/>
    </row>
    <row r="3801" spans="12:13">
      <c r="L3801" s="3">
        <v>44665.177083321061</v>
      </c>
      <c r="M3801" s="15"/>
    </row>
    <row r="3802" spans="12:13">
      <c r="L3802" s="3">
        <v>44665.18055554328</v>
      </c>
      <c r="M3802" s="15"/>
    </row>
    <row r="3803" spans="12:13">
      <c r="L3803" s="3">
        <v>44665.184027765499</v>
      </c>
      <c r="M3803" s="15"/>
    </row>
    <row r="3804" spans="12:13">
      <c r="L3804" s="3">
        <v>44665.187499987718</v>
      </c>
      <c r="M3804" s="15"/>
    </row>
    <row r="3805" spans="12:13">
      <c r="L3805" s="3">
        <v>44665.190972209937</v>
      </c>
      <c r="M3805" s="15"/>
    </row>
    <row r="3806" spans="12:13">
      <c r="L3806" s="3">
        <v>44665.194444432156</v>
      </c>
      <c r="M3806" s="15"/>
    </row>
    <row r="3807" spans="12:13">
      <c r="L3807" s="3">
        <v>44665.197916654375</v>
      </c>
      <c r="M3807" s="15"/>
    </row>
    <row r="3808" spans="12:13">
      <c r="L3808" s="3">
        <v>44665.201388876594</v>
      </c>
      <c r="M3808" s="15"/>
    </row>
    <row r="3809" spans="12:13">
      <c r="L3809" s="3">
        <v>44665.204861098813</v>
      </c>
      <c r="M3809" s="15"/>
    </row>
    <row r="3810" spans="12:13">
      <c r="L3810" s="3">
        <v>44665.208333321032</v>
      </c>
      <c r="M3810" s="15"/>
    </row>
    <row r="3811" spans="12:13">
      <c r="L3811" s="3">
        <v>44665.211805543251</v>
      </c>
      <c r="M3811" s="15"/>
    </row>
    <row r="3812" spans="12:13">
      <c r="L3812" s="3">
        <v>44665.21527776547</v>
      </c>
      <c r="M3812" s="15"/>
    </row>
    <row r="3813" spans="12:13">
      <c r="L3813" s="3">
        <v>44665.218749987689</v>
      </c>
      <c r="M3813" s="15"/>
    </row>
    <row r="3814" spans="12:13">
      <c r="L3814" s="3">
        <v>44665.222222209908</v>
      </c>
      <c r="M3814" s="15"/>
    </row>
    <row r="3815" spans="12:13">
      <c r="L3815" s="3">
        <v>44665.225694432127</v>
      </c>
      <c r="M3815" s="15"/>
    </row>
    <row r="3816" spans="12:13">
      <c r="L3816" s="3">
        <v>44665.229166654346</v>
      </c>
      <c r="M3816" s="15"/>
    </row>
    <row r="3817" spans="12:13">
      <c r="L3817" s="3">
        <v>44665.232638876565</v>
      </c>
      <c r="M3817" s="15"/>
    </row>
    <row r="3818" spans="12:13">
      <c r="L3818" s="3">
        <v>44665.236111098784</v>
      </c>
      <c r="M3818" s="15"/>
    </row>
    <row r="3819" spans="12:13">
      <c r="L3819" s="3">
        <v>44665.239583321003</v>
      </c>
      <c r="M3819" s="15"/>
    </row>
    <row r="3820" spans="12:13">
      <c r="L3820" s="3">
        <v>44665.243055543222</v>
      </c>
      <c r="M3820" s="15"/>
    </row>
    <row r="3821" spans="12:13">
      <c r="L3821" s="3">
        <v>44665.246527765441</v>
      </c>
      <c r="M3821" s="15"/>
    </row>
    <row r="3822" spans="12:13">
      <c r="L3822" s="3">
        <v>44665.24999998766</v>
      </c>
      <c r="M3822" s="15"/>
    </row>
    <row r="3823" spans="12:13">
      <c r="L3823" s="3">
        <v>44665.253472209879</v>
      </c>
      <c r="M3823" s="15"/>
    </row>
    <row r="3824" spans="12:13">
      <c r="L3824" s="3">
        <v>44665.256944432098</v>
      </c>
      <c r="M3824" s="15"/>
    </row>
    <row r="3825" spans="12:13">
      <c r="L3825" s="3">
        <v>44665.260416654317</v>
      </c>
      <c r="M3825" s="15"/>
    </row>
    <row r="3826" spans="12:13">
      <c r="L3826" s="3">
        <v>44665.263888876536</v>
      </c>
      <c r="M3826" s="15"/>
    </row>
    <row r="3827" spans="12:13">
      <c r="L3827" s="3">
        <v>44665.267361098755</v>
      </c>
      <c r="M3827" s="15"/>
    </row>
    <row r="3828" spans="12:13">
      <c r="L3828" s="3">
        <v>44665.270833320974</v>
      </c>
      <c r="M3828" s="15"/>
    </row>
    <row r="3829" spans="12:13">
      <c r="L3829" s="3">
        <v>44665.274305543193</v>
      </c>
      <c r="M3829" s="15"/>
    </row>
    <row r="3830" spans="12:13">
      <c r="L3830" s="3">
        <v>44665.277777765412</v>
      </c>
      <c r="M3830" s="15"/>
    </row>
    <row r="3831" spans="12:13">
      <c r="L3831" s="3">
        <v>44665.281249987631</v>
      </c>
      <c r="M3831" s="15"/>
    </row>
    <row r="3832" spans="12:13">
      <c r="L3832" s="3">
        <v>44665.28472220985</v>
      </c>
      <c r="M3832" s="15"/>
    </row>
    <row r="3833" spans="12:13">
      <c r="L3833" s="3">
        <v>44665.288194432069</v>
      </c>
      <c r="M3833" s="15"/>
    </row>
    <row r="3834" spans="12:13">
      <c r="L3834" s="3">
        <v>44665.291666654288</v>
      </c>
      <c r="M3834" s="15"/>
    </row>
    <row r="3835" spans="12:13">
      <c r="L3835" s="3">
        <v>44665.295138876507</v>
      </c>
      <c r="M3835" s="15"/>
    </row>
    <row r="3836" spans="12:13">
      <c r="L3836" s="3">
        <v>44665.298611098726</v>
      </c>
      <c r="M3836" s="15"/>
    </row>
    <row r="3837" spans="12:13">
      <c r="L3837" s="3">
        <v>44665.302083320945</v>
      </c>
      <c r="M3837" s="15"/>
    </row>
    <row r="3838" spans="12:13">
      <c r="L3838" s="3">
        <v>44665.305555543164</v>
      </c>
      <c r="M3838" s="15"/>
    </row>
    <row r="3839" spans="12:13">
      <c r="L3839" s="3">
        <v>44665.309027765383</v>
      </c>
      <c r="M3839" s="15"/>
    </row>
    <row r="3840" spans="12:13">
      <c r="L3840" s="3">
        <v>44665.312499987602</v>
      </c>
      <c r="M3840" s="15"/>
    </row>
    <row r="3841" spans="12:13">
      <c r="L3841" s="3">
        <v>44665.315972209821</v>
      </c>
      <c r="M3841" s="15"/>
    </row>
    <row r="3842" spans="12:13">
      <c r="L3842" s="3">
        <v>44665.31944443204</v>
      </c>
      <c r="M3842" s="15"/>
    </row>
    <row r="3843" spans="12:13">
      <c r="L3843" s="3">
        <v>44665.322916654259</v>
      </c>
      <c r="M3843" s="15"/>
    </row>
    <row r="3844" spans="12:13">
      <c r="L3844" s="3">
        <v>44665.326388876478</v>
      </c>
      <c r="M3844" s="15"/>
    </row>
    <row r="3845" spans="12:13">
      <c r="L3845" s="3">
        <v>44665.329861098697</v>
      </c>
      <c r="M3845" s="15"/>
    </row>
    <row r="3846" spans="12:13">
      <c r="L3846" s="3">
        <v>44665.333333320916</v>
      </c>
      <c r="M3846" s="15"/>
    </row>
    <row r="3847" spans="12:13">
      <c r="L3847" s="3">
        <v>44665.336805543135</v>
      </c>
      <c r="M3847" s="15"/>
    </row>
    <row r="3848" spans="12:13">
      <c r="L3848" s="3">
        <v>44665.340277765354</v>
      </c>
      <c r="M3848" s="15"/>
    </row>
    <row r="3849" spans="12:13">
      <c r="L3849" s="3">
        <v>44665.343749987573</v>
      </c>
      <c r="M3849" s="15"/>
    </row>
    <row r="3850" spans="12:13">
      <c r="L3850" s="3">
        <v>44665.347222209792</v>
      </c>
      <c r="M3850" s="15"/>
    </row>
    <row r="3851" spans="12:13">
      <c r="L3851" s="3">
        <v>44665.350694432011</v>
      </c>
      <c r="M3851" s="15"/>
    </row>
    <row r="3852" spans="12:13">
      <c r="L3852" s="3">
        <v>44665.35416665423</v>
      </c>
      <c r="M3852" s="15"/>
    </row>
    <row r="3853" spans="12:13">
      <c r="L3853" s="3">
        <v>44665.357638876449</v>
      </c>
      <c r="M3853" s="15"/>
    </row>
    <row r="3854" spans="12:13">
      <c r="L3854" s="3">
        <v>44665.361111098668</v>
      </c>
      <c r="M3854" s="15"/>
    </row>
    <row r="3855" spans="12:13">
      <c r="L3855" s="3">
        <v>44665.364583320887</v>
      </c>
      <c r="M3855" s="15"/>
    </row>
    <row r="3856" spans="12:13">
      <c r="L3856" s="3">
        <v>44665.368055543106</v>
      </c>
      <c r="M3856" s="15"/>
    </row>
    <row r="3857" spans="12:13">
      <c r="L3857" s="3">
        <v>44665.371527765325</v>
      </c>
      <c r="M3857" s="15"/>
    </row>
    <row r="3858" spans="12:13">
      <c r="L3858" s="3">
        <v>44665.374999987544</v>
      </c>
      <c r="M3858" s="15"/>
    </row>
    <row r="3859" spans="12:13">
      <c r="L3859" s="3">
        <v>44665.378472209763</v>
      </c>
      <c r="M3859" s="15"/>
    </row>
    <row r="3860" spans="12:13">
      <c r="L3860" s="3">
        <v>44665.381944431982</v>
      </c>
      <c r="M3860" s="15"/>
    </row>
    <row r="3861" spans="12:13">
      <c r="L3861" s="3">
        <v>44665.385416654201</v>
      </c>
      <c r="M3861" s="15"/>
    </row>
    <row r="3862" spans="12:13">
      <c r="L3862" s="3">
        <v>44665.38888887642</v>
      </c>
      <c r="M3862" s="15"/>
    </row>
    <row r="3863" spans="12:13">
      <c r="L3863" s="3">
        <v>44665.392361098639</v>
      </c>
      <c r="M3863" s="15"/>
    </row>
    <row r="3864" spans="12:13">
      <c r="L3864" s="3">
        <v>44665.395833320857</v>
      </c>
      <c r="M3864" s="15"/>
    </row>
    <row r="3865" spans="12:13">
      <c r="L3865" s="3">
        <v>44665.399305543076</v>
      </c>
      <c r="M3865" s="15"/>
    </row>
    <row r="3866" spans="12:13">
      <c r="L3866" s="3">
        <v>44665.402777765295</v>
      </c>
      <c r="M3866" s="15"/>
    </row>
    <row r="3867" spans="12:13">
      <c r="L3867" s="3">
        <v>44665.406249987514</v>
      </c>
      <c r="M3867" s="15"/>
    </row>
    <row r="3868" spans="12:13">
      <c r="L3868" s="3">
        <v>44665.409722209733</v>
      </c>
      <c r="M3868" s="15"/>
    </row>
    <row r="3869" spans="12:13">
      <c r="L3869" s="3">
        <v>44665.413194431952</v>
      </c>
      <c r="M3869" s="15"/>
    </row>
    <row r="3870" spans="12:13">
      <c r="L3870" s="3">
        <v>44665.416666654171</v>
      </c>
      <c r="M3870" s="15"/>
    </row>
    <row r="3871" spans="12:13">
      <c r="L3871" s="3">
        <v>44665.42013887639</v>
      </c>
      <c r="M3871" s="15"/>
    </row>
    <row r="3872" spans="12:13">
      <c r="L3872" s="3">
        <v>44665.423611098609</v>
      </c>
      <c r="M3872" s="15"/>
    </row>
    <row r="3873" spans="12:13">
      <c r="L3873" s="3">
        <v>44665.427083320828</v>
      </c>
      <c r="M3873" s="15"/>
    </row>
    <row r="3874" spans="12:13">
      <c r="L3874" s="3">
        <v>44665.430555543047</v>
      </c>
      <c r="M3874" s="15"/>
    </row>
    <row r="3875" spans="12:13">
      <c r="L3875" s="3">
        <v>44665.434027765266</v>
      </c>
      <c r="M3875" s="15"/>
    </row>
    <row r="3876" spans="12:13">
      <c r="L3876" s="3">
        <v>44665.437499987485</v>
      </c>
      <c r="M3876" s="15"/>
    </row>
    <row r="3877" spans="12:13">
      <c r="L3877" s="3">
        <v>44665.440972209704</v>
      </c>
      <c r="M3877" s="15"/>
    </row>
    <row r="3878" spans="12:13">
      <c r="L3878" s="3">
        <v>44665.444444431923</v>
      </c>
      <c r="M3878" s="15"/>
    </row>
    <row r="3879" spans="12:13">
      <c r="L3879" s="3">
        <v>44665.447916654142</v>
      </c>
      <c r="M3879" s="15"/>
    </row>
    <row r="3880" spans="12:13">
      <c r="L3880" s="3">
        <v>44665.451388876361</v>
      </c>
      <c r="M3880" s="15"/>
    </row>
    <row r="3881" spans="12:13">
      <c r="L3881" s="3">
        <v>44665.45486109858</v>
      </c>
      <c r="M3881" s="15"/>
    </row>
    <row r="3882" spans="12:13">
      <c r="L3882" s="3">
        <v>44665.458333320799</v>
      </c>
      <c r="M3882" s="15"/>
    </row>
    <row r="3883" spans="12:13">
      <c r="L3883" s="3">
        <v>44665.461805543018</v>
      </c>
      <c r="M3883" s="15"/>
    </row>
    <row r="3884" spans="12:13">
      <c r="L3884" s="3">
        <v>44665.465277765237</v>
      </c>
      <c r="M3884" s="15"/>
    </row>
    <row r="3885" spans="12:13">
      <c r="L3885" s="3">
        <v>44665.468749987456</v>
      </c>
      <c r="M3885" s="15"/>
    </row>
    <row r="3886" spans="12:13">
      <c r="L3886" s="3">
        <v>44665.472222209675</v>
      </c>
      <c r="M3886" s="15"/>
    </row>
    <row r="3887" spans="12:13">
      <c r="L3887" s="3">
        <v>44665.475694431894</v>
      </c>
      <c r="M3887" s="15"/>
    </row>
    <row r="3888" spans="12:13">
      <c r="L3888" s="3">
        <v>44665.479166654113</v>
      </c>
      <c r="M3888" s="15"/>
    </row>
    <row r="3889" spans="12:13">
      <c r="L3889" s="3">
        <v>44665.482638876332</v>
      </c>
      <c r="M3889" s="15"/>
    </row>
    <row r="3890" spans="12:13">
      <c r="L3890" s="3">
        <v>44665.486111098551</v>
      </c>
      <c r="M3890" s="15"/>
    </row>
    <row r="3891" spans="12:13">
      <c r="L3891" s="3">
        <v>44665.48958332077</v>
      </c>
      <c r="M3891" s="15"/>
    </row>
    <row r="3892" spans="12:13">
      <c r="L3892" s="3">
        <v>44665.493055542989</v>
      </c>
      <c r="M3892" s="15"/>
    </row>
    <row r="3893" spans="12:13">
      <c r="L3893" s="3">
        <v>44665.496527765208</v>
      </c>
      <c r="M3893" s="15"/>
    </row>
    <row r="3894" spans="12:13">
      <c r="L3894" s="3">
        <v>44665.499999987427</v>
      </c>
      <c r="M3894" s="15"/>
    </row>
    <row r="3895" spans="12:13">
      <c r="L3895" s="3">
        <v>44665.503472209646</v>
      </c>
      <c r="M3895" s="15"/>
    </row>
    <row r="3896" spans="12:13">
      <c r="L3896" s="3">
        <v>44665.506944431865</v>
      </c>
      <c r="M3896" s="15"/>
    </row>
    <row r="3897" spans="12:13">
      <c r="L3897" s="3">
        <v>44665.510416654084</v>
      </c>
      <c r="M3897" s="15"/>
    </row>
    <row r="3898" spans="12:13">
      <c r="L3898" s="3">
        <v>44665.513888876303</v>
      </c>
      <c r="M3898" s="15"/>
    </row>
    <row r="3899" spans="12:13">
      <c r="L3899" s="3">
        <v>44665.517361098522</v>
      </c>
      <c r="M3899" s="15"/>
    </row>
    <row r="3900" spans="12:13">
      <c r="L3900" s="3">
        <v>44665.520833320741</v>
      </c>
      <c r="M3900" s="15"/>
    </row>
    <row r="3901" spans="12:13">
      <c r="L3901" s="3">
        <v>44665.52430554296</v>
      </c>
      <c r="M3901" s="15"/>
    </row>
    <row r="3902" spans="12:13">
      <c r="L3902" s="3">
        <v>44665.527777765179</v>
      </c>
      <c r="M3902" s="15"/>
    </row>
    <row r="3903" spans="12:13">
      <c r="L3903" s="3">
        <v>44665.531249987398</v>
      </c>
      <c r="M3903" s="15"/>
    </row>
    <row r="3904" spans="12:13">
      <c r="L3904" s="3">
        <v>44665.534722209617</v>
      </c>
      <c r="M3904" s="15"/>
    </row>
    <row r="3905" spans="12:13">
      <c r="L3905" s="3">
        <v>44665.538194431836</v>
      </c>
      <c r="M3905" s="15"/>
    </row>
    <row r="3906" spans="12:13">
      <c r="L3906" s="3">
        <v>44665.541666654055</v>
      </c>
      <c r="M3906" s="15"/>
    </row>
    <row r="3907" spans="12:13">
      <c r="L3907" s="3">
        <v>44665.545138876274</v>
      </c>
      <c r="M3907" s="15"/>
    </row>
    <row r="3908" spans="12:13">
      <c r="L3908" s="3">
        <v>44665.548611098493</v>
      </c>
      <c r="M3908" s="15"/>
    </row>
    <row r="3909" spans="12:13">
      <c r="L3909" s="3">
        <v>44665.552083320712</v>
      </c>
      <c r="M3909" s="15"/>
    </row>
    <row r="3910" spans="12:13">
      <c r="L3910" s="3">
        <v>44665.555555542931</v>
      </c>
      <c r="M3910" s="15"/>
    </row>
    <row r="3911" spans="12:13">
      <c r="L3911" s="3">
        <v>44665.55902776515</v>
      </c>
      <c r="M3911" s="15"/>
    </row>
    <row r="3912" spans="12:13">
      <c r="L3912" s="3">
        <v>44665.562499987369</v>
      </c>
      <c r="M3912" s="15"/>
    </row>
    <row r="3913" spans="12:13">
      <c r="L3913" s="3">
        <v>44665.565972209588</v>
      </c>
      <c r="M3913" s="15"/>
    </row>
    <row r="3914" spans="12:13">
      <c r="L3914" s="3">
        <v>44665.569444431807</v>
      </c>
      <c r="M3914" s="15"/>
    </row>
    <row r="3915" spans="12:13">
      <c r="L3915" s="3">
        <v>44665.572916654026</v>
      </c>
      <c r="M3915" s="15"/>
    </row>
    <row r="3916" spans="12:13">
      <c r="L3916" s="3">
        <v>44665.576388876245</v>
      </c>
      <c r="M3916" s="15"/>
    </row>
    <row r="3917" spans="12:13">
      <c r="L3917" s="3">
        <v>44665.579861098464</v>
      </c>
      <c r="M3917" s="15"/>
    </row>
    <row r="3918" spans="12:13">
      <c r="L3918" s="3">
        <v>44665.583333320683</v>
      </c>
      <c r="M3918" s="15"/>
    </row>
    <row r="3919" spans="12:13">
      <c r="L3919" s="3">
        <v>44665.586805542902</v>
      </c>
      <c r="M3919" s="15"/>
    </row>
    <row r="3920" spans="12:13">
      <c r="L3920" s="3">
        <v>44665.590277765121</v>
      </c>
      <c r="M3920" s="15"/>
    </row>
    <row r="3921" spans="12:13">
      <c r="L3921" s="3">
        <v>44665.59374998734</v>
      </c>
      <c r="M3921" s="15"/>
    </row>
    <row r="3922" spans="12:13">
      <c r="L3922" s="3">
        <v>44665.597222209559</v>
      </c>
      <c r="M3922" s="15"/>
    </row>
    <row r="3923" spans="12:13">
      <c r="L3923" s="3">
        <v>44665.600694431778</v>
      </c>
      <c r="M3923" s="15"/>
    </row>
    <row r="3924" spans="12:13">
      <c r="L3924" s="3">
        <v>44665.604166653997</v>
      </c>
      <c r="M3924" s="15"/>
    </row>
    <row r="3925" spans="12:13">
      <c r="L3925" s="3">
        <v>44665.607638876216</v>
      </c>
      <c r="M3925" s="15"/>
    </row>
    <row r="3926" spans="12:13">
      <c r="L3926" s="3">
        <v>44665.611111098435</v>
      </c>
      <c r="M3926" s="15"/>
    </row>
    <row r="3927" spans="12:13">
      <c r="L3927" s="3">
        <v>44665.614583320654</v>
      </c>
      <c r="M3927" s="15"/>
    </row>
    <row r="3928" spans="12:13">
      <c r="L3928" s="3">
        <v>44665.618055542873</v>
      </c>
      <c r="M3928" s="15"/>
    </row>
    <row r="3929" spans="12:13">
      <c r="L3929" s="3">
        <v>44665.621527765092</v>
      </c>
      <c r="M3929" s="15"/>
    </row>
    <row r="3930" spans="12:13">
      <c r="L3930" s="3">
        <v>44665.624999987311</v>
      </c>
      <c r="M3930" s="15"/>
    </row>
    <row r="3931" spans="12:13">
      <c r="L3931" s="3">
        <v>44665.62847220953</v>
      </c>
      <c r="M3931" s="15"/>
    </row>
    <row r="3932" spans="12:13">
      <c r="L3932" s="3">
        <v>44665.631944431749</v>
      </c>
      <c r="M3932" s="15"/>
    </row>
    <row r="3933" spans="12:13">
      <c r="L3933" s="3">
        <v>44665.635416653968</v>
      </c>
      <c r="M3933" s="15"/>
    </row>
    <row r="3934" spans="12:13">
      <c r="L3934" s="3">
        <v>44665.638888876187</v>
      </c>
      <c r="M3934" s="15"/>
    </row>
    <row r="3935" spans="12:13">
      <c r="L3935" s="3">
        <v>44665.642361098406</v>
      </c>
      <c r="M3935" s="15"/>
    </row>
    <row r="3936" spans="12:13">
      <c r="L3936" s="3">
        <v>44665.645833320625</v>
      </c>
      <c r="M3936" s="15"/>
    </row>
    <row r="3937" spans="12:13">
      <c r="L3937" s="3">
        <v>44665.649305542844</v>
      </c>
      <c r="M3937" s="15"/>
    </row>
    <row r="3938" spans="12:13">
      <c r="L3938" s="3">
        <v>44665.652777765063</v>
      </c>
      <c r="M3938" s="15"/>
    </row>
    <row r="3939" spans="12:13">
      <c r="L3939" s="3">
        <v>44665.656249987282</v>
      </c>
      <c r="M3939" s="15"/>
    </row>
    <row r="3940" spans="12:13">
      <c r="L3940" s="3">
        <v>44665.659722209501</v>
      </c>
      <c r="M3940" s="15"/>
    </row>
    <row r="3941" spans="12:13">
      <c r="L3941" s="3">
        <v>44665.66319443172</v>
      </c>
      <c r="M3941" s="15"/>
    </row>
    <row r="3942" spans="12:13">
      <c r="L3942" s="3">
        <v>44665.666666653939</v>
      </c>
      <c r="M3942" s="15"/>
    </row>
    <row r="3943" spans="12:13">
      <c r="L3943" s="3">
        <v>44665.670138876158</v>
      </c>
      <c r="M3943" s="15"/>
    </row>
    <row r="3944" spans="12:13">
      <c r="L3944" s="3">
        <v>44665.673611098377</v>
      </c>
      <c r="M3944" s="15"/>
    </row>
    <row r="3945" spans="12:13">
      <c r="L3945" s="3">
        <v>44665.677083320596</v>
      </c>
      <c r="M3945" s="15"/>
    </row>
    <row r="3946" spans="12:13">
      <c r="L3946" s="3">
        <v>44665.680555542815</v>
      </c>
      <c r="M3946" s="15"/>
    </row>
    <row r="3947" spans="12:13">
      <c r="L3947" s="3">
        <v>44665.684027765034</v>
      </c>
      <c r="M3947" s="15"/>
    </row>
    <row r="3948" spans="12:13">
      <c r="L3948" s="3">
        <v>44665.687499987253</v>
      </c>
      <c r="M3948" s="15"/>
    </row>
    <row r="3949" spans="12:13">
      <c r="L3949" s="3">
        <v>44665.690972209472</v>
      </c>
      <c r="M3949" s="15"/>
    </row>
    <row r="3950" spans="12:13">
      <c r="L3950" s="3">
        <v>44665.69444443169</v>
      </c>
      <c r="M3950" s="15"/>
    </row>
    <row r="3951" spans="12:13">
      <c r="L3951" s="3">
        <v>44665.697916653909</v>
      </c>
      <c r="M3951" s="15"/>
    </row>
    <row r="3952" spans="12:13">
      <c r="L3952" s="3">
        <v>44665.701388876128</v>
      </c>
      <c r="M3952" s="15"/>
    </row>
    <row r="3953" spans="12:13">
      <c r="L3953" s="3">
        <v>44665.704861098347</v>
      </c>
      <c r="M3953" s="15"/>
    </row>
    <row r="3954" spans="12:13">
      <c r="L3954" s="3">
        <v>44665.708333320566</v>
      </c>
      <c r="M3954" s="15"/>
    </row>
    <row r="3955" spans="12:13">
      <c r="L3955" s="3">
        <v>44665.711805542785</v>
      </c>
      <c r="M3955" s="15"/>
    </row>
    <row r="3956" spans="12:13">
      <c r="L3956" s="3">
        <v>44665.715277765004</v>
      </c>
      <c r="M3956" s="15"/>
    </row>
    <row r="3957" spans="12:13">
      <c r="L3957" s="3">
        <v>44665.718749987223</v>
      </c>
      <c r="M3957" s="15"/>
    </row>
    <row r="3958" spans="12:13">
      <c r="L3958" s="3">
        <v>44665.722222209442</v>
      </c>
      <c r="M3958" s="15"/>
    </row>
    <row r="3959" spans="12:13">
      <c r="L3959" s="3">
        <v>44665.725694431661</v>
      </c>
      <c r="M3959" s="15"/>
    </row>
    <row r="3960" spans="12:13">
      <c r="L3960" s="3">
        <v>44665.72916665388</v>
      </c>
      <c r="M3960" s="15"/>
    </row>
    <row r="3961" spans="12:13">
      <c r="L3961" s="3">
        <v>44665.732638876099</v>
      </c>
      <c r="M3961" s="15"/>
    </row>
    <row r="3962" spans="12:13">
      <c r="L3962" s="3">
        <v>44665.736111098318</v>
      </c>
      <c r="M3962" s="15"/>
    </row>
    <row r="3963" spans="12:13">
      <c r="L3963" s="3">
        <v>44665.739583320537</v>
      </c>
      <c r="M3963" s="15"/>
    </row>
    <row r="3964" spans="12:13">
      <c r="L3964" s="3">
        <v>44665.743055542756</v>
      </c>
      <c r="M3964" s="15"/>
    </row>
    <row r="3965" spans="12:13">
      <c r="L3965" s="3">
        <v>44665.746527764975</v>
      </c>
      <c r="M3965" s="15"/>
    </row>
    <row r="3966" spans="12:13">
      <c r="L3966" s="3">
        <v>44665.749999987194</v>
      </c>
      <c r="M3966" s="15"/>
    </row>
    <row r="3967" spans="12:13">
      <c r="L3967" s="3">
        <v>44665.753472209413</v>
      </c>
      <c r="M3967" s="15"/>
    </row>
    <row r="3968" spans="12:13">
      <c r="L3968" s="3">
        <v>44665.756944431632</v>
      </c>
      <c r="M3968" s="15"/>
    </row>
    <row r="3969" spans="12:13">
      <c r="L3969" s="3">
        <v>44665.760416653851</v>
      </c>
      <c r="M3969" s="15"/>
    </row>
    <row r="3970" spans="12:13">
      <c r="L3970" s="3">
        <v>44665.76388887607</v>
      </c>
      <c r="M3970" s="15"/>
    </row>
    <row r="3971" spans="12:13">
      <c r="L3971" s="3">
        <v>44665.767361098289</v>
      </c>
      <c r="M3971" s="15"/>
    </row>
    <row r="3972" spans="12:13">
      <c r="L3972" s="3">
        <v>44665.770833320508</v>
      </c>
      <c r="M3972" s="15"/>
    </row>
    <row r="3973" spans="12:13">
      <c r="L3973" s="3">
        <v>44665.774305542727</v>
      </c>
      <c r="M3973" s="15"/>
    </row>
    <row r="3974" spans="12:13">
      <c r="L3974" s="3">
        <v>44665.777777764946</v>
      </c>
      <c r="M3974" s="15"/>
    </row>
    <row r="3975" spans="12:13">
      <c r="L3975" s="3">
        <v>44665.781249987165</v>
      </c>
      <c r="M3975" s="15"/>
    </row>
    <row r="3976" spans="12:13">
      <c r="L3976" s="3">
        <v>44665.784722209384</v>
      </c>
      <c r="M3976" s="15"/>
    </row>
    <row r="3977" spans="12:13">
      <c r="L3977" s="3">
        <v>44665.788194431603</v>
      </c>
      <c r="M3977" s="15"/>
    </row>
    <row r="3978" spans="12:13">
      <c r="L3978" s="3">
        <v>44665.791666653822</v>
      </c>
      <c r="M3978" s="15"/>
    </row>
    <row r="3979" spans="12:13">
      <c r="L3979" s="3">
        <v>44665.795138876041</v>
      </c>
      <c r="M3979" s="15"/>
    </row>
    <row r="3980" spans="12:13">
      <c r="L3980" s="3">
        <v>44665.79861109826</v>
      </c>
      <c r="M3980" s="15"/>
    </row>
    <row r="3981" spans="12:13">
      <c r="L3981" s="3">
        <v>44665.802083320479</v>
      </c>
      <c r="M3981" s="15"/>
    </row>
    <row r="3982" spans="12:13">
      <c r="L3982" s="3">
        <v>44665.805555542698</v>
      </c>
      <c r="M3982" s="15"/>
    </row>
    <row r="3983" spans="12:13">
      <c r="L3983" s="3">
        <v>44665.809027764917</v>
      </c>
      <c r="M3983" s="15"/>
    </row>
    <row r="3984" spans="12:13">
      <c r="L3984" s="3">
        <v>44665.812499987136</v>
      </c>
      <c r="M3984" s="15"/>
    </row>
    <row r="3985" spans="12:13">
      <c r="L3985" s="3">
        <v>44665.815972209355</v>
      </c>
      <c r="M3985" s="15"/>
    </row>
    <row r="3986" spans="12:13">
      <c r="L3986" s="3">
        <v>44665.819444431574</v>
      </c>
      <c r="M3986" s="15"/>
    </row>
    <row r="3987" spans="12:13">
      <c r="L3987" s="3">
        <v>44665.822916653793</v>
      </c>
      <c r="M3987" s="15"/>
    </row>
    <row r="3988" spans="12:13">
      <c r="L3988" s="3">
        <v>44665.826388876012</v>
      </c>
      <c r="M3988" s="15"/>
    </row>
    <row r="3989" spans="12:13">
      <c r="L3989" s="3">
        <v>44665.829861098231</v>
      </c>
      <c r="M3989" s="15"/>
    </row>
    <row r="3990" spans="12:13">
      <c r="L3990" s="3">
        <v>44665.83333332045</v>
      </c>
      <c r="M3990" s="15"/>
    </row>
    <row r="3991" spans="12:13">
      <c r="L3991" s="3">
        <v>44665.836805542669</v>
      </c>
      <c r="M3991" s="15"/>
    </row>
    <row r="3992" spans="12:13">
      <c r="L3992" s="3">
        <v>44665.840277764888</v>
      </c>
      <c r="M3992" s="15"/>
    </row>
    <row r="3993" spans="12:13">
      <c r="L3993" s="3">
        <v>44665.843749987107</v>
      </c>
      <c r="M3993" s="15"/>
    </row>
    <row r="3994" spans="12:13">
      <c r="L3994" s="3">
        <v>44665.847222209326</v>
      </c>
      <c r="M3994" s="15"/>
    </row>
    <row r="3995" spans="12:13">
      <c r="L3995" s="3">
        <v>44665.850694431545</v>
      </c>
      <c r="M3995" s="15"/>
    </row>
    <row r="3996" spans="12:13">
      <c r="L3996" s="3">
        <v>44665.854166653764</v>
      </c>
      <c r="M3996" s="15"/>
    </row>
    <row r="3997" spans="12:13">
      <c r="L3997" s="3">
        <v>44665.857638875983</v>
      </c>
      <c r="M3997" s="15"/>
    </row>
    <row r="3998" spans="12:13">
      <c r="L3998" s="3">
        <v>44665.861111098202</v>
      </c>
      <c r="M3998" s="15"/>
    </row>
    <row r="3999" spans="12:13">
      <c r="L3999" s="3">
        <v>44665.864583320421</v>
      </c>
      <c r="M3999" s="15"/>
    </row>
    <row r="4000" spans="12:13">
      <c r="L4000" s="3">
        <v>44665.86805554264</v>
      </c>
      <c r="M4000" s="15"/>
    </row>
    <row r="4001" spans="12:13">
      <c r="L4001" s="3">
        <v>44665.871527764859</v>
      </c>
      <c r="M4001" s="15"/>
    </row>
    <row r="4002" spans="12:13">
      <c r="L4002" s="3">
        <v>44665.874999987078</v>
      </c>
      <c r="M4002" s="15"/>
    </row>
    <row r="4003" spans="12:13">
      <c r="L4003" s="3">
        <v>44665.878472209297</v>
      </c>
      <c r="M4003" s="15"/>
    </row>
    <row r="4004" spans="12:13">
      <c r="L4004" s="3">
        <v>44665.881944431516</v>
      </c>
      <c r="M4004" s="15"/>
    </row>
    <row r="4005" spans="12:13">
      <c r="L4005" s="3">
        <v>44665.885416653735</v>
      </c>
      <c r="M4005" s="15"/>
    </row>
    <row r="4006" spans="12:13">
      <c r="L4006" s="3">
        <v>44665.888888875954</v>
      </c>
      <c r="M4006" s="15"/>
    </row>
    <row r="4007" spans="12:13">
      <c r="L4007" s="3">
        <v>44665.892361098173</v>
      </c>
      <c r="M4007" s="15"/>
    </row>
    <row r="4008" spans="12:13">
      <c r="L4008" s="3">
        <v>44665.895833320392</v>
      </c>
      <c r="M4008" s="15"/>
    </row>
    <row r="4009" spans="12:13">
      <c r="L4009" s="3">
        <v>44665.899305542611</v>
      </c>
      <c r="M4009" s="15"/>
    </row>
    <row r="4010" spans="12:13">
      <c r="L4010" s="3">
        <v>44665.90277776483</v>
      </c>
      <c r="M4010" s="15"/>
    </row>
    <row r="4011" spans="12:13">
      <c r="L4011" s="3">
        <v>44665.906249987049</v>
      </c>
      <c r="M4011" s="15"/>
    </row>
    <row r="4012" spans="12:13">
      <c r="L4012" s="3">
        <v>44665.909722209268</v>
      </c>
      <c r="M4012" s="15"/>
    </row>
    <row r="4013" spans="12:13">
      <c r="L4013" s="3">
        <v>44665.913194431487</v>
      </c>
      <c r="M4013" s="15"/>
    </row>
    <row r="4014" spans="12:13">
      <c r="L4014" s="3">
        <v>44665.916666653706</v>
      </c>
      <c r="M4014" s="15"/>
    </row>
    <row r="4015" spans="12:13">
      <c r="L4015" s="3">
        <v>44665.920138875925</v>
      </c>
      <c r="M4015" s="15"/>
    </row>
    <row r="4016" spans="12:13">
      <c r="L4016" s="3">
        <v>44665.923611098144</v>
      </c>
      <c r="M4016" s="15"/>
    </row>
    <row r="4017" spans="12:13">
      <c r="L4017" s="3">
        <v>44665.927083320363</v>
      </c>
      <c r="M4017" s="15"/>
    </row>
    <row r="4018" spans="12:13">
      <c r="L4018" s="3">
        <v>44665.930555542582</v>
      </c>
      <c r="M4018" s="15"/>
    </row>
    <row r="4019" spans="12:13">
      <c r="L4019" s="3">
        <v>44665.934027764801</v>
      </c>
      <c r="M4019" s="15"/>
    </row>
    <row r="4020" spans="12:13">
      <c r="L4020" s="3">
        <v>44665.93749998702</v>
      </c>
      <c r="M4020" s="15"/>
    </row>
    <row r="4021" spans="12:13">
      <c r="L4021" s="3">
        <v>44665.940972209239</v>
      </c>
      <c r="M4021" s="15"/>
    </row>
    <row r="4022" spans="12:13">
      <c r="L4022" s="3">
        <v>44665.944444431458</v>
      </c>
      <c r="M4022" s="15"/>
    </row>
    <row r="4023" spans="12:13">
      <c r="L4023" s="3">
        <v>44665.947916653677</v>
      </c>
      <c r="M4023" s="15"/>
    </row>
    <row r="4024" spans="12:13">
      <c r="L4024" s="3">
        <v>44665.951388875896</v>
      </c>
      <c r="M4024" s="15"/>
    </row>
    <row r="4025" spans="12:13">
      <c r="L4025" s="3">
        <v>44665.954861098115</v>
      </c>
      <c r="M4025" s="15"/>
    </row>
    <row r="4026" spans="12:13">
      <c r="L4026" s="3">
        <v>44665.958333320334</v>
      </c>
      <c r="M4026" s="15"/>
    </row>
    <row r="4027" spans="12:13">
      <c r="L4027" s="3">
        <v>44665.961805542553</v>
      </c>
      <c r="M4027" s="15"/>
    </row>
    <row r="4028" spans="12:13">
      <c r="L4028" s="3">
        <v>44665.965277764772</v>
      </c>
      <c r="M4028" s="15"/>
    </row>
    <row r="4029" spans="12:13">
      <c r="L4029" s="3">
        <v>44665.968749986991</v>
      </c>
      <c r="M4029" s="15"/>
    </row>
    <row r="4030" spans="12:13">
      <c r="L4030" s="3">
        <v>44665.97222220921</v>
      </c>
      <c r="M4030" s="15"/>
    </row>
    <row r="4031" spans="12:13">
      <c r="L4031" s="3">
        <v>44665.975694431429</v>
      </c>
      <c r="M4031" s="15"/>
    </row>
    <row r="4032" spans="12:13">
      <c r="L4032" s="3">
        <v>44665.979166653648</v>
      </c>
      <c r="M4032" s="15"/>
    </row>
    <row r="4033" spans="12:13">
      <c r="L4033" s="3">
        <v>44665.982638875867</v>
      </c>
      <c r="M4033" s="15"/>
    </row>
    <row r="4034" spans="12:13">
      <c r="L4034" s="3">
        <v>44665.986111098086</v>
      </c>
      <c r="M4034" s="15"/>
    </row>
    <row r="4035" spans="12:13">
      <c r="L4035" s="3">
        <v>44665.989583320305</v>
      </c>
      <c r="M4035" s="15"/>
    </row>
    <row r="4036" spans="12:13">
      <c r="L4036" s="3">
        <v>44665.993055542524</v>
      </c>
      <c r="M4036" s="15"/>
    </row>
    <row r="4037" spans="12:13">
      <c r="L4037" s="3">
        <v>44665.996527764742</v>
      </c>
      <c r="M4037" s="15"/>
    </row>
    <row r="4038" spans="12:13">
      <c r="L4038" s="3">
        <v>44665.999999986961</v>
      </c>
      <c r="M4038" s="15"/>
    </row>
    <row r="4039" spans="12:13">
      <c r="L4039" s="3">
        <v>44666.00347220918</v>
      </c>
      <c r="M4039" s="15"/>
    </row>
    <row r="4040" spans="12:13">
      <c r="L4040" s="3">
        <v>44666.006944431399</v>
      </c>
      <c r="M4040" s="15"/>
    </row>
    <row r="4041" spans="12:13">
      <c r="L4041" s="3">
        <v>44666.010416653618</v>
      </c>
      <c r="M4041" s="15"/>
    </row>
    <row r="4042" spans="12:13">
      <c r="L4042" s="3">
        <v>44666.013888875837</v>
      </c>
      <c r="M4042" s="15"/>
    </row>
    <row r="4043" spans="12:13">
      <c r="L4043" s="3">
        <v>44666.017361098056</v>
      </c>
      <c r="M4043" s="15"/>
    </row>
    <row r="4044" spans="12:13">
      <c r="L4044" s="3">
        <v>44666.020833320275</v>
      </c>
      <c r="M4044" s="15"/>
    </row>
    <row r="4045" spans="12:13">
      <c r="L4045" s="3">
        <v>44666.024305542494</v>
      </c>
      <c r="M4045" s="15"/>
    </row>
    <row r="4046" spans="12:13">
      <c r="L4046" s="3">
        <v>44666.027777764713</v>
      </c>
      <c r="M4046" s="15"/>
    </row>
    <row r="4047" spans="12:13">
      <c r="L4047" s="3">
        <v>44666.031249986932</v>
      </c>
      <c r="M4047" s="15"/>
    </row>
    <row r="4048" spans="12:13">
      <c r="L4048" s="3">
        <v>44666.034722209151</v>
      </c>
      <c r="M4048" s="15"/>
    </row>
    <row r="4049" spans="12:13">
      <c r="L4049" s="3">
        <v>44666.03819443137</v>
      </c>
      <c r="M4049" s="15"/>
    </row>
    <row r="4050" spans="12:13">
      <c r="L4050" s="3">
        <v>44666.041666653589</v>
      </c>
      <c r="M4050" s="15"/>
    </row>
    <row r="4051" spans="12:13">
      <c r="L4051" s="3">
        <v>44666.045138875808</v>
      </c>
      <c r="M4051" s="15"/>
    </row>
    <row r="4052" spans="12:13">
      <c r="L4052" s="3">
        <v>44666.048611098027</v>
      </c>
      <c r="M4052" s="15"/>
    </row>
    <row r="4053" spans="12:13">
      <c r="L4053" s="3">
        <v>44666.052083320246</v>
      </c>
      <c r="M4053" s="15"/>
    </row>
    <row r="4054" spans="12:13">
      <c r="L4054" s="3">
        <v>44666.055555542465</v>
      </c>
      <c r="M4054" s="15"/>
    </row>
    <row r="4055" spans="12:13">
      <c r="L4055" s="3">
        <v>44666.059027764684</v>
      </c>
      <c r="M4055" s="15"/>
    </row>
    <row r="4056" spans="12:13">
      <c r="L4056" s="3">
        <v>44666.062499986903</v>
      </c>
      <c r="M4056" s="15"/>
    </row>
    <row r="4057" spans="12:13">
      <c r="L4057" s="3">
        <v>44666.065972209122</v>
      </c>
      <c r="M4057" s="15"/>
    </row>
    <row r="4058" spans="12:13">
      <c r="L4058" s="3">
        <v>44666.069444431341</v>
      </c>
      <c r="M4058" s="15"/>
    </row>
    <row r="4059" spans="12:13">
      <c r="L4059" s="3">
        <v>44666.07291665356</v>
      </c>
      <c r="M4059" s="15"/>
    </row>
    <row r="4060" spans="12:13">
      <c r="L4060" s="3">
        <v>44666.076388875779</v>
      </c>
      <c r="M4060" s="15"/>
    </row>
    <row r="4061" spans="12:13">
      <c r="L4061" s="3">
        <v>44666.079861097998</v>
      </c>
      <c r="M4061" s="15"/>
    </row>
    <row r="4062" spans="12:13">
      <c r="L4062" s="3">
        <v>44666.083333320217</v>
      </c>
      <c r="M4062" s="15"/>
    </row>
    <row r="4063" spans="12:13">
      <c r="L4063" s="3">
        <v>44666.086805542436</v>
      </c>
      <c r="M4063" s="15"/>
    </row>
    <row r="4064" spans="12:13">
      <c r="L4064" s="3">
        <v>44666.090277764655</v>
      </c>
      <c r="M4064" s="15"/>
    </row>
    <row r="4065" spans="12:13">
      <c r="L4065" s="3">
        <v>44666.093749986874</v>
      </c>
      <c r="M4065" s="15"/>
    </row>
    <row r="4066" spans="12:13">
      <c r="L4066" s="3">
        <v>44666.097222209093</v>
      </c>
      <c r="M4066" s="15"/>
    </row>
    <row r="4067" spans="12:13">
      <c r="L4067" s="3">
        <v>44666.100694431312</v>
      </c>
      <c r="M4067" s="15"/>
    </row>
    <row r="4068" spans="12:13">
      <c r="L4068" s="3">
        <v>44666.104166653531</v>
      </c>
      <c r="M4068" s="15"/>
    </row>
    <row r="4069" spans="12:13">
      <c r="L4069" s="3">
        <v>44666.10763887575</v>
      </c>
      <c r="M4069" s="15"/>
    </row>
    <row r="4070" spans="12:13">
      <c r="L4070" s="3">
        <v>44666.111111097969</v>
      </c>
      <c r="M4070" s="15"/>
    </row>
    <row r="4071" spans="12:13">
      <c r="L4071" s="3">
        <v>44666.114583320188</v>
      </c>
      <c r="M4071" s="15"/>
    </row>
    <row r="4072" spans="12:13">
      <c r="L4072" s="3">
        <v>44666.118055542407</v>
      </c>
      <c r="M4072" s="15"/>
    </row>
    <row r="4073" spans="12:13">
      <c r="L4073" s="3">
        <v>44666.121527764626</v>
      </c>
      <c r="M4073" s="15"/>
    </row>
    <row r="4074" spans="12:13">
      <c r="L4074" s="3">
        <v>44666.124999986845</v>
      </c>
      <c r="M4074" s="15"/>
    </row>
    <row r="4075" spans="12:13">
      <c r="L4075" s="3">
        <v>44666.128472209064</v>
      </c>
      <c r="M4075" s="15"/>
    </row>
    <row r="4076" spans="12:13">
      <c r="L4076" s="3">
        <v>44666.131944431283</v>
      </c>
      <c r="M4076" s="15"/>
    </row>
    <row r="4077" spans="12:13">
      <c r="L4077" s="3">
        <v>44666.135416653502</v>
      </c>
      <c r="M4077" s="15"/>
    </row>
    <row r="4078" spans="12:13">
      <c r="L4078" s="3">
        <v>44666.138888875721</v>
      </c>
      <c r="M4078" s="15"/>
    </row>
    <row r="4079" spans="12:13">
      <c r="L4079" s="3">
        <v>44666.14236109794</v>
      </c>
      <c r="M4079" s="15"/>
    </row>
    <row r="4080" spans="12:13">
      <c r="L4080" s="3">
        <v>44666.145833320159</v>
      </c>
      <c r="M4080" s="15"/>
    </row>
    <row r="4081" spans="12:13">
      <c r="L4081" s="3">
        <v>44666.149305542378</v>
      </c>
      <c r="M4081" s="15"/>
    </row>
    <row r="4082" spans="12:13">
      <c r="L4082" s="3">
        <v>44666.152777764597</v>
      </c>
      <c r="M4082" s="15"/>
    </row>
    <row r="4083" spans="12:13">
      <c r="L4083" s="3">
        <v>44666.156249986816</v>
      </c>
      <c r="M4083" s="15"/>
    </row>
    <row r="4084" spans="12:13">
      <c r="L4084" s="3">
        <v>44666.159722209035</v>
      </c>
      <c r="M4084" s="15"/>
    </row>
    <row r="4085" spans="12:13">
      <c r="L4085" s="3">
        <v>44666.163194431254</v>
      </c>
      <c r="M4085" s="15"/>
    </row>
    <row r="4086" spans="12:13">
      <c r="L4086" s="3">
        <v>44666.166666653473</v>
      </c>
      <c r="M4086" s="15"/>
    </row>
    <row r="4087" spans="12:13">
      <c r="L4087" s="3">
        <v>44666.170138875692</v>
      </c>
      <c r="M4087" s="15"/>
    </row>
    <row r="4088" spans="12:13">
      <c r="L4088" s="3">
        <v>44666.173611097911</v>
      </c>
      <c r="M4088" s="15"/>
    </row>
    <row r="4089" spans="12:13">
      <c r="L4089" s="3">
        <v>44666.17708332013</v>
      </c>
      <c r="M4089" s="15"/>
    </row>
    <row r="4090" spans="12:13">
      <c r="L4090" s="3">
        <v>44666.180555542349</v>
      </c>
      <c r="M4090" s="15"/>
    </row>
    <row r="4091" spans="12:13">
      <c r="L4091" s="3">
        <v>44666.184027764568</v>
      </c>
      <c r="M4091" s="15"/>
    </row>
    <row r="4092" spans="12:13">
      <c r="L4092" s="3">
        <v>44666.187499986787</v>
      </c>
      <c r="M4092" s="15"/>
    </row>
    <row r="4093" spans="12:13">
      <c r="L4093" s="3">
        <v>44666.190972209006</v>
      </c>
      <c r="M4093" s="15"/>
    </row>
    <row r="4094" spans="12:13">
      <c r="L4094" s="3">
        <v>44666.194444431225</v>
      </c>
      <c r="M4094" s="15"/>
    </row>
    <row r="4095" spans="12:13">
      <c r="L4095" s="3">
        <v>44666.197916653444</v>
      </c>
      <c r="M4095" s="15"/>
    </row>
    <row r="4096" spans="12:13">
      <c r="L4096" s="3">
        <v>44666.201388875663</v>
      </c>
      <c r="M4096" s="15"/>
    </row>
    <row r="4097" spans="12:13">
      <c r="L4097" s="3">
        <v>44666.204861097882</v>
      </c>
      <c r="M4097" s="15"/>
    </row>
    <row r="4098" spans="12:13">
      <c r="L4098" s="3">
        <v>44666.208333320101</v>
      </c>
      <c r="M4098" s="15"/>
    </row>
    <row r="4099" spans="12:13">
      <c r="L4099" s="3">
        <v>44666.21180554232</v>
      </c>
      <c r="M4099" s="15"/>
    </row>
    <row r="4100" spans="12:13">
      <c r="L4100" s="3">
        <v>44666.215277764539</v>
      </c>
      <c r="M4100" s="15"/>
    </row>
    <row r="4101" spans="12:13">
      <c r="L4101" s="3">
        <v>44666.218749986758</v>
      </c>
      <c r="M4101" s="15"/>
    </row>
    <row r="4102" spans="12:13">
      <c r="L4102" s="3">
        <v>44666.222222208977</v>
      </c>
      <c r="M4102" s="15"/>
    </row>
    <row r="4103" spans="12:13">
      <c r="L4103" s="3">
        <v>44666.225694431196</v>
      </c>
      <c r="M4103" s="15"/>
    </row>
    <row r="4104" spans="12:13">
      <c r="L4104" s="3">
        <v>44666.229166653415</v>
      </c>
      <c r="M4104" s="15"/>
    </row>
    <row r="4105" spans="12:13">
      <c r="L4105" s="3">
        <v>44666.232638875634</v>
      </c>
      <c r="M4105" s="15"/>
    </row>
    <row r="4106" spans="12:13">
      <c r="L4106" s="3">
        <v>44666.236111097853</v>
      </c>
      <c r="M4106" s="15"/>
    </row>
    <row r="4107" spans="12:13">
      <c r="L4107" s="3">
        <v>44666.239583320072</v>
      </c>
      <c r="M4107" s="15"/>
    </row>
    <row r="4108" spans="12:13">
      <c r="L4108" s="3">
        <v>44666.243055542291</v>
      </c>
      <c r="M4108" s="15"/>
    </row>
    <row r="4109" spans="12:13">
      <c r="L4109" s="3">
        <v>44666.24652776451</v>
      </c>
      <c r="M4109" s="15"/>
    </row>
    <row r="4110" spans="12:13">
      <c r="L4110" s="3">
        <v>44666.249999986729</v>
      </c>
      <c r="M4110" s="15"/>
    </row>
    <row r="4111" spans="12:13">
      <c r="L4111" s="3">
        <v>44666.253472208948</v>
      </c>
      <c r="M4111" s="15"/>
    </row>
    <row r="4112" spans="12:13">
      <c r="L4112" s="3">
        <v>44666.256944431167</v>
      </c>
      <c r="M4112" s="15"/>
    </row>
    <row r="4113" spans="12:13">
      <c r="L4113" s="3">
        <v>44666.260416653386</v>
      </c>
      <c r="M4113" s="15"/>
    </row>
    <row r="4114" spans="12:13">
      <c r="L4114" s="3">
        <v>44666.263888875605</v>
      </c>
      <c r="M4114" s="15"/>
    </row>
    <row r="4115" spans="12:13">
      <c r="L4115" s="3">
        <v>44666.267361097824</v>
      </c>
      <c r="M4115" s="15"/>
    </row>
    <row r="4116" spans="12:13">
      <c r="L4116" s="3">
        <v>44666.270833320043</v>
      </c>
      <c r="M4116" s="15"/>
    </row>
    <row r="4117" spans="12:13">
      <c r="L4117" s="3">
        <v>44666.274305542262</v>
      </c>
      <c r="M4117" s="15"/>
    </row>
    <row r="4118" spans="12:13">
      <c r="L4118" s="3">
        <v>44666.277777764481</v>
      </c>
      <c r="M4118" s="15"/>
    </row>
    <row r="4119" spans="12:13">
      <c r="L4119" s="3">
        <v>44666.2812499867</v>
      </c>
      <c r="M4119" s="15"/>
    </row>
    <row r="4120" spans="12:13">
      <c r="L4120" s="3">
        <v>44666.284722208919</v>
      </c>
      <c r="M4120" s="15"/>
    </row>
    <row r="4121" spans="12:13">
      <c r="L4121" s="3">
        <v>44666.288194431138</v>
      </c>
      <c r="M4121" s="15"/>
    </row>
    <row r="4122" spans="12:13">
      <c r="L4122" s="3">
        <v>44666.291666653357</v>
      </c>
      <c r="M4122" s="15"/>
    </row>
    <row r="4123" spans="12:13">
      <c r="L4123" s="3">
        <v>44666.295138875576</v>
      </c>
      <c r="M4123" s="15"/>
    </row>
    <row r="4124" spans="12:13">
      <c r="L4124" s="3">
        <v>44666.298611097794</v>
      </c>
      <c r="M4124" s="15"/>
    </row>
    <row r="4125" spans="12:13">
      <c r="L4125" s="3">
        <v>44666.302083320013</v>
      </c>
      <c r="M4125" s="15"/>
    </row>
    <row r="4126" spans="12:13">
      <c r="L4126" s="3">
        <v>44666.305555542232</v>
      </c>
      <c r="M4126" s="15"/>
    </row>
    <row r="4127" spans="12:13">
      <c r="L4127" s="3">
        <v>44666.309027764451</v>
      </c>
      <c r="M4127" s="15"/>
    </row>
    <row r="4128" spans="12:13">
      <c r="L4128" s="3">
        <v>44666.31249998667</v>
      </c>
      <c r="M4128" s="15"/>
    </row>
    <row r="4129" spans="12:13">
      <c r="L4129" s="3">
        <v>44666.315972208889</v>
      </c>
      <c r="M4129" s="15"/>
    </row>
    <row r="4130" spans="12:13">
      <c r="L4130" s="3">
        <v>44666.319444431108</v>
      </c>
      <c r="M4130" s="15"/>
    </row>
    <row r="4131" spans="12:13">
      <c r="L4131" s="3">
        <v>44666.322916653327</v>
      </c>
      <c r="M4131" s="15"/>
    </row>
    <row r="4132" spans="12:13">
      <c r="L4132" s="3">
        <v>44666.326388875546</v>
      </c>
      <c r="M4132" s="15"/>
    </row>
    <row r="4133" spans="12:13">
      <c r="L4133" s="3">
        <v>44666.329861097765</v>
      </c>
      <c r="M4133" s="15"/>
    </row>
    <row r="4134" spans="12:13">
      <c r="L4134" s="3">
        <v>44666.333333319984</v>
      </c>
      <c r="M4134" s="15"/>
    </row>
    <row r="4135" spans="12:13">
      <c r="L4135" s="3">
        <v>44666.336805542203</v>
      </c>
      <c r="M4135" s="15"/>
    </row>
    <row r="4136" spans="12:13">
      <c r="L4136" s="3">
        <v>44666.340277764422</v>
      </c>
      <c r="M4136" s="15"/>
    </row>
    <row r="4137" spans="12:13">
      <c r="L4137" s="3">
        <v>44666.343749986641</v>
      </c>
      <c r="M4137" s="15"/>
    </row>
    <row r="4138" spans="12:13">
      <c r="L4138" s="3">
        <v>44666.34722220886</v>
      </c>
      <c r="M4138" s="15"/>
    </row>
    <row r="4139" spans="12:13">
      <c r="L4139" s="3">
        <v>44666.350694431079</v>
      </c>
      <c r="M4139" s="15"/>
    </row>
    <row r="4140" spans="12:13">
      <c r="L4140" s="3">
        <v>44666.354166653298</v>
      </c>
      <c r="M4140" s="15"/>
    </row>
    <row r="4141" spans="12:13">
      <c r="L4141" s="3">
        <v>44666.357638875517</v>
      </c>
      <c r="M4141" s="15"/>
    </row>
    <row r="4142" spans="12:13">
      <c r="L4142" s="3">
        <v>44666.361111097736</v>
      </c>
      <c r="M4142" s="15"/>
    </row>
    <row r="4143" spans="12:13">
      <c r="L4143" s="3">
        <v>44666.364583319955</v>
      </c>
      <c r="M4143" s="15"/>
    </row>
    <row r="4144" spans="12:13">
      <c r="L4144" s="3">
        <v>44666.368055542174</v>
      </c>
      <c r="M4144" s="15"/>
    </row>
    <row r="4145" spans="12:13">
      <c r="L4145" s="3">
        <v>44666.371527764393</v>
      </c>
      <c r="M4145" s="15"/>
    </row>
    <row r="4146" spans="12:13">
      <c r="L4146" s="3">
        <v>44666.374999986612</v>
      </c>
      <c r="M4146" s="15"/>
    </row>
    <row r="4147" spans="12:13">
      <c r="L4147" s="3">
        <v>44666.378472208831</v>
      </c>
      <c r="M4147" s="15"/>
    </row>
    <row r="4148" spans="12:13">
      <c r="L4148" s="3">
        <v>44666.38194443105</v>
      </c>
      <c r="M4148" s="15"/>
    </row>
    <row r="4149" spans="12:13">
      <c r="L4149" s="3">
        <v>44666.385416653269</v>
      </c>
      <c r="M4149" s="15"/>
    </row>
    <row r="4150" spans="12:13">
      <c r="L4150" s="3">
        <v>44666.388888875488</v>
      </c>
      <c r="M4150" s="15"/>
    </row>
    <row r="4151" spans="12:13">
      <c r="L4151" s="3">
        <v>44666.392361097707</v>
      </c>
      <c r="M4151" s="15"/>
    </row>
    <row r="4152" spans="12:13">
      <c r="L4152" s="3">
        <v>44666.395833319926</v>
      </c>
      <c r="M4152" s="15"/>
    </row>
    <row r="4153" spans="12:13">
      <c r="L4153" s="3">
        <v>44666.399305542145</v>
      </c>
      <c r="M4153" s="15"/>
    </row>
    <row r="4154" spans="12:13">
      <c r="L4154" s="3">
        <v>44666.402777764364</v>
      </c>
      <c r="M4154" s="15"/>
    </row>
    <row r="4155" spans="12:13">
      <c r="L4155" s="3">
        <v>44666.406249986583</v>
      </c>
      <c r="M4155" s="15"/>
    </row>
    <row r="4156" spans="12:13">
      <c r="L4156" s="3">
        <v>44666.409722208802</v>
      </c>
      <c r="M4156" s="15"/>
    </row>
    <row r="4157" spans="12:13">
      <c r="L4157" s="3">
        <v>44666.413194431021</v>
      </c>
      <c r="M4157" s="15"/>
    </row>
    <row r="4158" spans="12:13">
      <c r="L4158" s="3">
        <v>44666.41666665324</v>
      </c>
      <c r="M4158" s="15"/>
    </row>
    <row r="4159" spans="12:13">
      <c r="L4159" s="3">
        <v>44666.420138875459</v>
      </c>
      <c r="M4159" s="15"/>
    </row>
    <row r="4160" spans="12:13">
      <c r="L4160" s="3">
        <v>44666.423611097678</v>
      </c>
      <c r="M4160" s="15"/>
    </row>
    <row r="4161" spans="12:13">
      <c r="L4161" s="3">
        <v>44666.427083319897</v>
      </c>
      <c r="M4161" s="15"/>
    </row>
    <row r="4162" spans="12:13">
      <c r="L4162" s="3">
        <v>44666.430555542116</v>
      </c>
      <c r="M4162" s="15"/>
    </row>
    <row r="4163" spans="12:13">
      <c r="L4163" s="3">
        <v>44666.434027764335</v>
      </c>
      <c r="M4163" s="15"/>
    </row>
    <row r="4164" spans="12:13">
      <c r="L4164" s="3">
        <v>44666.437499986554</v>
      </c>
      <c r="M4164" s="15"/>
    </row>
    <row r="4165" spans="12:13">
      <c r="L4165" s="3">
        <v>44666.440972208773</v>
      </c>
      <c r="M4165" s="15"/>
    </row>
    <row r="4166" spans="12:13">
      <c r="L4166" s="3">
        <v>44666.444444430992</v>
      </c>
      <c r="M4166" s="15"/>
    </row>
    <row r="4167" spans="12:13">
      <c r="L4167" s="3">
        <v>44666.447916653211</v>
      </c>
      <c r="M4167" s="15"/>
    </row>
    <row r="4168" spans="12:13">
      <c r="L4168" s="3">
        <v>44666.45138887543</v>
      </c>
      <c r="M4168" s="15"/>
    </row>
    <row r="4169" spans="12:13">
      <c r="L4169" s="3">
        <v>44666.454861097649</v>
      </c>
      <c r="M4169" s="15"/>
    </row>
    <row r="4170" spans="12:13">
      <c r="L4170" s="3">
        <v>44666.458333319868</v>
      </c>
      <c r="M4170" s="15"/>
    </row>
    <row r="4171" spans="12:13">
      <c r="L4171" s="3">
        <v>44666.461805542087</v>
      </c>
      <c r="M4171" s="15"/>
    </row>
    <row r="4172" spans="12:13">
      <c r="L4172" s="3">
        <v>44666.465277764306</v>
      </c>
      <c r="M4172" s="15"/>
    </row>
    <row r="4173" spans="12:13">
      <c r="L4173" s="3">
        <v>44666.468749986525</v>
      </c>
      <c r="M4173" s="15"/>
    </row>
    <row r="4174" spans="12:13">
      <c r="L4174" s="3">
        <v>44666.472222208744</v>
      </c>
      <c r="M4174" s="15"/>
    </row>
    <row r="4175" spans="12:13">
      <c r="L4175" s="3">
        <v>44666.475694430963</v>
      </c>
      <c r="M4175" s="15"/>
    </row>
    <row r="4176" spans="12:13">
      <c r="L4176" s="3">
        <v>44666.479166653182</v>
      </c>
      <c r="M4176" s="15"/>
    </row>
    <row r="4177" spans="12:13">
      <c r="L4177" s="3">
        <v>44666.482638875401</v>
      </c>
      <c r="M4177" s="15"/>
    </row>
    <row r="4178" spans="12:13">
      <c r="L4178" s="3">
        <v>44666.48611109762</v>
      </c>
      <c r="M4178" s="15"/>
    </row>
    <row r="4179" spans="12:13">
      <c r="L4179" s="3">
        <v>44666.489583319839</v>
      </c>
      <c r="M4179" s="15"/>
    </row>
    <row r="4180" spans="12:13">
      <c r="L4180" s="3">
        <v>44666.493055542058</v>
      </c>
      <c r="M4180" s="15"/>
    </row>
    <row r="4181" spans="12:13">
      <c r="L4181" s="3">
        <v>44666.496527764277</v>
      </c>
      <c r="M4181" s="15"/>
    </row>
    <row r="4182" spans="12:13">
      <c r="L4182" s="3">
        <v>44666.499999986496</v>
      </c>
      <c r="M4182" s="15"/>
    </row>
    <row r="4183" spans="12:13">
      <c r="L4183" s="3">
        <v>44666.503472208715</v>
      </c>
      <c r="M4183" s="15"/>
    </row>
    <row r="4184" spans="12:13">
      <c r="L4184" s="3">
        <v>44666.506944430934</v>
      </c>
      <c r="M4184" s="15"/>
    </row>
    <row r="4185" spans="12:13">
      <c r="L4185" s="3">
        <v>44666.510416653153</v>
      </c>
      <c r="M4185" s="15"/>
    </row>
    <row r="4186" spans="12:13">
      <c r="L4186" s="3">
        <v>44666.513888875372</v>
      </c>
      <c r="M4186" s="15"/>
    </row>
    <row r="4187" spans="12:13">
      <c r="L4187" s="3">
        <v>44666.517361097591</v>
      </c>
      <c r="M4187" s="15"/>
    </row>
    <row r="4188" spans="12:13">
      <c r="L4188" s="3">
        <v>44666.52083331981</v>
      </c>
      <c r="M4188" s="15"/>
    </row>
    <row r="4189" spans="12:13">
      <c r="L4189" s="3">
        <v>44666.524305542029</v>
      </c>
      <c r="M4189" s="15"/>
    </row>
    <row r="4190" spans="12:13">
      <c r="L4190" s="3">
        <v>44666.527777764248</v>
      </c>
      <c r="M4190" s="15"/>
    </row>
    <row r="4191" spans="12:13">
      <c r="L4191" s="3">
        <v>44666.531249986467</v>
      </c>
      <c r="M4191" s="15"/>
    </row>
    <row r="4192" spans="12:13">
      <c r="L4192" s="3">
        <v>44666.534722208686</v>
      </c>
      <c r="M4192" s="15"/>
    </row>
    <row r="4193" spans="12:13">
      <c r="L4193" s="3">
        <v>44666.538194430905</v>
      </c>
      <c r="M4193" s="15"/>
    </row>
    <row r="4194" spans="12:13">
      <c r="L4194" s="3">
        <v>44666.541666653124</v>
      </c>
      <c r="M4194" s="15"/>
    </row>
    <row r="4195" spans="12:13">
      <c r="L4195" s="3">
        <v>44666.545138875343</v>
      </c>
      <c r="M4195" s="15"/>
    </row>
    <row r="4196" spans="12:13">
      <c r="L4196" s="3">
        <v>44666.548611097562</v>
      </c>
      <c r="M4196" s="15"/>
    </row>
    <row r="4197" spans="12:13">
      <c r="L4197" s="3">
        <v>44666.552083319781</v>
      </c>
      <c r="M4197" s="15"/>
    </row>
    <row r="4198" spans="12:13">
      <c r="L4198" s="3">
        <v>44666.555555542</v>
      </c>
      <c r="M4198" s="15"/>
    </row>
    <row r="4199" spans="12:13">
      <c r="L4199" s="3">
        <v>44666.559027764219</v>
      </c>
      <c r="M4199" s="15"/>
    </row>
    <row r="4200" spans="12:13">
      <c r="L4200" s="3">
        <v>44666.562499986438</v>
      </c>
      <c r="M4200" s="15"/>
    </row>
    <row r="4201" spans="12:13">
      <c r="L4201" s="3">
        <v>44666.565972208657</v>
      </c>
      <c r="M4201" s="15"/>
    </row>
    <row r="4202" spans="12:13">
      <c r="L4202" s="3">
        <v>44666.569444430876</v>
      </c>
      <c r="M4202" s="15"/>
    </row>
    <row r="4203" spans="12:13">
      <c r="L4203" s="3">
        <v>44666.572916653095</v>
      </c>
      <c r="M4203" s="15"/>
    </row>
    <row r="4204" spans="12:13">
      <c r="L4204" s="3">
        <v>44666.576388875314</v>
      </c>
      <c r="M4204" s="15"/>
    </row>
    <row r="4205" spans="12:13">
      <c r="L4205" s="3">
        <v>44666.579861097533</v>
      </c>
      <c r="M4205" s="15"/>
    </row>
    <row r="4206" spans="12:13">
      <c r="L4206" s="3">
        <v>44666.583333319752</v>
      </c>
      <c r="M4206" s="15"/>
    </row>
    <row r="4207" spans="12:13">
      <c r="L4207" s="3">
        <v>44666.586805541971</v>
      </c>
      <c r="M4207" s="15"/>
    </row>
    <row r="4208" spans="12:13">
      <c r="L4208" s="3">
        <v>44666.59027776419</v>
      </c>
      <c r="M4208" s="15"/>
    </row>
    <row r="4209" spans="12:13">
      <c r="L4209" s="3">
        <v>44666.593749986409</v>
      </c>
      <c r="M4209" s="15"/>
    </row>
    <row r="4210" spans="12:13">
      <c r="L4210" s="3">
        <v>44666.597222208627</v>
      </c>
      <c r="M4210" s="15"/>
    </row>
    <row r="4211" spans="12:13">
      <c r="L4211" s="3">
        <v>44666.600694430846</v>
      </c>
      <c r="M4211" s="15"/>
    </row>
    <row r="4212" spans="12:13">
      <c r="L4212" s="3">
        <v>44666.604166653065</v>
      </c>
      <c r="M4212" s="15"/>
    </row>
    <row r="4213" spans="12:13">
      <c r="L4213" s="3">
        <v>44666.607638875284</v>
      </c>
      <c r="M4213" s="15"/>
    </row>
    <row r="4214" spans="12:13">
      <c r="L4214" s="3">
        <v>44666.611111097503</v>
      </c>
      <c r="M4214" s="15"/>
    </row>
    <row r="4215" spans="12:13">
      <c r="L4215" s="3">
        <v>44666.614583319722</v>
      </c>
      <c r="M4215" s="15"/>
    </row>
    <row r="4216" spans="12:13">
      <c r="L4216" s="3">
        <v>44666.618055541941</v>
      </c>
      <c r="M4216" s="15"/>
    </row>
    <row r="4217" spans="12:13">
      <c r="L4217" s="3">
        <v>44666.62152776416</v>
      </c>
      <c r="M4217" s="15"/>
    </row>
    <row r="4218" spans="12:13">
      <c r="L4218" s="3">
        <v>44666.624999986379</v>
      </c>
      <c r="M4218" s="15"/>
    </row>
    <row r="4219" spans="12:13">
      <c r="L4219" s="3">
        <v>44666.628472208598</v>
      </c>
      <c r="M4219" s="15"/>
    </row>
    <row r="4220" spans="12:13">
      <c r="L4220" s="3">
        <v>44666.631944430817</v>
      </c>
      <c r="M4220" s="15"/>
    </row>
    <row r="4221" spans="12:13">
      <c r="L4221" s="3">
        <v>44666.635416653036</v>
      </c>
      <c r="M4221" s="15"/>
    </row>
    <row r="4222" spans="12:13">
      <c r="L4222" s="3">
        <v>44666.638888875255</v>
      </c>
      <c r="M4222" s="15"/>
    </row>
    <row r="4223" spans="12:13">
      <c r="L4223" s="3">
        <v>44666.642361097474</v>
      </c>
      <c r="M4223" s="15"/>
    </row>
    <row r="4224" spans="12:13">
      <c r="L4224" s="3">
        <v>44666.645833319693</v>
      </c>
      <c r="M4224" s="15"/>
    </row>
    <row r="4225" spans="12:13">
      <c r="L4225" s="3">
        <v>44666.649305541912</v>
      </c>
      <c r="M4225" s="15"/>
    </row>
    <row r="4226" spans="12:13">
      <c r="L4226" s="3">
        <v>44666.652777764131</v>
      </c>
      <c r="M4226" s="15"/>
    </row>
    <row r="4227" spans="12:13">
      <c r="L4227" s="3">
        <v>44666.65624998635</v>
      </c>
      <c r="M4227" s="15"/>
    </row>
    <row r="4228" spans="12:13">
      <c r="L4228" s="3">
        <v>44666.659722208569</v>
      </c>
      <c r="M4228" s="15"/>
    </row>
    <row r="4229" spans="12:13">
      <c r="L4229" s="3">
        <v>44666.663194430788</v>
      </c>
      <c r="M4229" s="15"/>
    </row>
    <row r="4230" spans="12:13">
      <c r="L4230" s="3">
        <v>44666.666666653007</v>
      </c>
      <c r="M4230" s="15"/>
    </row>
    <row r="4231" spans="12:13">
      <c r="L4231" s="3">
        <v>44666.670138875226</v>
      </c>
      <c r="M4231" s="15"/>
    </row>
    <row r="4232" spans="12:13">
      <c r="L4232" s="3">
        <v>44666.673611097445</v>
      </c>
      <c r="M4232" s="15"/>
    </row>
    <row r="4233" spans="12:13">
      <c r="L4233" s="3">
        <v>44666.677083319664</v>
      </c>
      <c r="M4233" s="15"/>
    </row>
    <row r="4234" spans="12:13">
      <c r="L4234" s="3">
        <v>44666.680555541883</v>
      </c>
      <c r="M4234" s="15"/>
    </row>
    <row r="4235" spans="12:13">
      <c r="L4235" s="3">
        <v>44666.684027764102</v>
      </c>
      <c r="M4235" s="15"/>
    </row>
    <row r="4236" spans="12:13">
      <c r="L4236" s="3">
        <v>44666.687499986321</v>
      </c>
      <c r="M4236" s="15"/>
    </row>
    <row r="4237" spans="12:13">
      <c r="L4237" s="3">
        <v>44666.69097220854</v>
      </c>
      <c r="M4237" s="15"/>
    </row>
    <row r="4238" spans="12:13">
      <c r="L4238" s="3">
        <v>44666.694444430759</v>
      </c>
      <c r="M4238" s="15"/>
    </row>
    <row r="4239" spans="12:13">
      <c r="L4239" s="3">
        <v>44666.697916652978</v>
      </c>
      <c r="M4239" s="15"/>
    </row>
    <row r="4240" spans="12:13">
      <c r="L4240" s="3">
        <v>44666.701388875197</v>
      </c>
      <c r="M4240" s="15"/>
    </row>
    <row r="4241" spans="12:13">
      <c r="L4241" s="3">
        <v>44666.704861097416</v>
      </c>
      <c r="M4241" s="15"/>
    </row>
    <row r="4242" spans="12:13">
      <c r="L4242" s="3">
        <v>44666.708333319635</v>
      </c>
      <c r="M4242" s="15"/>
    </row>
    <row r="4243" spans="12:13">
      <c r="L4243" s="3">
        <v>44666.711805541854</v>
      </c>
      <c r="M4243" s="15"/>
    </row>
    <row r="4244" spans="12:13">
      <c r="L4244" s="3">
        <v>44666.715277764073</v>
      </c>
      <c r="M4244" s="15"/>
    </row>
    <row r="4245" spans="12:13">
      <c r="L4245" s="3">
        <v>44666.718749986292</v>
      </c>
      <c r="M4245" s="15"/>
    </row>
    <row r="4246" spans="12:13">
      <c r="L4246" s="3">
        <v>44666.722222208511</v>
      </c>
      <c r="M4246" s="15"/>
    </row>
    <row r="4247" spans="12:13">
      <c r="L4247" s="3">
        <v>44666.72569443073</v>
      </c>
      <c r="M4247" s="15"/>
    </row>
    <row r="4248" spans="12:13">
      <c r="L4248" s="3">
        <v>44666.729166652949</v>
      </c>
      <c r="M4248" s="15"/>
    </row>
    <row r="4249" spans="12:13">
      <c r="L4249" s="3">
        <v>44666.732638875168</v>
      </c>
      <c r="M4249" s="15"/>
    </row>
    <row r="4250" spans="12:13">
      <c r="L4250" s="3">
        <v>44666.736111097387</v>
      </c>
      <c r="M4250" s="15"/>
    </row>
    <row r="4251" spans="12:13">
      <c r="L4251" s="3">
        <v>44666.739583319606</v>
      </c>
      <c r="M4251" s="15"/>
    </row>
    <row r="4252" spans="12:13">
      <c r="L4252" s="3">
        <v>44666.743055541825</v>
      </c>
      <c r="M4252" s="15"/>
    </row>
    <row r="4253" spans="12:13">
      <c r="L4253" s="3">
        <v>44666.746527764044</v>
      </c>
      <c r="M4253" s="15"/>
    </row>
    <row r="4254" spans="12:13">
      <c r="L4254" s="3">
        <v>44666.749999986263</v>
      </c>
      <c r="M4254" s="15"/>
    </row>
    <row r="4255" spans="12:13">
      <c r="L4255" s="3">
        <v>44666.753472208482</v>
      </c>
      <c r="M4255" s="15"/>
    </row>
    <row r="4256" spans="12:13">
      <c r="L4256" s="3">
        <v>44666.756944430701</v>
      </c>
      <c r="M4256" s="15"/>
    </row>
    <row r="4257" spans="12:13">
      <c r="L4257" s="3">
        <v>44666.76041665292</v>
      </c>
      <c r="M4257" s="15"/>
    </row>
    <row r="4258" spans="12:13">
      <c r="L4258" s="3">
        <v>44666.763888875139</v>
      </c>
      <c r="M4258" s="15"/>
    </row>
    <row r="4259" spans="12:13">
      <c r="L4259" s="3">
        <v>44666.767361097358</v>
      </c>
      <c r="M4259" s="15"/>
    </row>
    <row r="4260" spans="12:13">
      <c r="L4260" s="3">
        <v>44666.770833319577</v>
      </c>
      <c r="M4260" s="15"/>
    </row>
    <row r="4261" spans="12:13">
      <c r="L4261" s="3">
        <v>44666.774305541796</v>
      </c>
      <c r="M4261" s="15"/>
    </row>
    <row r="4262" spans="12:13">
      <c r="L4262" s="3">
        <v>44666.777777764015</v>
      </c>
      <c r="M4262" s="15"/>
    </row>
    <row r="4263" spans="12:13">
      <c r="L4263" s="3">
        <v>44666.781249986234</v>
      </c>
      <c r="M4263" s="15"/>
    </row>
    <row r="4264" spans="12:13">
      <c r="L4264" s="3">
        <v>44666.784722208453</v>
      </c>
      <c r="M4264" s="15"/>
    </row>
    <row r="4265" spans="12:13">
      <c r="L4265" s="3">
        <v>44666.788194430672</v>
      </c>
      <c r="M4265" s="15"/>
    </row>
    <row r="4266" spans="12:13">
      <c r="L4266" s="3">
        <v>44666.791666652891</v>
      </c>
      <c r="M4266" s="15"/>
    </row>
    <row r="4267" spans="12:13">
      <c r="L4267" s="3">
        <v>44666.79513887511</v>
      </c>
      <c r="M4267" s="15"/>
    </row>
    <row r="4268" spans="12:13">
      <c r="L4268" s="3">
        <v>44666.798611097329</v>
      </c>
      <c r="M4268" s="15"/>
    </row>
    <row r="4269" spans="12:13">
      <c r="L4269" s="3">
        <v>44666.802083319548</v>
      </c>
      <c r="M4269" s="15"/>
    </row>
    <row r="4270" spans="12:13">
      <c r="L4270" s="3">
        <v>44666.805555541767</v>
      </c>
      <c r="M4270" s="15"/>
    </row>
    <row r="4271" spans="12:13">
      <c r="L4271" s="3">
        <v>44666.809027763986</v>
      </c>
      <c r="M4271" s="15"/>
    </row>
    <row r="4272" spans="12:13">
      <c r="L4272" s="3">
        <v>44666.812499986205</v>
      </c>
      <c r="M4272" s="15"/>
    </row>
    <row r="4273" spans="12:13">
      <c r="L4273" s="3">
        <v>44666.815972208424</v>
      </c>
      <c r="M4273" s="15"/>
    </row>
    <row r="4274" spans="12:13">
      <c r="L4274" s="3">
        <v>44666.819444430643</v>
      </c>
      <c r="M4274" s="15"/>
    </row>
    <row r="4275" spans="12:13">
      <c r="L4275" s="3">
        <v>44666.822916652862</v>
      </c>
      <c r="M4275" s="15"/>
    </row>
    <row r="4276" spans="12:13">
      <c r="L4276" s="3">
        <v>44666.826388875081</v>
      </c>
      <c r="M4276" s="15"/>
    </row>
    <row r="4277" spans="12:13">
      <c r="L4277" s="3">
        <v>44666.8298610973</v>
      </c>
      <c r="M4277" s="15"/>
    </row>
    <row r="4278" spans="12:13">
      <c r="L4278" s="3">
        <v>44666.833333319519</v>
      </c>
      <c r="M4278" s="15"/>
    </row>
    <row r="4279" spans="12:13">
      <c r="L4279" s="3">
        <v>44666.836805541738</v>
      </c>
      <c r="M4279" s="15"/>
    </row>
    <row r="4280" spans="12:13">
      <c r="L4280" s="3">
        <v>44666.840277763957</v>
      </c>
      <c r="M4280" s="15"/>
    </row>
    <row r="4281" spans="12:13">
      <c r="L4281" s="3">
        <v>44666.843749986176</v>
      </c>
      <c r="M4281" s="15"/>
    </row>
    <row r="4282" spans="12:13">
      <c r="L4282" s="3">
        <v>44666.847222208395</v>
      </c>
      <c r="M4282" s="15"/>
    </row>
    <row r="4283" spans="12:13">
      <c r="L4283" s="3">
        <v>44666.850694430614</v>
      </c>
      <c r="M4283" s="15"/>
    </row>
    <row r="4284" spans="12:13">
      <c r="L4284" s="3">
        <v>44666.854166652833</v>
      </c>
      <c r="M4284" s="15"/>
    </row>
    <row r="4285" spans="12:13">
      <c r="L4285" s="3">
        <v>44666.857638875052</v>
      </c>
      <c r="M4285" s="15"/>
    </row>
    <row r="4286" spans="12:13">
      <c r="L4286" s="3">
        <v>44666.861111097271</v>
      </c>
      <c r="M4286" s="15"/>
    </row>
    <row r="4287" spans="12:13">
      <c r="L4287" s="3">
        <v>44666.86458331949</v>
      </c>
      <c r="M4287" s="15"/>
    </row>
    <row r="4288" spans="12:13">
      <c r="L4288" s="3">
        <v>44666.868055541709</v>
      </c>
      <c r="M4288" s="15"/>
    </row>
    <row r="4289" spans="12:13">
      <c r="L4289" s="3">
        <v>44666.871527763928</v>
      </c>
      <c r="M4289" s="15"/>
    </row>
    <row r="4290" spans="12:13">
      <c r="L4290" s="3">
        <v>44666.874999986147</v>
      </c>
      <c r="M4290" s="15"/>
    </row>
    <row r="4291" spans="12:13">
      <c r="L4291" s="3">
        <v>44666.878472208366</v>
      </c>
      <c r="M4291" s="15"/>
    </row>
    <row r="4292" spans="12:13">
      <c r="L4292" s="3">
        <v>44666.881944430585</v>
      </c>
      <c r="M4292" s="15"/>
    </row>
    <row r="4293" spans="12:13">
      <c r="L4293" s="3">
        <v>44666.885416652804</v>
      </c>
      <c r="M4293" s="15"/>
    </row>
    <row r="4294" spans="12:13">
      <c r="L4294" s="3">
        <v>44666.888888875023</v>
      </c>
      <c r="M4294" s="15"/>
    </row>
    <row r="4295" spans="12:13">
      <c r="L4295" s="3">
        <v>44666.892361097242</v>
      </c>
      <c r="M4295" s="15"/>
    </row>
    <row r="4296" spans="12:13">
      <c r="L4296" s="3">
        <v>44666.895833319461</v>
      </c>
      <c r="M4296" s="15"/>
    </row>
    <row r="4297" spans="12:13">
      <c r="L4297" s="3">
        <v>44666.899305541679</v>
      </c>
      <c r="M4297" s="15"/>
    </row>
    <row r="4298" spans="12:13">
      <c r="L4298" s="3">
        <v>44666.902777763898</v>
      </c>
      <c r="M4298" s="15"/>
    </row>
    <row r="4299" spans="12:13">
      <c r="L4299" s="3">
        <v>44666.906249986117</v>
      </c>
      <c r="M4299" s="15"/>
    </row>
    <row r="4300" spans="12:13">
      <c r="L4300" s="3">
        <v>44666.909722208336</v>
      </c>
      <c r="M4300" s="15"/>
    </row>
    <row r="4301" spans="12:13">
      <c r="L4301" s="3">
        <v>44666.913194430555</v>
      </c>
      <c r="M4301" s="15"/>
    </row>
    <row r="4302" spans="12:13">
      <c r="L4302" s="3">
        <v>44666.916666652774</v>
      </c>
      <c r="M4302" s="15"/>
    </row>
    <row r="4303" spans="12:13">
      <c r="L4303" s="3">
        <v>44666.920138874993</v>
      </c>
      <c r="M4303" s="15"/>
    </row>
    <row r="4304" spans="12:13">
      <c r="L4304" s="3">
        <v>44666.923611097212</v>
      </c>
      <c r="M4304" s="15"/>
    </row>
    <row r="4305" spans="12:13">
      <c r="L4305" s="3">
        <v>44666.927083319431</v>
      </c>
      <c r="M4305" s="15"/>
    </row>
    <row r="4306" spans="12:13">
      <c r="L4306" s="3">
        <v>44666.93055554165</v>
      </c>
      <c r="M4306" s="15"/>
    </row>
    <row r="4307" spans="12:13">
      <c r="L4307" s="3">
        <v>44666.934027763869</v>
      </c>
      <c r="M4307" s="15"/>
    </row>
    <row r="4308" spans="12:13">
      <c r="L4308" s="3">
        <v>44666.937499986088</v>
      </c>
      <c r="M4308" s="15"/>
    </row>
    <row r="4309" spans="12:13">
      <c r="L4309" s="3">
        <v>44666.940972208307</v>
      </c>
      <c r="M4309" s="15"/>
    </row>
    <row r="4310" spans="12:13">
      <c r="L4310" s="3">
        <v>44666.944444430526</v>
      </c>
      <c r="M4310" s="15"/>
    </row>
    <row r="4311" spans="12:13">
      <c r="L4311" s="3">
        <v>44666.947916652745</v>
      </c>
      <c r="M4311" s="15"/>
    </row>
    <row r="4312" spans="12:13">
      <c r="L4312" s="3">
        <v>44666.951388874964</v>
      </c>
      <c r="M4312" s="15"/>
    </row>
    <row r="4313" spans="12:13">
      <c r="L4313" s="3">
        <v>44666.954861097183</v>
      </c>
      <c r="M4313" s="15"/>
    </row>
    <row r="4314" spans="12:13">
      <c r="L4314" s="3">
        <v>44666.958333319402</v>
      </c>
      <c r="M4314" s="15"/>
    </row>
    <row r="4315" spans="12:13">
      <c r="L4315" s="3">
        <v>44666.961805541621</v>
      </c>
      <c r="M4315" s="15"/>
    </row>
    <row r="4316" spans="12:13">
      <c r="L4316" s="3">
        <v>44666.96527776384</v>
      </c>
      <c r="M4316" s="15"/>
    </row>
    <row r="4317" spans="12:13">
      <c r="L4317" s="3">
        <v>44666.968749986059</v>
      </c>
      <c r="M4317" s="15"/>
    </row>
    <row r="4318" spans="12:13">
      <c r="L4318" s="3">
        <v>44666.972222208278</v>
      </c>
      <c r="M4318" s="15"/>
    </row>
    <row r="4319" spans="12:13">
      <c r="L4319" s="3">
        <v>44666.975694430497</v>
      </c>
      <c r="M4319" s="15"/>
    </row>
    <row r="4320" spans="12:13">
      <c r="L4320" s="3">
        <v>44666.979166652716</v>
      </c>
      <c r="M4320" s="15"/>
    </row>
    <row r="4321" spans="12:13">
      <c r="L4321" s="3">
        <v>44666.982638874935</v>
      </c>
      <c r="M4321" s="15"/>
    </row>
    <row r="4322" spans="12:13">
      <c r="L4322" s="3">
        <v>44666.986111097154</v>
      </c>
      <c r="M4322" s="15"/>
    </row>
    <row r="4323" spans="12:13">
      <c r="L4323" s="3">
        <v>44666.989583319373</v>
      </c>
      <c r="M4323" s="15"/>
    </row>
    <row r="4324" spans="12:13">
      <c r="L4324" s="3">
        <v>44666.993055541592</v>
      </c>
      <c r="M4324" s="15"/>
    </row>
    <row r="4325" spans="12:13">
      <c r="L4325" s="3">
        <v>44666.996527763811</v>
      </c>
      <c r="M4325" s="15"/>
    </row>
    <row r="4326" spans="12:13">
      <c r="L4326" s="3">
        <v>44666.99999998603</v>
      </c>
      <c r="M4326" s="15"/>
    </row>
    <row r="4327" spans="12:13">
      <c r="L4327" s="3">
        <v>44667.003472208249</v>
      </c>
      <c r="M4327" s="15"/>
    </row>
    <row r="4328" spans="12:13">
      <c r="L4328" s="3">
        <v>44667.006944430468</v>
      </c>
      <c r="M4328" s="15"/>
    </row>
    <row r="4329" spans="12:13">
      <c r="L4329" s="3">
        <v>44667.010416652687</v>
      </c>
      <c r="M4329" s="15"/>
    </row>
    <row r="4330" spans="12:13">
      <c r="L4330" s="3">
        <v>44667.013888874906</v>
      </c>
      <c r="M4330" s="15"/>
    </row>
    <row r="4331" spans="12:13">
      <c r="L4331" s="3">
        <v>44667.017361097125</v>
      </c>
      <c r="M4331" s="15"/>
    </row>
    <row r="4332" spans="12:13">
      <c r="L4332" s="3">
        <v>44667.020833319344</v>
      </c>
      <c r="M4332" s="15"/>
    </row>
    <row r="4333" spans="12:13">
      <c r="L4333" s="3">
        <v>44667.024305541563</v>
      </c>
      <c r="M4333" s="15"/>
    </row>
    <row r="4334" spans="12:13">
      <c r="L4334" s="3">
        <v>44667.027777763782</v>
      </c>
      <c r="M4334" s="15"/>
    </row>
    <row r="4335" spans="12:13">
      <c r="L4335" s="3">
        <v>44667.031249986001</v>
      </c>
      <c r="M4335" s="15"/>
    </row>
    <row r="4336" spans="12:13">
      <c r="L4336" s="3">
        <v>44667.03472220822</v>
      </c>
      <c r="M4336" s="15"/>
    </row>
    <row r="4337" spans="12:13">
      <c r="L4337" s="3">
        <v>44667.038194430439</v>
      </c>
      <c r="M4337" s="15"/>
    </row>
    <row r="4338" spans="12:13">
      <c r="L4338" s="3">
        <v>44667.041666652658</v>
      </c>
      <c r="M4338" s="15"/>
    </row>
    <row r="4339" spans="12:13">
      <c r="L4339" s="3">
        <v>44667.045138874877</v>
      </c>
      <c r="M4339" s="15"/>
    </row>
    <row r="4340" spans="12:13">
      <c r="L4340" s="3">
        <v>44667.048611097096</v>
      </c>
      <c r="M4340" s="15"/>
    </row>
    <row r="4341" spans="12:13">
      <c r="L4341" s="3">
        <v>44667.052083319315</v>
      </c>
      <c r="M4341" s="15"/>
    </row>
    <row r="4342" spans="12:13">
      <c r="L4342" s="3">
        <v>44667.055555541534</v>
      </c>
      <c r="M4342" s="15"/>
    </row>
    <row r="4343" spans="12:13">
      <c r="L4343" s="3">
        <v>44667.059027763753</v>
      </c>
      <c r="M4343" s="15"/>
    </row>
    <row r="4344" spans="12:13">
      <c r="L4344" s="3">
        <v>44667.062499985972</v>
      </c>
      <c r="M4344" s="15"/>
    </row>
    <row r="4345" spans="12:13">
      <c r="L4345" s="3">
        <v>44667.065972208191</v>
      </c>
      <c r="M4345" s="15"/>
    </row>
    <row r="4346" spans="12:13">
      <c r="L4346" s="3">
        <v>44667.06944443041</v>
      </c>
      <c r="M4346" s="15"/>
    </row>
    <row r="4347" spans="12:13">
      <c r="L4347" s="3">
        <v>44667.072916652629</v>
      </c>
      <c r="M4347" s="15"/>
    </row>
    <row r="4348" spans="12:13">
      <c r="L4348" s="3">
        <v>44667.076388874848</v>
      </c>
      <c r="M4348" s="15"/>
    </row>
    <row r="4349" spans="12:13">
      <c r="L4349" s="3">
        <v>44667.079861097067</v>
      </c>
      <c r="M4349" s="15"/>
    </row>
    <row r="4350" spans="12:13">
      <c r="L4350" s="3">
        <v>44667.083333319286</v>
      </c>
      <c r="M4350" s="15"/>
    </row>
    <row r="4351" spans="12:13">
      <c r="L4351" s="3">
        <v>44667.086805541505</v>
      </c>
      <c r="M4351" s="15"/>
    </row>
    <row r="4352" spans="12:13">
      <c r="L4352" s="3">
        <v>44667.090277763724</v>
      </c>
      <c r="M4352" s="15"/>
    </row>
    <row r="4353" spans="12:13">
      <c r="L4353" s="3">
        <v>44667.093749985943</v>
      </c>
      <c r="M4353" s="15"/>
    </row>
    <row r="4354" spans="12:13">
      <c r="L4354" s="3">
        <v>44667.097222208162</v>
      </c>
      <c r="M4354" s="15"/>
    </row>
    <row r="4355" spans="12:13">
      <c r="L4355" s="3">
        <v>44667.100694430381</v>
      </c>
      <c r="M4355" s="15"/>
    </row>
    <row r="4356" spans="12:13">
      <c r="L4356" s="3">
        <v>44667.1041666526</v>
      </c>
      <c r="M4356" s="15"/>
    </row>
    <row r="4357" spans="12:13">
      <c r="L4357" s="3">
        <v>44667.107638874819</v>
      </c>
      <c r="M4357" s="15"/>
    </row>
    <row r="4358" spans="12:13">
      <c r="L4358" s="3">
        <v>44667.111111097038</v>
      </c>
      <c r="M4358" s="15"/>
    </row>
    <row r="4359" spans="12:13">
      <c r="L4359" s="3">
        <v>44667.114583319257</v>
      </c>
      <c r="M4359" s="15"/>
    </row>
    <row r="4360" spans="12:13">
      <c r="L4360" s="3">
        <v>44667.118055541476</v>
      </c>
      <c r="M4360" s="15"/>
    </row>
    <row r="4361" spans="12:13">
      <c r="L4361" s="3">
        <v>44667.121527763695</v>
      </c>
      <c r="M4361" s="15"/>
    </row>
    <row r="4362" spans="12:13">
      <c r="L4362" s="3">
        <v>44667.124999985914</v>
      </c>
      <c r="M4362" s="15"/>
    </row>
    <row r="4363" spans="12:13">
      <c r="L4363" s="3">
        <v>44667.128472208133</v>
      </c>
      <c r="M4363" s="15"/>
    </row>
    <row r="4364" spans="12:13">
      <c r="L4364" s="3">
        <v>44667.131944430352</v>
      </c>
      <c r="M4364" s="15"/>
    </row>
    <row r="4365" spans="12:13">
      <c r="L4365" s="3">
        <v>44667.135416652571</v>
      </c>
      <c r="M4365" s="15"/>
    </row>
    <row r="4366" spans="12:13">
      <c r="L4366" s="3">
        <v>44667.13888887479</v>
      </c>
      <c r="M4366" s="15"/>
    </row>
    <row r="4367" spans="12:13">
      <c r="L4367" s="3">
        <v>44667.142361097009</v>
      </c>
      <c r="M4367" s="15"/>
    </row>
    <row r="4368" spans="12:13">
      <c r="L4368" s="3">
        <v>44667.145833319228</v>
      </c>
      <c r="M4368" s="15"/>
    </row>
    <row r="4369" spans="12:13">
      <c r="L4369" s="3">
        <v>44667.149305541447</v>
      </c>
      <c r="M4369" s="15"/>
    </row>
    <row r="4370" spans="12:13">
      <c r="L4370" s="3">
        <v>44667.152777763666</v>
      </c>
      <c r="M4370" s="15"/>
    </row>
    <row r="4371" spans="12:13">
      <c r="L4371" s="3">
        <v>44667.156249985885</v>
      </c>
      <c r="M4371" s="15"/>
    </row>
    <row r="4372" spans="12:13">
      <c r="L4372" s="3">
        <v>44667.159722208104</v>
      </c>
      <c r="M4372" s="15"/>
    </row>
    <row r="4373" spans="12:13">
      <c r="L4373" s="3">
        <v>44667.163194430323</v>
      </c>
      <c r="M4373" s="15"/>
    </row>
    <row r="4374" spans="12:13">
      <c r="L4374" s="3">
        <v>44667.166666652542</v>
      </c>
      <c r="M4374" s="15"/>
    </row>
    <row r="4375" spans="12:13">
      <c r="L4375" s="3">
        <v>44667.170138874761</v>
      </c>
      <c r="M4375" s="15"/>
    </row>
    <row r="4376" spans="12:13">
      <c r="L4376" s="3">
        <v>44667.17361109698</v>
      </c>
      <c r="M4376" s="15"/>
    </row>
    <row r="4377" spans="12:13">
      <c r="L4377" s="3">
        <v>44667.177083319199</v>
      </c>
      <c r="M4377" s="15"/>
    </row>
    <row r="4378" spans="12:13">
      <c r="L4378" s="3">
        <v>44667.180555541418</v>
      </c>
      <c r="M4378" s="15"/>
    </row>
    <row r="4379" spans="12:13">
      <c r="L4379" s="3">
        <v>44667.184027763637</v>
      </c>
      <c r="M4379" s="15"/>
    </row>
    <row r="4380" spans="12:13">
      <c r="L4380" s="3">
        <v>44667.187499985856</v>
      </c>
      <c r="M4380" s="15"/>
    </row>
    <row r="4381" spans="12:13">
      <c r="L4381" s="3">
        <v>44667.190972208075</v>
      </c>
      <c r="M4381" s="15"/>
    </row>
    <row r="4382" spans="12:13">
      <c r="L4382" s="3">
        <v>44667.194444430294</v>
      </c>
      <c r="M4382" s="15"/>
    </row>
    <row r="4383" spans="12:13">
      <c r="L4383" s="3">
        <v>44667.197916652513</v>
      </c>
      <c r="M4383" s="15"/>
    </row>
    <row r="4384" spans="12:13">
      <c r="L4384" s="3">
        <v>44667.201388874731</v>
      </c>
      <c r="M4384" s="15"/>
    </row>
    <row r="4385" spans="12:13">
      <c r="L4385" s="3">
        <v>44667.20486109695</v>
      </c>
      <c r="M4385" s="15"/>
    </row>
    <row r="4386" spans="12:13">
      <c r="L4386" s="3">
        <v>44667.208333319169</v>
      </c>
      <c r="M4386" s="15"/>
    </row>
    <row r="4387" spans="12:13">
      <c r="L4387" s="3">
        <v>44667.211805541388</v>
      </c>
      <c r="M4387" s="15"/>
    </row>
    <row r="4388" spans="12:13">
      <c r="L4388" s="3">
        <v>44667.215277763607</v>
      </c>
      <c r="M4388" s="15"/>
    </row>
    <row r="4389" spans="12:13">
      <c r="L4389" s="3">
        <v>44667.218749985826</v>
      </c>
      <c r="M4389" s="15"/>
    </row>
    <row r="4390" spans="12:13">
      <c r="L4390" s="3">
        <v>44667.222222208045</v>
      </c>
      <c r="M4390" s="15"/>
    </row>
    <row r="4391" spans="12:13">
      <c r="L4391" s="3">
        <v>44667.225694430264</v>
      </c>
      <c r="M4391" s="15"/>
    </row>
    <row r="4392" spans="12:13">
      <c r="L4392" s="3">
        <v>44667.229166652483</v>
      </c>
      <c r="M4392" s="15"/>
    </row>
    <row r="4393" spans="12:13">
      <c r="L4393" s="3">
        <v>44667.232638874702</v>
      </c>
      <c r="M4393" s="15"/>
    </row>
    <row r="4394" spans="12:13">
      <c r="L4394" s="3">
        <v>44667.236111096921</v>
      </c>
      <c r="M4394" s="15"/>
    </row>
    <row r="4395" spans="12:13">
      <c r="L4395" s="3">
        <v>44667.23958331914</v>
      </c>
      <c r="M4395" s="15"/>
    </row>
    <row r="4396" spans="12:13">
      <c r="L4396" s="3">
        <v>44667.243055541359</v>
      </c>
      <c r="M4396" s="15"/>
    </row>
    <row r="4397" spans="12:13">
      <c r="L4397" s="3">
        <v>44667.246527763578</v>
      </c>
      <c r="M4397" s="15"/>
    </row>
    <row r="4398" spans="12:13">
      <c r="L4398" s="3">
        <v>44667.249999985797</v>
      </c>
      <c r="M4398" s="15"/>
    </row>
    <row r="4399" spans="12:13">
      <c r="L4399" s="3">
        <v>44667.253472208016</v>
      </c>
      <c r="M4399" s="15"/>
    </row>
    <row r="4400" spans="12:13">
      <c r="L4400" s="3">
        <v>44667.256944430235</v>
      </c>
      <c r="M4400" s="15"/>
    </row>
    <row r="4401" spans="12:13">
      <c r="L4401" s="3">
        <v>44667.260416652454</v>
      </c>
      <c r="M4401" s="15"/>
    </row>
    <row r="4402" spans="12:13">
      <c r="L4402" s="3">
        <v>44667.263888874673</v>
      </c>
      <c r="M4402" s="15"/>
    </row>
    <row r="4403" spans="12:13">
      <c r="L4403" s="3">
        <v>44667.267361096892</v>
      </c>
      <c r="M4403" s="15"/>
    </row>
    <row r="4404" spans="12:13">
      <c r="L4404" s="3">
        <v>44667.270833319111</v>
      </c>
      <c r="M4404" s="15"/>
    </row>
    <row r="4405" spans="12:13">
      <c r="L4405" s="3">
        <v>44667.27430554133</v>
      </c>
      <c r="M4405" s="15"/>
    </row>
    <row r="4406" spans="12:13">
      <c r="L4406" s="3">
        <v>44667.277777763549</v>
      </c>
      <c r="M4406" s="15"/>
    </row>
    <row r="4407" spans="12:13">
      <c r="L4407" s="3">
        <v>44667.281249985768</v>
      </c>
      <c r="M4407" s="15"/>
    </row>
    <row r="4408" spans="12:13">
      <c r="L4408" s="3">
        <v>44667.284722207987</v>
      </c>
      <c r="M4408" s="15"/>
    </row>
    <row r="4409" spans="12:13">
      <c r="L4409" s="3">
        <v>44667.288194430206</v>
      </c>
      <c r="M4409" s="15"/>
    </row>
    <row r="4410" spans="12:13">
      <c r="L4410" s="3">
        <v>44667.291666652425</v>
      </c>
      <c r="M4410" s="15"/>
    </row>
    <row r="4411" spans="12:13">
      <c r="L4411" s="3">
        <v>44667.295138874644</v>
      </c>
      <c r="M4411" s="15"/>
    </row>
    <row r="4412" spans="12:13">
      <c r="L4412" s="3">
        <v>44667.298611096863</v>
      </c>
      <c r="M4412" s="15"/>
    </row>
    <row r="4413" spans="12:13">
      <c r="L4413" s="3">
        <v>44667.302083319082</v>
      </c>
      <c r="M4413" s="15"/>
    </row>
    <row r="4414" spans="12:13">
      <c r="L4414" s="3">
        <v>44667.305555541301</v>
      </c>
      <c r="M4414" s="15"/>
    </row>
    <row r="4415" spans="12:13">
      <c r="L4415" s="3">
        <v>44667.30902776352</v>
      </c>
      <c r="M4415" s="15"/>
    </row>
    <row r="4416" spans="12:13">
      <c r="L4416" s="3">
        <v>44667.312499985739</v>
      </c>
      <c r="M4416" s="15"/>
    </row>
    <row r="4417" spans="12:13">
      <c r="L4417" s="3">
        <v>44667.315972207958</v>
      </c>
      <c r="M4417" s="15"/>
    </row>
    <row r="4418" spans="12:13">
      <c r="L4418" s="3">
        <v>44667.319444430177</v>
      </c>
      <c r="M4418" s="15"/>
    </row>
    <row r="4419" spans="12:13">
      <c r="L4419" s="3">
        <v>44667.322916652396</v>
      </c>
      <c r="M4419" s="15"/>
    </row>
    <row r="4420" spans="12:13">
      <c r="L4420" s="3">
        <v>44667.326388874615</v>
      </c>
      <c r="M4420" s="15"/>
    </row>
    <row r="4421" spans="12:13">
      <c r="L4421" s="3">
        <v>44667.329861096834</v>
      </c>
      <c r="M4421" s="15"/>
    </row>
    <row r="4422" spans="12:13">
      <c r="L4422" s="3">
        <v>44667.333333319053</v>
      </c>
      <c r="M4422" s="15"/>
    </row>
    <row r="4423" spans="12:13">
      <c r="L4423" s="3">
        <v>44667.336805541272</v>
      </c>
      <c r="M4423" s="15"/>
    </row>
    <row r="4424" spans="12:13">
      <c r="L4424" s="3">
        <v>44667.340277763491</v>
      </c>
      <c r="M4424" s="15"/>
    </row>
    <row r="4425" spans="12:13">
      <c r="L4425" s="3">
        <v>44667.34374998571</v>
      </c>
      <c r="M4425" s="15"/>
    </row>
    <row r="4426" spans="12:13">
      <c r="L4426" s="3">
        <v>44667.347222207929</v>
      </c>
      <c r="M4426" s="15"/>
    </row>
    <row r="4427" spans="12:13">
      <c r="L4427" s="3">
        <v>44667.350694430148</v>
      </c>
      <c r="M4427" s="15"/>
    </row>
    <row r="4428" spans="12:13">
      <c r="L4428" s="3">
        <v>44667.354166652367</v>
      </c>
      <c r="M4428" s="15"/>
    </row>
    <row r="4429" spans="12:13">
      <c r="L4429" s="3">
        <v>44667.357638874586</v>
      </c>
      <c r="M4429" s="15"/>
    </row>
    <row r="4430" spans="12:13">
      <c r="L4430" s="3">
        <v>44667.361111096805</v>
      </c>
      <c r="M4430" s="15"/>
    </row>
    <row r="4431" spans="12:13">
      <c r="L4431" s="3">
        <v>44667.364583319024</v>
      </c>
      <c r="M4431" s="15"/>
    </row>
    <row r="4432" spans="12:13">
      <c r="L4432" s="3">
        <v>44667.368055541243</v>
      </c>
      <c r="M4432" s="15"/>
    </row>
    <row r="4433" spans="12:13">
      <c r="L4433" s="3">
        <v>44667.371527763462</v>
      </c>
      <c r="M4433" s="15"/>
    </row>
    <row r="4434" spans="12:13">
      <c r="L4434" s="3">
        <v>44667.374999985681</v>
      </c>
      <c r="M4434" s="15"/>
    </row>
    <row r="4435" spans="12:13">
      <c r="L4435" s="3">
        <v>44667.3784722079</v>
      </c>
      <c r="M4435" s="15"/>
    </row>
    <row r="4436" spans="12:13">
      <c r="L4436" s="3">
        <v>44667.381944430119</v>
      </c>
      <c r="M4436" s="15"/>
    </row>
    <row r="4437" spans="12:13">
      <c r="L4437" s="3">
        <v>44667.385416652338</v>
      </c>
      <c r="M4437" s="15"/>
    </row>
    <row r="4438" spans="12:13">
      <c r="L4438" s="3">
        <v>44667.388888874557</v>
      </c>
      <c r="M4438" s="15"/>
    </row>
    <row r="4439" spans="12:13">
      <c r="L4439" s="3">
        <v>44667.392361096776</v>
      </c>
      <c r="M4439" s="15"/>
    </row>
    <row r="4440" spans="12:13">
      <c r="L4440" s="3">
        <v>44667.395833318995</v>
      </c>
      <c r="M4440" s="15"/>
    </row>
    <row r="4441" spans="12:13">
      <c r="L4441" s="3">
        <v>44667.399305541214</v>
      </c>
      <c r="M4441" s="15"/>
    </row>
    <row r="4442" spans="12:13">
      <c r="L4442" s="3">
        <v>44667.402777763433</v>
      </c>
      <c r="M4442" s="15"/>
    </row>
    <row r="4443" spans="12:13">
      <c r="L4443" s="3">
        <v>44667.406249985652</v>
      </c>
      <c r="M4443" s="15"/>
    </row>
    <row r="4444" spans="12:13">
      <c r="L4444" s="3">
        <v>44667.409722207871</v>
      </c>
      <c r="M4444" s="15"/>
    </row>
    <row r="4445" spans="12:13">
      <c r="L4445" s="3">
        <v>44667.41319443009</v>
      </c>
      <c r="M4445" s="15"/>
    </row>
    <row r="4446" spans="12:13">
      <c r="L4446" s="3">
        <v>44667.416666652309</v>
      </c>
      <c r="M4446" s="15"/>
    </row>
    <row r="4447" spans="12:13">
      <c r="L4447" s="3">
        <v>44667.420138874528</v>
      </c>
      <c r="M4447" s="15"/>
    </row>
    <row r="4448" spans="12:13">
      <c r="L4448" s="3">
        <v>44667.423611096747</v>
      </c>
      <c r="M4448" s="15"/>
    </row>
    <row r="4449" spans="12:13">
      <c r="L4449" s="3">
        <v>44667.427083318966</v>
      </c>
      <c r="M4449" s="15"/>
    </row>
    <row r="4450" spans="12:13">
      <c r="L4450" s="3">
        <v>44667.430555541185</v>
      </c>
      <c r="M4450" s="15"/>
    </row>
    <row r="4451" spans="12:13">
      <c r="L4451" s="3">
        <v>44667.434027763404</v>
      </c>
      <c r="M4451" s="15"/>
    </row>
    <row r="4452" spans="12:13">
      <c r="L4452" s="3">
        <v>44667.437499985623</v>
      </c>
      <c r="M4452" s="15"/>
    </row>
    <row r="4453" spans="12:13">
      <c r="L4453" s="3">
        <v>44667.440972207842</v>
      </c>
      <c r="M4453" s="15"/>
    </row>
    <row r="4454" spans="12:13">
      <c r="L4454" s="3">
        <v>44667.444444430061</v>
      </c>
      <c r="M4454" s="15"/>
    </row>
    <row r="4455" spans="12:13">
      <c r="L4455" s="3">
        <v>44667.44791665228</v>
      </c>
      <c r="M4455" s="15"/>
    </row>
    <row r="4456" spans="12:13">
      <c r="L4456" s="3">
        <v>44667.451388874499</v>
      </c>
      <c r="M4456" s="15"/>
    </row>
    <row r="4457" spans="12:13">
      <c r="L4457" s="3">
        <v>44667.454861096718</v>
      </c>
      <c r="M4457" s="15"/>
    </row>
    <row r="4458" spans="12:13">
      <c r="L4458" s="3">
        <v>44667.458333318937</v>
      </c>
      <c r="M4458" s="15"/>
    </row>
    <row r="4459" spans="12:13">
      <c r="L4459" s="3">
        <v>44667.461805541156</v>
      </c>
      <c r="M4459" s="15"/>
    </row>
    <row r="4460" spans="12:13">
      <c r="L4460" s="3">
        <v>44667.465277763375</v>
      </c>
      <c r="M4460" s="15"/>
    </row>
    <row r="4461" spans="12:13">
      <c r="L4461" s="3">
        <v>44667.468749985594</v>
      </c>
      <c r="M4461" s="15"/>
    </row>
    <row r="4462" spans="12:13">
      <c r="L4462" s="3">
        <v>44667.472222207813</v>
      </c>
      <c r="M4462" s="15"/>
    </row>
    <row r="4463" spans="12:13">
      <c r="L4463" s="3">
        <v>44667.475694430032</v>
      </c>
      <c r="M4463" s="15"/>
    </row>
    <row r="4464" spans="12:13">
      <c r="L4464" s="3">
        <v>44667.479166652251</v>
      </c>
      <c r="M4464" s="15"/>
    </row>
    <row r="4465" spans="12:13">
      <c r="L4465" s="3">
        <v>44667.48263887447</v>
      </c>
      <c r="M4465" s="15"/>
    </row>
    <row r="4466" spans="12:13">
      <c r="L4466" s="3">
        <v>44667.486111096689</v>
      </c>
      <c r="M4466" s="15"/>
    </row>
    <row r="4467" spans="12:13">
      <c r="L4467" s="3">
        <v>44667.489583318908</v>
      </c>
      <c r="M4467" s="15"/>
    </row>
    <row r="4468" spans="12:13">
      <c r="L4468" s="3">
        <v>44667.493055541127</v>
      </c>
      <c r="M4468" s="15"/>
    </row>
    <row r="4469" spans="12:13">
      <c r="L4469" s="3">
        <v>44667.496527763346</v>
      </c>
      <c r="M4469" s="15"/>
    </row>
    <row r="4470" spans="12:13">
      <c r="L4470" s="3">
        <v>44667.499999985565</v>
      </c>
      <c r="M4470" s="15"/>
    </row>
    <row r="4471" spans="12:13">
      <c r="L4471" s="3">
        <v>44667.503472207783</v>
      </c>
      <c r="M4471" s="15"/>
    </row>
    <row r="4472" spans="12:13">
      <c r="L4472" s="3">
        <v>44667.506944430002</v>
      </c>
      <c r="M4472" s="15"/>
    </row>
    <row r="4473" spans="12:13">
      <c r="L4473" s="3">
        <v>44667.510416652221</v>
      </c>
      <c r="M4473" s="15"/>
    </row>
    <row r="4474" spans="12:13">
      <c r="L4474" s="3">
        <v>44667.51388887444</v>
      </c>
      <c r="M4474" s="15"/>
    </row>
    <row r="4475" spans="12:13">
      <c r="L4475" s="3">
        <v>44667.517361096659</v>
      </c>
      <c r="M4475" s="15"/>
    </row>
    <row r="4476" spans="12:13">
      <c r="L4476" s="3">
        <v>44667.520833318878</v>
      </c>
      <c r="M4476" s="15"/>
    </row>
    <row r="4477" spans="12:13">
      <c r="L4477" s="3">
        <v>44667.524305541097</v>
      </c>
      <c r="M4477" s="15"/>
    </row>
    <row r="4478" spans="12:13">
      <c r="L4478" s="3">
        <v>44667.527777763316</v>
      </c>
      <c r="M4478" s="15"/>
    </row>
    <row r="4479" spans="12:13">
      <c r="L4479" s="3">
        <v>44667.531249985535</v>
      </c>
      <c r="M4479" s="15"/>
    </row>
    <row r="4480" spans="12:13">
      <c r="L4480" s="3">
        <v>44667.534722207754</v>
      </c>
      <c r="M4480" s="15"/>
    </row>
    <row r="4481" spans="12:13">
      <c r="L4481" s="3">
        <v>44667.538194429973</v>
      </c>
      <c r="M4481" s="15"/>
    </row>
    <row r="4482" spans="12:13">
      <c r="L4482" s="3">
        <v>44667.541666652192</v>
      </c>
      <c r="M4482" s="15"/>
    </row>
    <row r="4483" spans="12:13">
      <c r="L4483" s="3">
        <v>44667.545138874411</v>
      </c>
      <c r="M4483" s="15"/>
    </row>
    <row r="4484" spans="12:13">
      <c r="L4484" s="3">
        <v>44667.54861109663</v>
      </c>
      <c r="M4484" s="15"/>
    </row>
    <row r="4485" spans="12:13">
      <c r="L4485" s="3">
        <v>44667.552083318849</v>
      </c>
      <c r="M4485" s="15"/>
    </row>
    <row r="4486" spans="12:13">
      <c r="L4486" s="3">
        <v>44667.555555541068</v>
      </c>
      <c r="M4486" s="15"/>
    </row>
    <row r="4487" spans="12:13">
      <c r="L4487" s="3">
        <v>44667.559027763287</v>
      </c>
      <c r="M4487" s="15"/>
    </row>
    <row r="4488" spans="12:13">
      <c r="L4488" s="3">
        <v>44667.562499985506</v>
      </c>
      <c r="M4488" s="15"/>
    </row>
    <row r="4489" spans="12:13">
      <c r="L4489" s="3">
        <v>44667.565972207725</v>
      </c>
      <c r="M4489" s="15"/>
    </row>
    <row r="4490" spans="12:13">
      <c r="L4490" s="3">
        <v>44667.569444429944</v>
      </c>
      <c r="M4490" s="15"/>
    </row>
    <row r="4491" spans="12:13">
      <c r="L4491" s="3">
        <v>44667.572916652163</v>
      </c>
      <c r="M4491" s="15"/>
    </row>
    <row r="4492" spans="12:13">
      <c r="L4492" s="3">
        <v>44667.576388874382</v>
      </c>
      <c r="M4492" s="15"/>
    </row>
    <row r="4493" spans="12:13">
      <c r="L4493" s="3">
        <v>44667.579861096601</v>
      </c>
      <c r="M4493" s="15"/>
    </row>
    <row r="4494" spans="12:13">
      <c r="L4494" s="3">
        <v>44667.58333331882</v>
      </c>
      <c r="M4494" s="15"/>
    </row>
    <row r="4495" spans="12:13">
      <c r="L4495" s="3">
        <v>44667.586805541039</v>
      </c>
      <c r="M4495" s="15"/>
    </row>
    <row r="4496" spans="12:13">
      <c r="L4496" s="3">
        <v>44667.590277763258</v>
      </c>
      <c r="M4496" s="15"/>
    </row>
    <row r="4497" spans="12:13">
      <c r="L4497" s="3">
        <v>44667.593749985477</v>
      </c>
      <c r="M4497" s="15"/>
    </row>
    <row r="4498" spans="12:13">
      <c r="L4498" s="3">
        <v>44667.597222207696</v>
      </c>
      <c r="M4498" s="15"/>
    </row>
    <row r="4499" spans="12:13">
      <c r="L4499" s="3">
        <v>44667.600694429915</v>
      </c>
      <c r="M4499" s="15"/>
    </row>
    <row r="4500" spans="12:13">
      <c r="L4500" s="3">
        <v>44667.604166652134</v>
      </c>
      <c r="M4500" s="15"/>
    </row>
    <row r="4501" spans="12:13">
      <c r="L4501" s="3">
        <v>44667.607638874353</v>
      </c>
      <c r="M4501" s="15"/>
    </row>
    <row r="4502" spans="12:13">
      <c r="L4502" s="3">
        <v>44667.611111096572</v>
      </c>
      <c r="M4502" s="15"/>
    </row>
    <row r="4503" spans="12:13">
      <c r="L4503" s="3">
        <v>44667.614583318791</v>
      </c>
      <c r="M4503" s="15"/>
    </row>
    <row r="4504" spans="12:13">
      <c r="L4504" s="3">
        <v>44667.61805554101</v>
      </c>
      <c r="M4504" s="15"/>
    </row>
    <row r="4505" spans="12:13">
      <c r="L4505" s="3">
        <v>44667.621527763229</v>
      </c>
      <c r="M4505" s="15"/>
    </row>
    <row r="4506" spans="12:13">
      <c r="L4506" s="3">
        <v>44667.624999985448</v>
      </c>
      <c r="M4506" s="15"/>
    </row>
    <row r="4507" spans="12:13">
      <c r="L4507" s="3">
        <v>44667.628472207667</v>
      </c>
      <c r="M4507" s="15"/>
    </row>
    <row r="4508" spans="12:13">
      <c r="L4508" s="3">
        <v>44667.631944429886</v>
      </c>
      <c r="M4508" s="15"/>
    </row>
    <row r="4509" spans="12:13">
      <c r="L4509" s="3">
        <v>44667.635416652105</v>
      </c>
      <c r="M4509" s="15"/>
    </row>
    <row r="4510" spans="12:13">
      <c r="L4510" s="3">
        <v>44667.638888874324</v>
      </c>
      <c r="M4510" s="15"/>
    </row>
    <row r="4511" spans="12:13">
      <c r="L4511" s="3">
        <v>44667.642361096543</v>
      </c>
      <c r="M4511" s="15"/>
    </row>
    <row r="4512" spans="12:13">
      <c r="L4512" s="3">
        <v>44667.645833318762</v>
      </c>
      <c r="M4512" s="15"/>
    </row>
    <row r="4513" spans="12:13">
      <c r="L4513" s="3">
        <v>44667.649305540981</v>
      </c>
      <c r="M4513" s="15"/>
    </row>
    <row r="4514" spans="12:13">
      <c r="L4514" s="3">
        <v>44667.6527777632</v>
      </c>
      <c r="M4514" s="15"/>
    </row>
    <row r="4515" spans="12:13">
      <c r="L4515" s="3">
        <v>44667.656249985419</v>
      </c>
      <c r="M4515" s="15"/>
    </row>
    <row r="4516" spans="12:13">
      <c r="L4516" s="3">
        <v>44667.659722207638</v>
      </c>
      <c r="M4516" s="15"/>
    </row>
    <row r="4517" spans="12:13">
      <c r="L4517" s="3">
        <v>44667.663194429857</v>
      </c>
      <c r="M4517" s="15"/>
    </row>
    <row r="4518" spans="12:13">
      <c r="L4518" s="3">
        <v>44667.666666652076</v>
      </c>
      <c r="M4518" s="15"/>
    </row>
    <row r="4519" spans="12:13">
      <c r="L4519" s="3">
        <v>44667.670138874295</v>
      </c>
      <c r="M4519" s="15"/>
    </row>
    <row r="4520" spans="12:13">
      <c r="L4520" s="3">
        <v>44667.673611096514</v>
      </c>
      <c r="M4520" s="15"/>
    </row>
    <row r="4521" spans="12:13">
      <c r="L4521" s="3">
        <v>44667.677083318733</v>
      </c>
      <c r="M4521" s="15"/>
    </row>
    <row r="4522" spans="12:13">
      <c r="L4522" s="3">
        <v>44667.680555540952</v>
      </c>
      <c r="M4522" s="15"/>
    </row>
    <row r="4523" spans="12:13">
      <c r="L4523" s="3">
        <v>44667.684027763171</v>
      </c>
      <c r="M4523" s="15"/>
    </row>
    <row r="4524" spans="12:13">
      <c r="L4524" s="3">
        <v>44667.68749998539</v>
      </c>
      <c r="M4524" s="15"/>
    </row>
    <row r="4525" spans="12:13">
      <c r="L4525" s="3">
        <v>44667.690972207609</v>
      </c>
      <c r="M4525" s="15"/>
    </row>
    <row r="4526" spans="12:13">
      <c r="L4526" s="3">
        <v>44667.694444429828</v>
      </c>
      <c r="M4526" s="15"/>
    </row>
    <row r="4527" spans="12:13">
      <c r="L4527" s="3">
        <v>44667.697916652047</v>
      </c>
      <c r="M4527" s="15"/>
    </row>
    <row r="4528" spans="12:13">
      <c r="L4528" s="3">
        <v>44667.701388874266</v>
      </c>
      <c r="M4528" s="15"/>
    </row>
    <row r="4529" spans="12:13">
      <c r="L4529" s="3">
        <v>44667.704861096485</v>
      </c>
      <c r="M4529" s="15"/>
    </row>
    <row r="4530" spans="12:13">
      <c r="L4530" s="3">
        <v>44667.708333318704</v>
      </c>
      <c r="M4530" s="15"/>
    </row>
    <row r="4531" spans="12:13">
      <c r="L4531" s="3">
        <v>44667.711805540923</v>
      </c>
      <c r="M4531" s="15"/>
    </row>
    <row r="4532" spans="12:13">
      <c r="L4532" s="3">
        <v>44667.715277763142</v>
      </c>
      <c r="M4532" s="15"/>
    </row>
    <row r="4533" spans="12:13">
      <c r="L4533" s="3">
        <v>44667.718749985361</v>
      </c>
      <c r="M4533" s="15"/>
    </row>
    <row r="4534" spans="12:13">
      <c r="L4534" s="3">
        <v>44667.72222220758</v>
      </c>
      <c r="M4534" s="15"/>
    </row>
    <row r="4535" spans="12:13">
      <c r="L4535" s="3">
        <v>44667.725694429799</v>
      </c>
      <c r="M4535" s="15"/>
    </row>
    <row r="4536" spans="12:13">
      <c r="L4536" s="3">
        <v>44667.729166652018</v>
      </c>
      <c r="M4536" s="15"/>
    </row>
    <row r="4537" spans="12:13">
      <c r="L4537" s="3">
        <v>44667.732638874237</v>
      </c>
      <c r="M4537" s="15"/>
    </row>
    <row r="4538" spans="12:13">
      <c r="L4538" s="3">
        <v>44667.736111096456</v>
      </c>
      <c r="M4538" s="15"/>
    </row>
    <row r="4539" spans="12:13">
      <c r="L4539" s="3">
        <v>44667.739583318675</v>
      </c>
      <c r="M4539" s="15"/>
    </row>
    <row r="4540" spans="12:13">
      <c r="L4540" s="3">
        <v>44667.743055540894</v>
      </c>
      <c r="M4540" s="15"/>
    </row>
    <row r="4541" spans="12:13">
      <c r="L4541" s="3">
        <v>44667.746527763113</v>
      </c>
      <c r="M4541" s="15"/>
    </row>
    <row r="4542" spans="12:13">
      <c r="L4542" s="3">
        <v>44667.749999985332</v>
      </c>
      <c r="M4542" s="15"/>
    </row>
    <row r="4543" spans="12:13">
      <c r="L4543" s="3">
        <v>44667.753472207551</v>
      </c>
      <c r="M4543" s="15"/>
    </row>
    <row r="4544" spans="12:13">
      <c r="L4544" s="3">
        <v>44667.75694442977</v>
      </c>
      <c r="M4544" s="15"/>
    </row>
    <row r="4545" spans="12:13">
      <c r="L4545" s="3">
        <v>44667.760416651989</v>
      </c>
      <c r="M4545" s="15"/>
    </row>
    <row r="4546" spans="12:13">
      <c r="L4546" s="3">
        <v>44667.763888874208</v>
      </c>
      <c r="M4546" s="15"/>
    </row>
    <row r="4547" spans="12:13">
      <c r="L4547" s="3">
        <v>44667.767361096427</v>
      </c>
      <c r="M4547" s="15"/>
    </row>
    <row r="4548" spans="12:13">
      <c r="L4548" s="3">
        <v>44667.770833318646</v>
      </c>
      <c r="M4548" s="15"/>
    </row>
    <row r="4549" spans="12:13">
      <c r="L4549" s="3">
        <v>44667.774305540865</v>
      </c>
      <c r="M4549" s="15"/>
    </row>
    <row r="4550" spans="12:13">
      <c r="L4550" s="3">
        <v>44667.777777763084</v>
      </c>
      <c r="M4550" s="15"/>
    </row>
    <row r="4551" spans="12:13">
      <c r="L4551" s="3">
        <v>44667.781249985303</v>
      </c>
      <c r="M4551" s="15"/>
    </row>
    <row r="4552" spans="12:13">
      <c r="L4552" s="3">
        <v>44667.784722207522</v>
      </c>
      <c r="M4552" s="15"/>
    </row>
    <row r="4553" spans="12:13">
      <c r="L4553" s="3">
        <v>44667.788194429741</v>
      </c>
      <c r="M4553" s="15"/>
    </row>
    <row r="4554" spans="12:13">
      <c r="L4554" s="3">
        <v>44667.79166665196</v>
      </c>
      <c r="M4554" s="15"/>
    </row>
    <row r="4555" spans="12:13">
      <c r="L4555" s="3">
        <v>44667.795138874179</v>
      </c>
      <c r="M4555" s="15"/>
    </row>
    <row r="4556" spans="12:13">
      <c r="L4556" s="3">
        <v>44667.798611096398</v>
      </c>
      <c r="M4556" s="15"/>
    </row>
    <row r="4557" spans="12:13">
      <c r="L4557" s="3">
        <v>44667.802083318616</v>
      </c>
      <c r="M4557" s="15"/>
    </row>
    <row r="4558" spans="12:13">
      <c r="L4558" s="3">
        <v>44667.805555540835</v>
      </c>
      <c r="M4558" s="15"/>
    </row>
    <row r="4559" spans="12:13">
      <c r="L4559" s="3">
        <v>44667.809027763054</v>
      </c>
      <c r="M4559" s="15"/>
    </row>
    <row r="4560" spans="12:13">
      <c r="L4560" s="3">
        <v>44667.812499985273</v>
      </c>
      <c r="M4560" s="15"/>
    </row>
    <row r="4561" spans="12:13">
      <c r="L4561" s="3">
        <v>44667.815972207492</v>
      </c>
      <c r="M4561" s="15"/>
    </row>
    <row r="4562" spans="12:13">
      <c r="L4562" s="3">
        <v>44667.819444429711</v>
      </c>
      <c r="M4562" s="15"/>
    </row>
    <row r="4563" spans="12:13">
      <c r="L4563" s="3">
        <v>44667.82291665193</v>
      </c>
      <c r="M4563" s="15"/>
    </row>
    <row r="4564" spans="12:13">
      <c r="L4564" s="3">
        <v>44667.826388874149</v>
      </c>
      <c r="M4564" s="15"/>
    </row>
    <row r="4565" spans="12:13">
      <c r="L4565" s="3">
        <v>44667.829861096368</v>
      </c>
      <c r="M4565" s="15"/>
    </row>
    <row r="4566" spans="12:13">
      <c r="L4566" s="3">
        <v>44667.833333318587</v>
      </c>
      <c r="M4566" s="15"/>
    </row>
    <row r="4567" spans="12:13">
      <c r="L4567" s="3">
        <v>44667.836805540806</v>
      </c>
      <c r="M4567" s="15"/>
    </row>
    <row r="4568" spans="12:13">
      <c r="L4568" s="3">
        <v>44667.840277763025</v>
      </c>
      <c r="M4568" s="15"/>
    </row>
    <row r="4569" spans="12:13">
      <c r="L4569" s="3">
        <v>44667.843749985244</v>
      </c>
      <c r="M4569" s="15"/>
    </row>
    <row r="4570" spans="12:13">
      <c r="L4570" s="3">
        <v>44667.847222207463</v>
      </c>
      <c r="M4570" s="15"/>
    </row>
    <row r="4571" spans="12:13">
      <c r="L4571" s="3">
        <v>44667.850694429682</v>
      </c>
      <c r="M4571" s="15"/>
    </row>
    <row r="4572" spans="12:13">
      <c r="L4572" s="3">
        <v>44667.854166651901</v>
      </c>
      <c r="M4572" s="15"/>
    </row>
    <row r="4573" spans="12:13">
      <c r="L4573" s="3">
        <v>44667.85763887412</v>
      </c>
      <c r="M4573" s="15"/>
    </row>
    <row r="4574" spans="12:13">
      <c r="L4574" s="3">
        <v>44667.861111096339</v>
      </c>
      <c r="M4574" s="15"/>
    </row>
    <row r="4575" spans="12:13">
      <c r="L4575" s="3">
        <v>44667.864583318558</v>
      </c>
      <c r="M4575" s="15"/>
    </row>
    <row r="4576" spans="12:13">
      <c r="L4576" s="3">
        <v>44667.868055540777</v>
      </c>
      <c r="M4576" s="15"/>
    </row>
    <row r="4577" spans="12:13">
      <c r="L4577" s="3">
        <v>44667.871527762996</v>
      </c>
      <c r="M4577" s="15"/>
    </row>
    <row r="4578" spans="12:13">
      <c r="L4578" s="3">
        <v>44667.874999985215</v>
      </c>
      <c r="M4578" s="15"/>
    </row>
    <row r="4579" spans="12:13">
      <c r="L4579" s="3">
        <v>44667.878472207434</v>
      </c>
      <c r="M4579" s="15"/>
    </row>
    <row r="4580" spans="12:13">
      <c r="L4580" s="3">
        <v>44667.881944429653</v>
      </c>
      <c r="M4580" s="15"/>
    </row>
    <row r="4581" spans="12:13">
      <c r="L4581" s="3">
        <v>44667.885416651872</v>
      </c>
      <c r="M4581" s="15"/>
    </row>
    <row r="4582" spans="12:13">
      <c r="L4582" s="3">
        <v>44667.888888874091</v>
      </c>
      <c r="M4582" s="15"/>
    </row>
    <row r="4583" spans="12:13">
      <c r="L4583" s="3">
        <v>44667.89236109631</v>
      </c>
      <c r="M4583" s="15"/>
    </row>
    <row r="4584" spans="12:13">
      <c r="L4584" s="3">
        <v>44667.895833318529</v>
      </c>
      <c r="M4584" s="15"/>
    </row>
    <row r="4585" spans="12:13">
      <c r="L4585" s="3">
        <v>44667.899305540748</v>
      </c>
      <c r="M4585" s="15"/>
    </row>
    <row r="4586" spans="12:13">
      <c r="L4586" s="3">
        <v>44667.902777762967</v>
      </c>
      <c r="M4586" s="15"/>
    </row>
    <row r="4587" spans="12:13">
      <c r="L4587" s="3">
        <v>44667.906249985186</v>
      </c>
      <c r="M4587" s="15"/>
    </row>
    <row r="4588" spans="12:13">
      <c r="L4588" s="3">
        <v>44667.909722207405</v>
      </c>
      <c r="M4588" s="15"/>
    </row>
    <row r="4589" spans="12:13">
      <c r="L4589" s="3">
        <v>44667.913194429624</v>
      </c>
      <c r="M4589" s="15"/>
    </row>
    <row r="4590" spans="12:13">
      <c r="L4590" s="3">
        <v>44667.916666651843</v>
      </c>
      <c r="M4590" s="15"/>
    </row>
    <row r="4591" spans="12:13">
      <c r="L4591" s="3">
        <v>44667.920138874062</v>
      </c>
      <c r="M4591" s="15"/>
    </row>
    <row r="4592" spans="12:13">
      <c r="L4592" s="3">
        <v>44667.923611096281</v>
      </c>
      <c r="M4592" s="15"/>
    </row>
    <row r="4593" spans="12:13">
      <c r="L4593" s="3">
        <v>44667.9270833185</v>
      </c>
      <c r="M4593" s="15"/>
    </row>
    <row r="4594" spans="12:13">
      <c r="L4594" s="3">
        <v>44667.930555540719</v>
      </c>
      <c r="M4594" s="15"/>
    </row>
    <row r="4595" spans="12:13">
      <c r="L4595" s="3">
        <v>44667.934027762938</v>
      </c>
      <c r="M4595" s="15"/>
    </row>
    <row r="4596" spans="12:13">
      <c r="L4596" s="3">
        <v>44667.937499985157</v>
      </c>
      <c r="M4596" s="15"/>
    </row>
    <row r="4597" spans="12:13">
      <c r="L4597" s="3">
        <v>44667.940972207376</v>
      </c>
      <c r="M4597" s="15"/>
    </row>
    <row r="4598" spans="12:13">
      <c r="L4598" s="3">
        <v>44667.944444429595</v>
      </c>
      <c r="M4598" s="15"/>
    </row>
    <row r="4599" spans="12:13">
      <c r="L4599" s="3">
        <v>44667.947916651814</v>
      </c>
      <c r="M4599" s="15"/>
    </row>
    <row r="4600" spans="12:13">
      <c r="L4600" s="3">
        <v>44667.951388874033</v>
      </c>
      <c r="M4600" s="15"/>
    </row>
    <row r="4601" spans="12:13">
      <c r="L4601" s="3">
        <v>44667.954861096252</v>
      </c>
      <c r="M4601" s="15"/>
    </row>
    <row r="4602" spans="12:13">
      <c r="L4602" s="3">
        <v>44667.958333318471</v>
      </c>
      <c r="M4602" s="15"/>
    </row>
    <row r="4603" spans="12:13">
      <c r="L4603" s="3">
        <v>44667.96180554069</v>
      </c>
      <c r="M4603" s="15"/>
    </row>
    <row r="4604" spans="12:13">
      <c r="L4604" s="3">
        <v>44667.965277762909</v>
      </c>
      <c r="M4604" s="15"/>
    </row>
    <row r="4605" spans="12:13">
      <c r="L4605" s="3">
        <v>44667.968749985128</v>
      </c>
      <c r="M4605" s="15"/>
    </row>
    <row r="4606" spans="12:13">
      <c r="L4606" s="3">
        <v>44667.972222207347</v>
      </c>
      <c r="M4606" s="15"/>
    </row>
    <row r="4607" spans="12:13">
      <c r="L4607" s="3">
        <v>44667.975694429566</v>
      </c>
      <c r="M4607" s="15"/>
    </row>
    <row r="4608" spans="12:13">
      <c r="L4608" s="3">
        <v>44667.979166651785</v>
      </c>
      <c r="M4608" s="15"/>
    </row>
    <row r="4609" spans="12:13">
      <c r="L4609" s="3">
        <v>44667.982638874004</v>
      </c>
      <c r="M4609" s="15"/>
    </row>
    <row r="4610" spans="12:13">
      <c r="L4610" s="3">
        <v>44667.986111096223</v>
      </c>
      <c r="M4610" s="15"/>
    </row>
    <row r="4611" spans="12:13">
      <c r="L4611" s="3">
        <v>44667.989583318442</v>
      </c>
      <c r="M4611" s="15"/>
    </row>
    <row r="4612" spans="12:13">
      <c r="L4612" s="3">
        <v>44667.993055540661</v>
      </c>
      <c r="M4612" s="15"/>
    </row>
    <row r="4613" spans="12:13">
      <c r="L4613" s="3">
        <v>44667.99652776288</v>
      </c>
      <c r="M4613" s="15"/>
    </row>
    <row r="4614" spans="12:13">
      <c r="L4614" s="3">
        <v>44667.999999985099</v>
      </c>
      <c r="M4614" s="15"/>
    </row>
    <row r="4615" spans="12:13">
      <c r="L4615" s="3">
        <v>44668.003472207318</v>
      </c>
      <c r="M4615" s="15"/>
    </row>
    <row r="4616" spans="12:13">
      <c r="L4616" s="3">
        <v>44668.006944429537</v>
      </c>
      <c r="M4616" s="15"/>
    </row>
    <row r="4617" spans="12:13">
      <c r="L4617" s="3">
        <v>44668.010416651756</v>
      </c>
      <c r="M4617" s="15"/>
    </row>
    <row r="4618" spans="12:13">
      <c r="L4618" s="3">
        <v>44668.013888873975</v>
      </c>
      <c r="M4618" s="15"/>
    </row>
    <row r="4619" spans="12:13">
      <c r="L4619" s="3">
        <v>44668.017361096194</v>
      </c>
      <c r="M4619" s="15"/>
    </row>
    <row r="4620" spans="12:13">
      <c r="L4620" s="3">
        <v>44668.020833318413</v>
      </c>
      <c r="M4620" s="15"/>
    </row>
    <row r="4621" spans="12:13">
      <c r="L4621" s="3">
        <v>44668.024305540632</v>
      </c>
      <c r="M4621" s="15"/>
    </row>
    <row r="4622" spans="12:13">
      <c r="L4622" s="3">
        <v>44668.027777762851</v>
      </c>
      <c r="M4622" s="15"/>
    </row>
    <row r="4623" spans="12:13">
      <c r="L4623" s="3">
        <v>44668.03124998507</v>
      </c>
      <c r="M4623" s="15"/>
    </row>
    <row r="4624" spans="12:13">
      <c r="L4624" s="3">
        <v>44668.034722207289</v>
      </c>
      <c r="M4624" s="15"/>
    </row>
    <row r="4625" spans="12:13">
      <c r="L4625" s="3">
        <v>44668.038194429508</v>
      </c>
      <c r="M4625" s="15"/>
    </row>
    <row r="4626" spans="12:13">
      <c r="L4626" s="3">
        <v>44668.041666651727</v>
      </c>
      <c r="M4626" s="15"/>
    </row>
    <row r="4627" spans="12:13">
      <c r="L4627" s="3">
        <v>44668.045138873946</v>
      </c>
      <c r="M4627" s="15"/>
    </row>
    <row r="4628" spans="12:13">
      <c r="L4628" s="3">
        <v>44668.048611096165</v>
      </c>
      <c r="M4628" s="15"/>
    </row>
    <row r="4629" spans="12:13">
      <c r="L4629" s="3">
        <v>44668.052083318384</v>
      </c>
      <c r="M4629" s="15"/>
    </row>
    <row r="4630" spans="12:13">
      <c r="L4630" s="3">
        <v>44668.055555540603</v>
      </c>
      <c r="M4630" s="15"/>
    </row>
    <row r="4631" spans="12:13">
      <c r="L4631" s="3">
        <v>44668.059027762822</v>
      </c>
      <c r="M4631" s="15"/>
    </row>
    <row r="4632" spans="12:13">
      <c r="L4632" s="3">
        <v>44668.062499985041</v>
      </c>
      <c r="M4632" s="15"/>
    </row>
    <row r="4633" spans="12:13">
      <c r="L4633" s="3">
        <v>44668.06597220726</v>
      </c>
      <c r="M4633" s="15"/>
    </row>
    <row r="4634" spans="12:13">
      <c r="L4634" s="3">
        <v>44668.069444429479</v>
      </c>
      <c r="M4634" s="15"/>
    </row>
    <row r="4635" spans="12:13">
      <c r="L4635" s="3">
        <v>44668.072916651698</v>
      </c>
      <c r="M4635" s="15"/>
    </row>
    <row r="4636" spans="12:13">
      <c r="L4636" s="3">
        <v>44668.076388873917</v>
      </c>
      <c r="M4636" s="15"/>
    </row>
    <row r="4637" spans="12:13">
      <c r="L4637" s="3">
        <v>44668.079861096136</v>
      </c>
      <c r="M4637" s="15"/>
    </row>
    <row r="4638" spans="12:13">
      <c r="L4638" s="3">
        <v>44668.083333318355</v>
      </c>
      <c r="M4638" s="15"/>
    </row>
    <row r="4639" spans="12:13">
      <c r="L4639" s="3">
        <v>44668.086805540574</v>
      </c>
      <c r="M4639" s="15"/>
    </row>
    <row r="4640" spans="12:13">
      <c r="L4640" s="3">
        <v>44668.090277762793</v>
      </c>
      <c r="M4640" s="15"/>
    </row>
    <row r="4641" spans="12:13">
      <c r="L4641" s="3">
        <v>44668.093749985012</v>
      </c>
      <c r="M4641" s="15"/>
    </row>
    <row r="4642" spans="12:13">
      <c r="L4642" s="3">
        <v>44668.097222207231</v>
      </c>
      <c r="M4642" s="15"/>
    </row>
    <row r="4643" spans="12:13">
      <c r="L4643" s="3">
        <v>44668.10069442945</v>
      </c>
      <c r="M4643" s="15"/>
    </row>
    <row r="4644" spans="12:13">
      <c r="L4644" s="3">
        <v>44668.104166651668</v>
      </c>
      <c r="M4644" s="15"/>
    </row>
    <row r="4645" spans="12:13">
      <c r="L4645" s="3">
        <v>44668.107638873887</v>
      </c>
      <c r="M4645" s="15"/>
    </row>
    <row r="4646" spans="12:13">
      <c r="L4646" s="3">
        <v>44668.111111096106</v>
      </c>
      <c r="M4646" s="15"/>
    </row>
    <row r="4647" spans="12:13">
      <c r="L4647" s="3">
        <v>44668.114583318325</v>
      </c>
      <c r="M4647" s="15"/>
    </row>
    <row r="4648" spans="12:13">
      <c r="L4648" s="3">
        <v>44668.118055540544</v>
      </c>
      <c r="M4648" s="15"/>
    </row>
    <row r="4649" spans="12:13">
      <c r="L4649" s="3">
        <v>44668.121527762763</v>
      </c>
      <c r="M4649" s="15"/>
    </row>
    <row r="4650" spans="12:13">
      <c r="L4650" s="3">
        <v>44668.124999984982</v>
      </c>
      <c r="M4650" s="15"/>
    </row>
    <row r="4651" spans="12:13">
      <c r="L4651" s="3">
        <v>44668.128472207201</v>
      </c>
      <c r="M4651" s="15"/>
    </row>
    <row r="4652" spans="12:13">
      <c r="L4652" s="3">
        <v>44668.13194442942</v>
      </c>
      <c r="M4652" s="15"/>
    </row>
    <row r="4653" spans="12:13">
      <c r="L4653" s="3">
        <v>44668.135416651639</v>
      </c>
      <c r="M4653" s="15"/>
    </row>
    <row r="4654" spans="12:13">
      <c r="L4654" s="3">
        <v>44668.138888873858</v>
      </c>
      <c r="M4654" s="15"/>
    </row>
    <row r="4655" spans="12:13">
      <c r="L4655" s="3">
        <v>44668.142361096077</v>
      </c>
      <c r="M4655" s="15"/>
    </row>
    <row r="4656" spans="12:13">
      <c r="L4656" s="3">
        <v>44668.145833318296</v>
      </c>
      <c r="M4656" s="15"/>
    </row>
    <row r="4657" spans="12:13">
      <c r="L4657" s="3">
        <v>44668.149305540515</v>
      </c>
      <c r="M4657" s="15"/>
    </row>
    <row r="4658" spans="12:13">
      <c r="L4658" s="3">
        <v>44668.152777762734</v>
      </c>
      <c r="M4658" s="15"/>
    </row>
    <row r="4659" spans="12:13">
      <c r="L4659" s="3">
        <v>44668.156249984953</v>
      </c>
      <c r="M4659" s="15"/>
    </row>
    <row r="4660" spans="12:13">
      <c r="L4660" s="3">
        <v>44668.159722207172</v>
      </c>
      <c r="M4660" s="15"/>
    </row>
    <row r="4661" spans="12:13">
      <c r="L4661" s="3">
        <v>44668.163194429391</v>
      </c>
      <c r="M4661" s="15"/>
    </row>
    <row r="4662" spans="12:13">
      <c r="L4662" s="3">
        <v>44668.16666665161</v>
      </c>
      <c r="M4662" s="15"/>
    </row>
    <row r="4663" spans="12:13">
      <c r="L4663" s="3">
        <v>44668.170138873829</v>
      </c>
      <c r="M4663" s="15"/>
    </row>
    <row r="4664" spans="12:13">
      <c r="L4664" s="3">
        <v>44668.173611096048</v>
      </c>
      <c r="M4664" s="15"/>
    </row>
    <row r="4665" spans="12:13">
      <c r="L4665" s="3">
        <v>44668.177083318267</v>
      </c>
      <c r="M4665" s="15"/>
    </row>
    <row r="4666" spans="12:13">
      <c r="L4666" s="3">
        <v>44668.180555540486</v>
      </c>
      <c r="M4666" s="15"/>
    </row>
    <row r="4667" spans="12:13">
      <c r="L4667" s="3">
        <v>44668.184027762705</v>
      </c>
      <c r="M4667" s="15"/>
    </row>
    <row r="4668" spans="12:13">
      <c r="L4668" s="3">
        <v>44668.187499984924</v>
      </c>
      <c r="M4668" s="15"/>
    </row>
    <row r="4669" spans="12:13">
      <c r="L4669" s="3">
        <v>44668.190972207143</v>
      </c>
      <c r="M4669" s="15"/>
    </row>
    <row r="4670" spans="12:13">
      <c r="L4670" s="3">
        <v>44668.194444429362</v>
      </c>
      <c r="M4670" s="15"/>
    </row>
    <row r="4671" spans="12:13">
      <c r="L4671" s="3">
        <v>44668.197916651581</v>
      </c>
      <c r="M4671" s="15"/>
    </row>
    <row r="4672" spans="12:13">
      <c r="L4672" s="3">
        <v>44668.2013888738</v>
      </c>
      <c r="M4672" s="15"/>
    </row>
    <row r="4673" spans="12:13">
      <c r="L4673" s="3">
        <v>44668.204861096019</v>
      </c>
      <c r="M4673" s="15"/>
    </row>
    <row r="4674" spans="12:13">
      <c r="L4674" s="3">
        <v>44668.208333318238</v>
      </c>
      <c r="M4674" s="15"/>
    </row>
    <row r="4675" spans="12:13">
      <c r="L4675" s="3">
        <v>44668.211805540457</v>
      </c>
      <c r="M4675" s="15"/>
    </row>
    <row r="4676" spans="12:13">
      <c r="L4676" s="3">
        <v>44668.215277762676</v>
      </c>
      <c r="M4676" s="15"/>
    </row>
    <row r="4677" spans="12:13">
      <c r="L4677" s="3">
        <v>44668.218749984895</v>
      </c>
      <c r="M4677" s="15"/>
    </row>
    <row r="4678" spans="12:13">
      <c r="L4678" s="3">
        <v>44668.222222207114</v>
      </c>
      <c r="M4678" s="15"/>
    </row>
    <row r="4679" spans="12:13">
      <c r="L4679" s="3">
        <v>44668.225694429333</v>
      </c>
      <c r="M4679" s="15"/>
    </row>
    <row r="4680" spans="12:13">
      <c r="L4680" s="3">
        <v>44668.229166651552</v>
      </c>
      <c r="M4680" s="15"/>
    </row>
    <row r="4681" spans="12:13">
      <c r="L4681" s="3">
        <v>44668.232638873771</v>
      </c>
      <c r="M4681" s="15"/>
    </row>
    <row r="4682" spans="12:13">
      <c r="L4682" s="3">
        <v>44668.23611109599</v>
      </c>
      <c r="M4682" s="15"/>
    </row>
    <row r="4683" spans="12:13">
      <c r="L4683" s="3">
        <v>44668.239583318209</v>
      </c>
      <c r="M4683" s="15"/>
    </row>
    <row r="4684" spans="12:13">
      <c r="L4684" s="3">
        <v>44668.243055540428</v>
      </c>
      <c r="M4684" s="15"/>
    </row>
    <row r="4685" spans="12:13">
      <c r="L4685" s="3">
        <v>44668.246527762647</v>
      </c>
      <c r="M4685" s="15"/>
    </row>
    <row r="4686" spans="12:13">
      <c r="L4686" s="3">
        <v>44668.249999984866</v>
      </c>
      <c r="M4686" s="15"/>
    </row>
    <row r="4687" spans="12:13">
      <c r="L4687" s="3">
        <v>44668.253472207085</v>
      </c>
      <c r="M4687" s="15"/>
    </row>
    <row r="4688" spans="12:13">
      <c r="L4688" s="3">
        <v>44668.256944429304</v>
      </c>
      <c r="M4688" s="15"/>
    </row>
    <row r="4689" spans="12:13">
      <c r="L4689" s="3">
        <v>44668.260416651523</v>
      </c>
      <c r="M4689" s="15"/>
    </row>
    <row r="4690" spans="12:13">
      <c r="L4690" s="3">
        <v>44668.263888873742</v>
      </c>
      <c r="M4690" s="15"/>
    </row>
    <row r="4691" spans="12:13">
      <c r="L4691" s="3">
        <v>44668.267361095961</v>
      </c>
      <c r="M4691" s="15"/>
    </row>
    <row r="4692" spans="12:13">
      <c r="L4692" s="3">
        <v>44668.27083331818</v>
      </c>
      <c r="M4692" s="15"/>
    </row>
    <row r="4693" spans="12:13">
      <c r="L4693" s="3">
        <v>44668.274305540399</v>
      </c>
      <c r="M4693" s="15"/>
    </row>
    <row r="4694" spans="12:13">
      <c r="L4694" s="3">
        <v>44668.277777762618</v>
      </c>
      <c r="M4694" s="15"/>
    </row>
    <row r="4695" spans="12:13">
      <c r="L4695" s="3">
        <v>44668.281249984837</v>
      </c>
      <c r="M4695" s="15"/>
    </row>
    <row r="4696" spans="12:13">
      <c r="L4696" s="3">
        <v>44668.284722207056</v>
      </c>
      <c r="M4696" s="15"/>
    </row>
    <row r="4697" spans="12:13">
      <c r="L4697" s="3">
        <v>44668.288194429275</v>
      </c>
      <c r="M4697" s="15"/>
    </row>
    <row r="4698" spans="12:13">
      <c r="L4698" s="3">
        <v>44668.291666651494</v>
      </c>
      <c r="M4698" s="15"/>
    </row>
    <row r="4699" spans="12:13">
      <c r="L4699" s="3">
        <v>44668.295138873713</v>
      </c>
      <c r="M4699" s="15"/>
    </row>
    <row r="4700" spans="12:13">
      <c r="L4700" s="3">
        <v>44668.298611095932</v>
      </c>
      <c r="M4700" s="15"/>
    </row>
    <row r="4701" spans="12:13">
      <c r="L4701" s="3">
        <v>44668.302083318151</v>
      </c>
      <c r="M4701" s="15"/>
    </row>
    <row r="4702" spans="12:13">
      <c r="L4702" s="3">
        <v>44668.30555554037</v>
      </c>
      <c r="M4702" s="15"/>
    </row>
    <row r="4703" spans="12:13">
      <c r="L4703" s="3">
        <v>44668.309027762589</v>
      </c>
      <c r="M4703" s="15"/>
    </row>
    <row r="4704" spans="12:13">
      <c r="L4704" s="3">
        <v>44668.312499984808</v>
      </c>
      <c r="M4704" s="15"/>
    </row>
    <row r="4705" spans="12:13">
      <c r="L4705" s="3">
        <v>44668.315972207027</v>
      </c>
      <c r="M4705" s="15"/>
    </row>
    <row r="4706" spans="12:13">
      <c r="L4706" s="3">
        <v>44668.319444429246</v>
      </c>
      <c r="M4706" s="15"/>
    </row>
    <row r="4707" spans="12:13">
      <c r="L4707" s="3">
        <v>44668.322916651465</v>
      </c>
      <c r="M4707" s="15"/>
    </row>
    <row r="4708" spans="12:13">
      <c r="L4708" s="3">
        <v>44668.326388873684</v>
      </c>
      <c r="M4708" s="15"/>
    </row>
    <row r="4709" spans="12:13">
      <c r="L4709" s="3">
        <v>44668.329861095903</v>
      </c>
      <c r="M4709" s="15"/>
    </row>
    <row r="4710" spans="12:13">
      <c r="L4710" s="3">
        <v>44668.333333318122</v>
      </c>
      <c r="M4710" s="15"/>
    </row>
    <row r="4711" spans="12:13">
      <c r="L4711" s="3">
        <v>44668.336805540341</v>
      </c>
      <c r="M4711" s="15"/>
    </row>
    <row r="4712" spans="12:13">
      <c r="L4712" s="3">
        <v>44668.34027776256</v>
      </c>
      <c r="M4712" s="15"/>
    </row>
    <row r="4713" spans="12:13">
      <c r="L4713" s="3">
        <v>44668.343749984779</v>
      </c>
      <c r="M4713" s="15"/>
    </row>
    <row r="4714" spans="12:13">
      <c r="L4714" s="3">
        <v>44668.347222206998</v>
      </c>
      <c r="M4714" s="15"/>
    </row>
    <row r="4715" spans="12:13">
      <c r="L4715" s="3">
        <v>44668.350694429217</v>
      </c>
      <c r="M4715" s="15"/>
    </row>
    <row r="4716" spans="12:13">
      <c r="L4716" s="3">
        <v>44668.354166651436</v>
      </c>
      <c r="M4716" s="15"/>
    </row>
    <row r="4717" spans="12:13">
      <c r="L4717" s="3">
        <v>44668.357638873655</v>
      </c>
      <c r="M4717" s="15"/>
    </row>
    <row r="4718" spans="12:13">
      <c r="L4718" s="3">
        <v>44668.361111095874</v>
      </c>
      <c r="M4718" s="15"/>
    </row>
    <row r="4719" spans="12:13">
      <c r="L4719" s="3">
        <v>44668.364583318093</v>
      </c>
      <c r="M4719" s="15"/>
    </row>
    <row r="4720" spans="12:13">
      <c r="L4720" s="3">
        <v>44668.368055540312</v>
      </c>
      <c r="M4720" s="15"/>
    </row>
    <row r="4721" spans="12:13">
      <c r="L4721" s="3">
        <v>44668.371527762531</v>
      </c>
      <c r="M4721" s="15"/>
    </row>
    <row r="4722" spans="12:13">
      <c r="L4722" s="3">
        <v>44668.37499998475</v>
      </c>
      <c r="M4722" s="15"/>
    </row>
    <row r="4723" spans="12:13">
      <c r="L4723" s="3">
        <v>44668.378472206969</v>
      </c>
      <c r="M4723" s="15"/>
    </row>
    <row r="4724" spans="12:13">
      <c r="L4724" s="3">
        <v>44668.381944429188</v>
      </c>
      <c r="M4724" s="15"/>
    </row>
    <row r="4725" spans="12:13">
      <c r="L4725" s="3">
        <v>44668.385416651407</v>
      </c>
      <c r="M4725" s="15"/>
    </row>
    <row r="4726" spans="12:13">
      <c r="L4726" s="3">
        <v>44668.388888873626</v>
      </c>
      <c r="M4726" s="15"/>
    </row>
    <row r="4727" spans="12:13">
      <c r="L4727" s="3">
        <v>44668.392361095845</v>
      </c>
      <c r="M4727" s="15"/>
    </row>
    <row r="4728" spans="12:13">
      <c r="L4728" s="3">
        <v>44668.395833318064</v>
      </c>
      <c r="M4728" s="15"/>
    </row>
    <row r="4729" spans="12:13">
      <c r="L4729" s="3">
        <v>44668.399305540283</v>
      </c>
      <c r="M4729" s="15"/>
    </row>
    <row r="4730" spans="12:13">
      <c r="L4730" s="3">
        <v>44668.402777762502</v>
      </c>
      <c r="M4730" s="15"/>
    </row>
    <row r="4731" spans="12:13">
      <c r="L4731" s="3">
        <v>44668.40624998472</v>
      </c>
      <c r="M4731" s="15"/>
    </row>
    <row r="4732" spans="12:13">
      <c r="L4732" s="3">
        <v>44668.409722206939</v>
      </c>
      <c r="M4732" s="15"/>
    </row>
    <row r="4733" spans="12:13">
      <c r="L4733" s="3">
        <v>44668.413194429158</v>
      </c>
      <c r="M4733" s="15"/>
    </row>
    <row r="4734" spans="12:13">
      <c r="L4734" s="3">
        <v>44668.416666651377</v>
      </c>
      <c r="M4734" s="15"/>
    </row>
    <row r="4735" spans="12:13">
      <c r="L4735" s="3">
        <v>44668.420138873596</v>
      </c>
      <c r="M4735" s="15"/>
    </row>
    <row r="4736" spans="12:13">
      <c r="L4736" s="3">
        <v>44668.423611095815</v>
      </c>
      <c r="M4736" s="15"/>
    </row>
    <row r="4737" spans="12:13">
      <c r="L4737" s="3">
        <v>44668.427083318034</v>
      </c>
      <c r="M4737" s="15"/>
    </row>
    <row r="4738" spans="12:13">
      <c r="L4738" s="3">
        <v>44668.430555540253</v>
      </c>
      <c r="M4738" s="15"/>
    </row>
    <row r="4739" spans="12:13">
      <c r="L4739" s="3">
        <v>44668.434027762472</v>
      </c>
      <c r="M4739" s="15"/>
    </row>
    <row r="4740" spans="12:13">
      <c r="L4740" s="3">
        <v>44668.437499984691</v>
      </c>
      <c r="M4740" s="15"/>
    </row>
    <row r="4741" spans="12:13">
      <c r="L4741" s="3">
        <v>44668.44097220691</v>
      </c>
      <c r="M4741" s="15"/>
    </row>
    <row r="4742" spans="12:13">
      <c r="L4742" s="3">
        <v>44668.444444429129</v>
      </c>
      <c r="M4742" s="15"/>
    </row>
    <row r="4743" spans="12:13">
      <c r="L4743" s="3">
        <v>44668.447916651348</v>
      </c>
      <c r="M4743" s="15"/>
    </row>
    <row r="4744" spans="12:13">
      <c r="L4744" s="3">
        <v>44668.451388873567</v>
      </c>
      <c r="M4744" s="15"/>
    </row>
    <row r="4745" spans="12:13">
      <c r="L4745" s="3">
        <v>44668.454861095786</v>
      </c>
      <c r="M4745" s="15"/>
    </row>
    <row r="4746" spans="12:13">
      <c r="L4746" s="3">
        <v>44668.458333318005</v>
      </c>
      <c r="M4746" s="15"/>
    </row>
    <row r="4747" spans="12:13">
      <c r="L4747" s="3">
        <v>44668.461805540224</v>
      </c>
      <c r="M4747" s="15"/>
    </row>
    <row r="4748" spans="12:13">
      <c r="L4748" s="3">
        <v>44668.465277762443</v>
      </c>
      <c r="M4748" s="15"/>
    </row>
    <row r="4749" spans="12:13">
      <c r="L4749" s="3">
        <v>44668.468749984662</v>
      </c>
      <c r="M4749" s="15"/>
    </row>
    <row r="4750" spans="12:13">
      <c r="L4750" s="3">
        <v>44668.472222206881</v>
      </c>
      <c r="M4750" s="15"/>
    </row>
    <row r="4751" spans="12:13">
      <c r="L4751" s="3">
        <v>44668.4756944291</v>
      </c>
      <c r="M4751" s="15"/>
    </row>
    <row r="4752" spans="12:13">
      <c r="L4752" s="3">
        <v>44668.479166651319</v>
      </c>
      <c r="M4752" s="15"/>
    </row>
    <row r="4753" spans="12:13">
      <c r="L4753" s="3">
        <v>44668.482638873538</v>
      </c>
      <c r="M4753" s="15"/>
    </row>
    <row r="4754" spans="12:13">
      <c r="L4754" s="3">
        <v>44668.486111095757</v>
      </c>
      <c r="M4754" s="15"/>
    </row>
    <row r="4755" spans="12:13">
      <c r="L4755" s="3">
        <v>44668.489583317976</v>
      </c>
      <c r="M4755" s="15"/>
    </row>
    <row r="4756" spans="12:13">
      <c r="L4756" s="3">
        <v>44668.493055540195</v>
      </c>
      <c r="M4756" s="15"/>
    </row>
    <row r="4757" spans="12:13">
      <c r="L4757" s="3">
        <v>44668.496527762414</v>
      </c>
      <c r="M4757" s="15"/>
    </row>
    <row r="4758" spans="12:13">
      <c r="L4758" s="3">
        <v>44668.499999984633</v>
      </c>
      <c r="M4758" s="15"/>
    </row>
    <row r="4759" spans="12:13">
      <c r="L4759" s="3">
        <v>44668.503472206852</v>
      </c>
      <c r="M4759" s="15"/>
    </row>
    <row r="4760" spans="12:13">
      <c r="L4760" s="3">
        <v>44668.506944429071</v>
      </c>
      <c r="M4760" s="15"/>
    </row>
    <row r="4761" spans="12:13">
      <c r="L4761" s="3">
        <v>44668.51041665129</v>
      </c>
      <c r="M4761" s="15"/>
    </row>
    <row r="4762" spans="12:13">
      <c r="L4762" s="3">
        <v>44668.513888873509</v>
      </c>
      <c r="M4762" s="15"/>
    </row>
    <row r="4763" spans="12:13">
      <c r="L4763" s="3">
        <v>44668.517361095728</v>
      </c>
      <c r="M4763" s="15"/>
    </row>
    <row r="4764" spans="12:13">
      <c r="L4764" s="3">
        <v>44668.520833317947</v>
      </c>
      <c r="M4764" s="15"/>
    </row>
    <row r="4765" spans="12:13">
      <c r="L4765" s="3">
        <v>44668.524305540166</v>
      </c>
      <c r="M4765" s="15"/>
    </row>
    <row r="4766" spans="12:13">
      <c r="L4766" s="3">
        <v>44668.527777762385</v>
      </c>
      <c r="M4766" s="15"/>
    </row>
    <row r="4767" spans="12:13">
      <c r="L4767" s="3">
        <v>44668.531249984604</v>
      </c>
      <c r="M4767" s="15"/>
    </row>
    <row r="4768" spans="12:13">
      <c r="L4768" s="3">
        <v>44668.534722206823</v>
      </c>
      <c r="M4768" s="15"/>
    </row>
    <row r="4769" spans="12:13">
      <c r="L4769" s="3">
        <v>44668.538194429042</v>
      </c>
      <c r="M4769" s="15"/>
    </row>
    <row r="4770" spans="12:13">
      <c r="L4770" s="3">
        <v>44668.541666651261</v>
      </c>
      <c r="M4770" s="15"/>
    </row>
    <row r="4771" spans="12:13">
      <c r="L4771" s="3">
        <v>44668.54513887348</v>
      </c>
      <c r="M4771" s="15"/>
    </row>
    <row r="4772" spans="12:13">
      <c r="L4772" s="3">
        <v>44668.548611095699</v>
      </c>
      <c r="M4772" s="15"/>
    </row>
    <row r="4773" spans="12:13">
      <c r="L4773" s="3">
        <v>44668.552083317918</v>
      </c>
      <c r="M4773" s="15"/>
    </row>
    <row r="4774" spans="12:13">
      <c r="L4774" s="3">
        <v>44668.555555540137</v>
      </c>
      <c r="M4774" s="15"/>
    </row>
    <row r="4775" spans="12:13">
      <c r="L4775" s="3">
        <v>44668.559027762356</v>
      </c>
      <c r="M4775" s="15"/>
    </row>
    <row r="4776" spans="12:13">
      <c r="L4776" s="3">
        <v>44668.562499984575</v>
      </c>
      <c r="M4776" s="15"/>
    </row>
    <row r="4777" spans="12:13">
      <c r="L4777" s="3">
        <v>44668.565972206794</v>
      </c>
      <c r="M4777" s="15"/>
    </row>
    <row r="4778" spans="12:13">
      <c r="L4778" s="3">
        <v>44668.569444429013</v>
      </c>
      <c r="M4778" s="15"/>
    </row>
    <row r="4779" spans="12:13">
      <c r="L4779" s="3">
        <v>44668.572916651232</v>
      </c>
      <c r="M4779" s="15"/>
    </row>
    <row r="4780" spans="12:13">
      <c r="L4780" s="3">
        <v>44668.576388873451</v>
      </c>
      <c r="M4780" s="15"/>
    </row>
    <row r="4781" spans="12:13">
      <c r="L4781" s="3">
        <v>44668.57986109567</v>
      </c>
      <c r="M4781" s="15"/>
    </row>
    <row r="4782" spans="12:13">
      <c r="L4782" s="3">
        <v>44668.583333317889</v>
      </c>
      <c r="M4782" s="15"/>
    </row>
    <row r="4783" spans="12:13">
      <c r="L4783" s="3">
        <v>44668.586805540108</v>
      </c>
      <c r="M4783" s="15"/>
    </row>
    <row r="4784" spans="12:13">
      <c r="L4784" s="3">
        <v>44668.590277762327</v>
      </c>
      <c r="M4784" s="15"/>
    </row>
    <row r="4785" spans="12:13">
      <c r="L4785" s="3">
        <v>44668.593749984546</v>
      </c>
      <c r="M4785" s="15"/>
    </row>
    <row r="4786" spans="12:13">
      <c r="L4786" s="3">
        <v>44668.597222206765</v>
      </c>
      <c r="M4786" s="15"/>
    </row>
    <row r="4787" spans="12:13">
      <c r="L4787" s="3">
        <v>44668.600694428984</v>
      </c>
      <c r="M4787" s="15"/>
    </row>
    <row r="4788" spans="12:13">
      <c r="L4788" s="3">
        <v>44668.604166651203</v>
      </c>
      <c r="M4788" s="15"/>
    </row>
    <row r="4789" spans="12:13">
      <c r="L4789" s="3">
        <v>44668.607638873422</v>
      </c>
      <c r="M4789" s="15"/>
    </row>
    <row r="4790" spans="12:13">
      <c r="L4790" s="3">
        <v>44668.611111095641</v>
      </c>
      <c r="M4790" s="15"/>
    </row>
    <row r="4791" spans="12:13">
      <c r="L4791" s="3">
        <v>44668.61458331786</v>
      </c>
      <c r="M4791" s="15"/>
    </row>
    <row r="4792" spans="12:13">
      <c r="L4792" s="3">
        <v>44668.618055540079</v>
      </c>
      <c r="M4792" s="15"/>
    </row>
    <row r="4793" spans="12:13">
      <c r="L4793" s="3">
        <v>44668.621527762298</v>
      </c>
      <c r="M4793" s="15"/>
    </row>
    <row r="4794" spans="12:13">
      <c r="L4794" s="3">
        <v>44668.624999984517</v>
      </c>
      <c r="M4794" s="15"/>
    </row>
    <row r="4795" spans="12:13">
      <c r="L4795" s="3">
        <v>44668.628472206736</v>
      </c>
      <c r="M4795" s="15"/>
    </row>
    <row r="4796" spans="12:13">
      <c r="L4796" s="3">
        <v>44668.631944428955</v>
      </c>
      <c r="M4796" s="15"/>
    </row>
    <row r="4797" spans="12:13">
      <c r="L4797" s="3">
        <v>44668.635416651174</v>
      </c>
      <c r="M4797" s="15"/>
    </row>
    <row r="4798" spans="12:13">
      <c r="L4798" s="3">
        <v>44668.638888873393</v>
      </c>
      <c r="M4798" s="15"/>
    </row>
    <row r="4799" spans="12:13">
      <c r="L4799" s="3">
        <v>44668.642361095612</v>
      </c>
      <c r="M4799" s="15"/>
    </row>
    <row r="4800" spans="12:13">
      <c r="L4800" s="3">
        <v>44668.645833317831</v>
      </c>
      <c r="M4800" s="15"/>
    </row>
    <row r="4801" spans="12:13">
      <c r="L4801" s="3">
        <v>44668.64930554005</v>
      </c>
      <c r="M4801" s="15"/>
    </row>
    <row r="4802" spans="12:13">
      <c r="L4802" s="3">
        <v>44668.652777762269</v>
      </c>
      <c r="M4802" s="15"/>
    </row>
    <row r="4803" spans="12:13">
      <c r="L4803" s="3">
        <v>44668.656249984488</v>
      </c>
      <c r="M4803" s="15"/>
    </row>
    <row r="4804" spans="12:13">
      <c r="L4804" s="3">
        <v>44668.659722206707</v>
      </c>
      <c r="M4804" s="15"/>
    </row>
    <row r="4805" spans="12:13">
      <c r="L4805" s="3">
        <v>44668.663194428926</v>
      </c>
      <c r="M4805" s="15"/>
    </row>
    <row r="4806" spans="12:13">
      <c r="L4806" s="3">
        <v>44668.666666651145</v>
      </c>
      <c r="M4806" s="15"/>
    </row>
    <row r="4807" spans="12:13">
      <c r="L4807" s="3">
        <v>44668.670138873364</v>
      </c>
      <c r="M4807" s="15"/>
    </row>
    <row r="4808" spans="12:13">
      <c r="L4808" s="3">
        <v>44668.673611095583</v>
      </c>
      <c r="M4808" s="15"/>
    </row>
    <row r="4809" spans="12:13">
      <c r="L4809" s="3">
        <v>44668.677083317802</v>
      </c>
      <c r="M4809" s="15"/>
    </row>
    <row r="4810" spans="12:13">
      <c r="L4810" s="3">
        <v>44668.680555540021</v>
      </c>
      <c r="M4810" s="15"/>
    </row>
    <row r="4811" spans="12:13">
      <c r="L4811" s="3">
        <v>44668.68402776224</v>
      </c>
      <c r="M4811" s="15"/>
    </row>
    <row r="4812" spans="12:13">
      <c r="L4812" s="3">
        <v>44668.687499984459</v>
      </c>
      <c r="M4812" s="15"/>
    </row>
    <row r="4813" spans="12:13">
      <c r="L4813" s="3">
        <v>44668.690972206678</v>
      </c>
      <c r="M4813" s="15"/>
    </row>
    <row r="4814" spans="12:13">
      <c r="L4814" s="3">
        <v>44668.694444428897</v>
      </c>
      <c r="M4814" s="15"/>
    </row>
    <row r="4815" spans="12:13">
      <c r="L4815" s="3">
        <v>44668.697916651116</v>
      </c>
      <c r="M4815" s="15"/>
    </row>
    <row r="4816" spans="12:13">
      <c r="L4816" s="3">
        <v>44668.701388873335</v>
      </c>
      <c r="M4816" s="15"/>
    </row>
    <row r="4817" spans="12:13">
      <c r="L4817" s="3">
        <v>44668.704861095553</v>
      </c>
      <c r="M4817" s="15"/>
    </row>
    <row r="4818" spans="12:13">
      <c r="L4818" s="3">
        <v>44668.708333317772</v>
      </c>
      <c r="M4818" s="15"/>
    </row>
    <row r="4819" spans="12:13">
      <c r="L4819" s="3">
        <v>44668.711805539991</v>
      </c>
      <c r="M4819" s="15"/>
    </row>
    <row r="4820" spans="12:13">
      <c r="L4820" s="3">
        <v>44668.71527776221</v>
      </c>
      <c r="M4820" s="15"/>
    </row>
    <row r="4821" spans="12:13">
      <c r="L4821" s="3">
        <v>44668.718749984429</v>
      </c>
      <c r="M4821" s="15"/>
    </row>
    <row r="4822" spans="12:13">
      <c r="L4822" s="3">
        <v>44668.722222206648</v>
      </c>
      <c r="M4822" s="15"/>
    </row>
    <row r="4823" spans="12:13">
      <c r="L4823" s="3">
        <v>44668.725694428867</v>
      </c>
      <c r="M4823" s="15"/>
    </row>
    <row r="4824" spans="12:13">
      <c r="L4824" s="3">
        <v>44668.729166651086</v>
      </c>
      <c r="M4824" s="15"/>
    </row>
    <row r="4825" spans="12:13">
      <c r="L4825" s="3">
        <v>44668.732638873305</v>
      </c>
      <c r="M4825" s="15"/>
    </row>
    <row r="4826" spans="12:13">
      <c r="L4826" s="3">
        <v>44668.736111095524</v>
      </c>
      <c r="M4826" s="15"/>
    </row>
    <row r="4827" spans="12:13">
      <c r="L4827" s="3">
        <v>44668.739583317743</v>
      </c>
      <c r="M4827" s="15"/>
    </row>
    <row r="4828" spans="12:13">
      <c r="L4828" s="3">
        <v>44668.743055539962</v>
      </c>
      <c r="M4828" s="15"/>
    </row>
    <row r="4829" spans="12:13">
      <c r="L4829" s="3">
        <v>44668.746527762181</v>
      </c>
      <c r="M4829" s="15"/>
    </row>
    <row r="4830" spans="12:13">
      <c r="L4830" s="3">
        <v>44668.7499999844</v>
      </c>
      <c r="M4830" s="15"/>
    </row>
    <row r="4831" spans="12:13">
      <c r="L4831" s="3">
        <v>44668.753472206619</v>
      </c>
      <c r="M4831" s="15"/>
    </row>
    <row r="4832" spans="12:13">
      <c r="L4832" s="3">
        <v>44668.756944428838</v>
      </c>
      <c r="M4832" s="15"/>
    </row>
    <row r="4833" spans="12:13">
      <c r="L4833" s="3">
        <v>44668.760416651057</v>
      </c>
      <c r="M4833" s="15"/>
    </row>
    <row r="4834" spans="12:13">
      <c r="L4834" s="3">
        <v>44668.763888873276</v>
      </c>
      <c r="M4834" s="15"/>
    </row>
    <row r="4835" spans="12:13">
      <c r="L4835" s="3">
        <v>44668.767361095495</v>
      </c>
      <c r="M4835" s="15"/>
    </row>
    <row r="4836" spans="12:13">
      <c r="L4836" s="3">
        <v>44668.770833317714</v>
      </c>
      <c r="M4836" s="15"/>
    </row>
    <row r="4837" spans="12:13">
      <c r="L4837" s="3">
        <v>44668.774305539933</v>
      </c>
      <c r="M4837" s="15"/>
    </row>
    <row r="4838" spans="12:13">
      <c r="L4838" s="3">
        <v>44668.777777762152</v>
      </c>
      <c r="M4838" s="15"/>
    </row>
    <row r="4839" spans="12:13">
      <c r="L4839" s="3">
        <v>44668.781249984371</v>
      </c>
      <c r="M4839" s="15"/>
    </row>
    <row r="4840" spans="12:13">
      <c r="L4840" s="3">
        <v>44668.78472220659</v>
      </c>
      <c r="M4840" s="15"/>
    </row>
    <row r="4841" spans="12:13">
      <c r="L4841" s="3">
        <v>44668.788194428809</v>
      </c>
      <c r="M4841" s="15"/>
    </row>
    <row r="4842" spans="12:13">
      <c r="L4842" s="3">
        <v>44668.791666651028</v>
      </c>
      <c r="M4842" s="15"/>
    </row>
    <row r="4843" spans="12:13">
      <c r="L4843" s="3">
        <v>44668.795138873247</v>
      </c>
      <c r="M4843" s="15"/>
    </row>
    <row r="4844" spans="12:13">
      <c r="L4844" s="3">
        <v>44668.798611095466</v>
      </c>
      <c r="M4844" s="15"/>
    </row>
    <row r="4845" spans="12:13">
      <c r="L4845" s="3">
        <v>44668.802083317685</v>
      </c>
      <c r="M4845" s="15"/>
    </row>
    <row r="4846" spans="12:13">
      <c r="L4846" s="3">
        <v>44668.805555539904</v>
      </c>
      <c r="M4846" s="15"/>
    </row>
    <row r="4847" spans="12:13">
      <c r="L4847" s="3">
        <v>44668.809027762123</v>
      </c>
      <c r="M4847" s="15"/>
    </row>
    <row r="4848" spans="12:13">
      <c r="L4848" s="3">
        <v>44668.812499984342</v>
      </c>
      <c r="M4848" s="15"/>
    </row>
    <row r="4849" spans="12:13">
      <c r="L4849" s="3">
        <v>44668.815972206561</v>
      </c>
      <c r="M4849" s="15"/>
    </row>
    <row r="4850" spans="12:13">
      <c r="L4850" s="3">
        <v>44668.81944442878</v>
      </c>
      <c r="M4850" s="15"/>
    </row>
    <row r="4851" spans="12:13">
      <c r="L4851" s="3">
        <v>44668.822916650999</v>
      </c>
      <c r="M4851" s="15"/>
    </row>
    <row r="4852" spans="12:13">
      <c r="L4852" s="3">
        <v>44668.826388873218</v>
      </c>
      <c r="M4852" s="15"/>
    </row>
    <row r="4853" spans="12:13">
      <c r="L4853" s="3">
        <v>44668.829861095437</v>
      </c>
      <c r="M4853" s="15"/>
    </row>
    <row r="4854" spans="12:13">
      <c r="L4854" s="3">
        <v>44668.833333317656</v>
      </c>
      <c r="M4854" s="15"/>
    </row>
    <row r="4855" spans="12:13">
      <c r="L4855" s="3">
        <v>44668.836805539875</v>
      </c>
      <c r="M4855" s="15"/>
    </row>
    <row r="4856" spans="12:13">
      <c r="L4856" s="3">
        <v>44668.840277762094</v>
      </c>
      <c r="M4856" s="15"/>
    </row>
    <row r="4857" spans="12:13">
      <c r="L4857" s="3">
        <v>44668.843749984313</v>
      </c>
      <c r="M4857" s="15"/>
    </row>
    <row r="4858" spans="12:13">
      <c r="L4858" s="3">
        <v>44668.847222206532</v>
      </c>
      <c r="M4858" s="15"/>
    </row>
    <row r="4859" spans="12:13">
      <c r="L4859" s="3">
        <v>44668.850694428751</v>
      </c>
      <c r="M4859" s="15"/>
    </row>
    <row r="4860" spans="12:13">
      <c r="L4860" s="3">
        <v>44668.85416665097</v>
      </c>
      <c r="M4860" s="15"/>
    </row>
    <row r="4861" spans="12:13">
      <c r="L4861" s="3">
        <v>44668.857638873189</v>
      </c>
      <c r="M4861" s="15"/>
    </row>
    <row r="4862" spans="12:13">
      <c r="L4862" s="3">
        <v>44668.861111095408</v>
      </c>
      <c r="M4862" s="15"/>
    </row>
    <row r="4863" spans="12:13">
      <c r="L4863" s="3">
        <v>44668.864583317627</v>
      </c>
      <c r="M4863" s="15"/>
    </row>
    <row r="4864" spans="12:13">
      <c r="L4864" s="3">
        <v>44668.868055539846</v>
      </c>
      <c r="M4864" s="15"/>
    </row>
    <row r="4865" spans="12:13">
      <c r="L4865" s="3">
        <v>44668.871527762065</v>
      </c>
      <c r="M4865" s="15"/>
    </row>
    <row r="4866" spans="12:13">
      <c r="L4866" s="3">
        <v>44668.874999984284</v>
      </c>
      <c r="M4866" s="15"/>
    </row>
    <row r="4867" spans="12:13">
      <c r="L4867" s="3">
        <v>44668.878472206503</v>
      </c>
      <c r="M4867" s="15"/>
    </row>
    <row r="4868" spans="12:13">
      <c r="L4868" s="3">
        <v>44668.881944428722</v>
      </c>
      <c r="M4868" s="15"/>
    </row>
    <row r="4869" spans="12:13">
      <c r="L4869" s="3">
        <v>44668.885416650941</v>
      </c>
      <c r="M4869" s="15"/>
    </row>
    <row r="4870" spans="12:13">
      <c r="L4870" s="3">
        <v>44668.88888887316</v>
      </c>
      <c r="M4870" s="15"/>
    </row>
    <row r="4871" spans="12:13">
      <c r="L4871" s="3">
        <v>44668.892361095379</v>
      </c>
      <c r="M4871" s="15"/>
    </row>
    <row r="4872" spans="12:13">
      <c r="L4872" s="3">
        <v>44668.895833317598</v>
      </c>
      <c r="M4872" s="15"/>
    </row>
    <row r="4873" spans="12:13">
      <c r="L4873" s="3">
        <v>44668.899305539817</v>
      </c>
      <c r="M4873" s="15"/>
    </row>
    <row r="4874" spans="12:13">
      <c r="L4874" s="3">
        <v>44668.902777762036</v>
      </c>
      <c r="M4874" s="15"/>
    </row>
    <row r="4875" spans="12:13">
      <c r="L4875" s="3">
        <v>44668.906249984255</v>
      </c>
      <c r="M4875" s="15"/>
    </row>
    <row r="4876" spans="12:13">
      <c r="L4876" s="3">
        <v>44668.909722206474</v>
      </c>
      <c r="M4876" s="15"/>
    </row>
    <row r="4877" spans="12:13">
      <c r="L4877" s="3">
        <v>44668.913194428693</v>
      </c>
      <c r="M4877" s="15"/>
    </row>
    <row r="4878" spans="12:13">
      <c r="L4878" s="3">
        <v>44668.916666650912</v>
      </c>
      <c r="M4878" s="15"/>
    </row>
    <row r="4879" spans="12:13">
      <c r="L4879" s="3">
        <v>44668.920138873131</v>
      </c>
      <c r="M4879" s="15"/>
    </row>
    <row r="4880" spans="12:13">
      <c r="L4880" s="3">
        <v>44668.92361109535</v>
      </c>
      <c r="M4880" s="15"/>
    </row>
    <row r="4881" spans="12:13">
      <c r="L4881" s="3">
        <v>44668.927083317569</v>
      </c>
      <c r="M4881" s="15"/>
    </row>
    <row r="4882" spans="12:13">
      <c r="L4882" s="3">
        <v>44668.930555539788</v>
      </c>
      <c r="M4882" s="15"/>
    </row>
    <row r="4883" spans="12:13">
      <c r="L4883" s="3">
        <v>44668.934027762007</v>
      </c>
      <c r="M4883" s="15"/>
    </row>
    <row r="4884" spans="12:13">
      <c r="L4884" s="3">
        <v>44668.937499984226</v>
      </c>
      <c r="M4884" s="15"/>
    </row>
    <row r="4885" spans="12:13">
      <c r="L4885" s="3">
        <v>44668.940972206445</v>
      </c>
      <c r="M4885" s="15"/>
    </row>
    <row r="4886" spans="12:13">
      <c r="L4886" s="3">
        <v>44668.944444428664</v>
      </c>
      <c r="M4886" s="15"/>
    </row>
    <row r="4887" spans="12:13">
      <c r="L4887" s="3">
        <v>44668.947916650883</v>
      </c>
      <c r="M4887" s="15"/>
    </row>
    <row r="4888" spans="12:13">
      <c r="L4888" s="3">
        <v>44668.951388873102</v>
      </c>
      <c r="M4888" s="15"/>
    </row>
    <row r="4889" spans="12:13">
      <c r="L4889" s="3">
        <v>44668.954861095321</v>
      </c>
      <c r="M4889" s="15"/>
    </row>
    <row r="4890" spans="12:13">
      <c r="L4890" s="3">
        <v>44668.95833331754</v>
      </c>
      <c r="M4890" s="15"/>
    </row>
    <row r="4891" spans="12:13">
      <c r="L4891" s="3">
        <v>44668.961805539759</v>
      </c>
      <c r="M4891" s="15"/>
    </row>
    <row r="4892" spans="12:13">
      <c r="L4892" s="3">
        <v>44668.965277761978</v>
      </c>
      <c r="M4892" s="15"/>
    </row>
    <row r="4893" spans="12:13">
      <c r="L4893" s="3">
        <v>44668.968749984197</v>
      </c>
      <c r="M4893" s="15"/>
    </row>
    <row r="4894" spans="12:13">
      <c r="L4894" s="3">
        <v>44668.972222206416</v>
      </c>
      <c r="M4894" s="15"/>
    </row>
    <row r="4895" spans="12:13">
      <c r="L4895" s="3">
        <v>44668.975694428635</v>
      </c>
      <c r="M4895" s="15"/>
    </row>
    <row r="4896" spans="12:13">
      <c r="L4896" s="3">
        <v>44668.979166650854</v>
      </c>
      <c r="M4896" s="15"/>
    </row>
    <row r="4897" spans="12:13">
      <c r="L4897" s="3">
        <v>44668.982638873073</v>
      </c>
      <c r="M4897" s="15"/>
    </row>
    <row r="4898" spans="12:13">
      <c r="L4898" s="3">
        <v>44668.986111095292</v>
      </c>
      <c r="M4898" s="15"/>
    </row>
    <row r="4899" spans="12:13">
      <c r="L4899" s="3">
        <v>44668.989583317511</v>
      </c>
      <c r="M4899" s="15"/>
    </row>
    <row r="4900" spans="12:13">
      <c r="L4900" s="3">
        <v>44668.99305553973</v>
      </c>
      <c r="M4900" s="15"/>
    </row>
    <row r="4901" spans="12:13">
      <c r="L4901" s="3">
        <v>44668.996527761949</v>
      </c>
      <c r="M4901" s="15"/>
    </row>
    <row r="4902" spans="12:13">
      <c r="L4902" s="3">
        <v>44668.999999984168</v>
      </c>
      <c r="M4902" s="15"/>
    </row>
    <row r="4903" spans="12:13">
      <c r="L4903" s="3">
        <v>44669.003472206387</v>
      </c>
      <c r="M4903" s="15"/>
    </row>
    <row r="4904" spans="12:13">
      <c r="L4904" s="3">
        <v>44669.006944428605</v>
      </c>
      <c r="M4904" s="15"/>
    </row>
    <row r="4905" spans="12:13">
      <c r="L4905" s="3">
        <v>44669.010416650824</v>
      </c>
      <c r="M4905" s="15"/>
    </row>
    <row r="4906" spans="12:13">
      <c r="L4906" s="3">
        <v>44669.013888873043</v>
      </c>
      <c r="M4906" s="15"/>
    </row>
    <row r="4907" spans="12:13">
      <c r="L4907" s="3">
        <v>44669.017361095262</v>
      </c>
      <c r="M4907" s="15"/>
    </row>
    <row r="4908" spans="12:13">
      <c r="L4908" s="3">
        <v>44669.020833317481</v>
      </c>
      <c r="M4908" s="15"/>
    </row>
    <row r="4909" spans="12:13">
      <c r="L4909" s="3">
        <v>44669.0243055397</v>
      </c>
      <c r="M4909" s="15"/>
    </row>
    <row r="4910" spans="12:13">
      <c r="L4910" s="3">
        <v>44669.027777761919</v>
      </c>
      <c r="M4910" s="15"/>
    </row>
    <row r="4911" spans="12:13">
      <c r="L4911" s="3">
        <v>44669.031249984138</v>
      </c>
      <c r="M4911" s="15"/>
    </row>
    <row r="4912" spans="12:13">
      <c r="L4912" s="3">
        <v>44669.034722206357</v>
      </c>
      <c r="M4912" s="15"/>
    </row>
    <row r="4913" spans="12:13">
      <c r="L4913" s="3">
        <v>44669.038194428576</v>
      </c>
      <c r="M4913" s="15"/>
    </row>
    <row r="4914" spans="12:13">
      <c r="L4914" s="3">
        <v>44669.041666650795</v>
      </c>
      <c r="M4914" s="15"/>
    </row>
    <row r="4915" spans="12:13">
      <c r="L4915" s="3">
        <v>44669.045138873014</v>
      </c>
      <c r="M4915" s="15"/>
    </row>
    <row r="4916" spans="12:13">
      <c r="L4916" s="3">
        <v>44669.048611095233</v>
      </c>
      <c r="M4916" s="15"/>
    </row>
    <row r="4917" spans="12:13">
      <c r="L4917" s="3">
        <v>44669.052083317452</v>
      </c>
      <c r="M4917" s="15"/>
    </row>
    <row r="4918" spans="12:13">
      <c r="L4918" s="3">
        <v>44669.055555539671</v>
      </c>
      <c r="M4918" s="15"/>
    </row>
    <row r="4919" spans="12:13">
      <c r="L4919" s="3">
        <v>44669.05902776189</v>
      </c>
      <c r="M4919" s="15"/>
    </row>
    <row r="4920" spans="12:13">
      <c r="L4920" s="3">
        <v>44669.062499984109</v>
      </c>
      <c r="M4920" s="15"/>
    </row>
    <row r="4921" spans="12:13">
      <c r="L4921" s="3">
        <v>44669.065972206328</v>
      </c>
      <c r="M4921" s="15"/>
    </row>
    <row r="4922" spans="12:13">
      <c r="L4922" s="3">
        <v>44669.069444428547</v>
      </c>
      <c r="M4922" s="15"/>
    </row>
    <row r="4923" spans="12:13">
      <c r="L4923" s="3">
        <v>44669.072916650766</v>
      </c>
      <c r="M4923" s="15"/>
    </row>
    <row r="4924" spans="12:13">
      <c r="L4924" s="3">
        <v>44669.076388872985</v>
      </c>
      <c r="M4924" s="15"/>
    </row>
    <row r="4925" spans="12:13">
      <c r="L4925" s="3">
        <v>44669.079861095204</v>
      </c>
      <c r="M4925" s="15"/>
    </row>
    <row r="4926" spans="12:13">
      <c r="L4926" s="3">
        <v>44669.083333317423</v>
      </c>
      <c r="M4926" s="15"/>
    </row>
    <row r="4927" spans="12:13">
      <c r="L4927" s="3">
        <v>44669.086805539642</v>
      </c>
      <c r="M4927" s="15"/>
    </row>
    <row r="4928" spans="12:13">
      <c r="L4928" s="3">
        <v>44669.090277761861</v>
      </c>
      <c r="M4928" s="15"/>
    </row>
    <row r="4929" spans="12:13">
      <c r="L4929" s="3">
        <v>44669.09374998408</v>
      </c>
      <c r="M4929" s="15"/>
    </row>
    <row r="4930" spans="12:13">
      <c r="L4930" s="3">
        <v>44669.097222206299</v>
      </c>
      <c r="M4930" s="15"/>
    </row>
    <row r="4931" spans="12:13">
      <c r="L4931" s="3">
        <v>44669.100694428518</v>
      </c>
      <c r="M4931" s="15"/>
    </row>
    <row r="4932" spans="12:13">
      <c r="L4932" s="3">
        <v>44669.104166650737</v>
      </c>
      <c r="M4932" s="15"/>
    </row>
    <row r="4933" spans="12:13">
      <c r="L4933" s="3">
        <v>44669.107638872956</v>
      </c>
      <c r="M4933" s="15"/>
    </row>
    <row r="4934" spans="12:13">
      <c r="L4934" s="3">
        <v>44669.111111095175</v>
      </c>
      <c r="M4934" s="15"/>
    </row>
    <row r="4935" spans="12:13">
      <c r="L4935" s="3">
        <v>44669.114583317394</v>
      </c>
      <c r="M4935" s="15"/>
    </row>
    <row r="4936" spans="12:13">
      <c r="L4936" s="3">
        <v>44669.118055539613</v>
      </c>
      <c r="M4936" s="15"/>
    </row>
    <row r="4937" spans="12:13">
      <c r="L4937" s="3">
        <v>44669.121527761832</v>
      </c>
      <c r="M4937" s="15"/>
    </row>
    <row r="4938" spans="12:13">
      <c r="L4938" s="3">
        <v>44669.124999984051</v>
      </c>
      <c r="M4938" s="15"/>
    </row>
    <row r="4939" spans="12:13">
      <c r="L4939" s="3">
        <v>44669.12847220627</v>
      </c>
      <c r="M4939" s="15"/>
    </row>
    <row r="4940" spans="12:13">
      <c r="L4940" s="3">
        <v>44669.131944428489</v>
      </c>
      <c r="M4940" s="15"/>
    </row>
    <row r="4941" spans="12:13">
      <c r="L4941" s="3">
        <v>44669.135416650708</v>
      </c>
      <c r="M4941" s="15"/>
    </row>
    <row r="4942" spans="12:13">
      <c r="L4942" s="3">
        <v>44669.138888872927</v>
      </c>
      <c r="M4942" s="15"/>
    </row>
    <row r="4943" spans="12:13">
      <c r="L4943" s="3">
        <v>44669.142361095146</v>
      </c>
      <c r="M4943" s="15"/>
    </row>
    <row r="4944" spans="12:13">
      <c r="L4944" s="3">
        <v>44669.145833317365</v>
      </c>
      <c r="M4944" s="15"/>
    </row>
    <row r="4945" spans="12:13">
      <c r="L4945" s="3">
        <v>44669.149305539584</v>
      </c>
      <c r="M4945" s="15"/>
    </row>
    <row r="4946" spans="12:13">
      <c r="L4946" s="3">
        <v>44669.152777761803</v>
      </c>
      <c r="M4946" s="15"/>
    </row>
    <row r="4947" spans="12:13">
      <c r="L4947" s="3">
        <v>44669.156249984022</v>
      </c>
      <c r="M4947" s="15"/>
    </row>
    <row r="4948" spans="12:13">
      <c r="L4948" s="3">
        <v>44669.159722206241</v>
      </c>
      <c r="M4948" s="15"/>
    </row>
    <row r="4949" spans="12:13">
      <c r="L4949" s="3">
        <v>44669.16319442846</v>
      </c>
      <c r="M4949" s="15"/>
    </row>
    <row r="4950" spans="12:13">
      <c r="L4950" s="3">
        <v>44669.166666650679</v>
      </c>
      <c r="M4950" s="15"/>
    </row>
    <row r="4951" spans="12:13">
      <c r="L4951" s="3">
        <v>44669.170138872898</v>
      </c>
      <c r="M4951" s="15"/>
    </row>
    <row r="4952" spans="12:13">
      <c r="L4952" s="3">
        <v>44669.173611095117</v>
      </c>
      <c r="M4952" s="15"/>
    </row>
    <row r="4953" spans="12:13">
      <c r="L4953" s="3">
        <v>44669.177083317336</v>
      </c>
      <c r="M4953" s="15"/>
    </row>
    <row r="4954" spans="12:13">
      <c r="L4954" s="3">
        <v>44669.180555539555</v>
      </c>
      <c r="M4954" s="15"/>
    </row>
    <row r="4955" spans="12:13">
      <c r="L4955" s="3">
        <v>44669.184027761774</v>
      </c>
      <c r="M4955" s="15"/>
    </row>
    <row r="4956" spans="12:13">
      <c r="L4956" s="3">
        <v>44669.187499983993</v>
      </c>
      <c r="M4956" s="15"/>
    </row>
    <row r="4957" spans="12:13">
      <c r="L4957" s="3">
        <v>44669.190972206212</v>
      </c>
      <c r="M4957" s="15"/>
    </row>
    <row r="4958" spans="12:13">
      <c r="L4958" s="3">
        <v>44669.194444428431</v>
      </c>
      <c r="M4958" s="15"/>
    </row>
    <row r="4959" spans="12:13">
      <c r="L4959" s="3">
        <v>44669.19791665065</v>
      </c>
      <c r="M4959" s="15"/>
    </row>
    <row r="4960" spans="12:13">
      <c r="L4960" s="3">
        <v>44669.201388872869</v>
      </c>
      <c r="M4960" s="15"/>
    </row>
    <row r="4961" spans="12:13">
      <c r="L4961" s="3">
        <v>44669.204861095088</v>
      </c>
      <c r="M4961" s="15"/>
    </row>
    <row r="4962" spans="12:13">
      <c r="L4962" s="3">
        <v>44669.208333317307</v>
      </c>
      <c r="M4962" s="15"/>
    </row>
    <row r="4963" spans="12:13">
      <c r="L4963" s="3">
        <v>44669.211805539526</v>
      </c>
      <c r="M4963" s="15"/>
    </row>
    <row r="4964" spans="12:13">
      <c r="L4964" s="3">
        <v>44669.215277761745</v>
      </c>
      <c r="M4964" s="15"/>
    </row>
    <row r="4965" spans="12:13">
      <c r="L4965" s="3">
        <v>44669.218749983964</v>
      </c>
      <c r="M4965" s="15"/>
    </row>
    <row r="4966" spans="12:13">
      <c r="L4966" s="3">
        <v>44669.222222206183</v>
      </c>
      <c r="M4966" s="15"/>
    </row>
    <row r="4967" spans="12:13">
      <c r="L4967" s="3">
        <v>44669.225694428402</v>
      </c>
      <c r="M4967" s="15"/>
    </row>
    <row r="4968" spans="12:13">
      <c r="L4968" s="3">
        <v>44669.229166650621</v>
      </c>
      <c r="M4968" s="15"/>
    </row>
    <row r="4969" spans="12:13">
      <c r="L4969" s="3">
        <v>44669.23263887284</v>
      </c>
      <c r="M4969" s="15"/>
    </row>
    <row r="4970" spans="12:13">
      <c r="L4970" s="3">
        <v>44669.236111095059</v>
      </c>
      <c r="M4970" s="15"/>
    </row>
    <row r="4971" spans="12:13">
      <c r="L4971" s="3">
        <v>44669.239583317278</v>
      </c>
      <c r="M4971" s="15"/>
    </row>
    <row r="4972" spans="12:13">
      <c r="L4972" s="3">
        <v>44669.243055539497</v>
      </c>
      <c r="M4972" s="15"/>
    </row>
    <row r="4973" spans="12:13">
      <c r="L4973" s="3">
        <v>44669.246527761716</v>
      </c>
      <c r="M4973" s="15"/>
    </row>
    <row r="4974" spans="12:13">
      <c r="L4974" s="3">
        <v>44669.249999983935</v>
      </c>
      <c r="M4974" s="15"/>
    </row>
    <row r="4975" spans="12:13">
      <c r="L4975" s="3">
        <v>44669.253472206154</v>
      </c>
      <c r="M4975" s="15"/>
    </row>
    <row r="4976" spans="12:13">
      <c r="L4976" s="3">
        <v>44669.256944428373</v>
      </c>
      <c r="M4976" s="15"/>
    </row>
    <row r="4977" spans="12:13">
      <c r="L4977" s="3">
        <v>44669.260416650592</v>
      </c>
      <c r="M4977" s="15"/>
    </row>
    <row r="4978" spans="12:13">
      <c r="L4978" s="3">
        <v>44669.263888872811</v>
      </c>
      <c r="M4978" s="15"/>
    </row>
    <row r="4979" spans="12:13">
      <c r="L4979" s="3">
        <v>44669.26736109503</v>
      </c>
      <c r="M4979" s="15"/>
    </row>
    <row r="4980" spans="12:13">
      <c r="L4980" s="3">
        <v>44669.270833317249</v>
      </c>
      <c r="M4980" s="15"/>
    </row>
    <row r="4981" spans="12:13">
      <c r="L4981" s="3">
        <v>44669.274305539468</v>
      </c>
      <c r="M4981" s="15"/>
    </row>
    <row r="4982" spans="12:13">
      <c r="L4982" s="3">
        <v>44669.277777761687</v>
      </c>
      <c r="M4982" s="15"/>
    </row>
    <row r="4983" spans="12:13">
      <c r="L4983" s="3">
        <v>44669.281249983906</v>
      </c>
      <c r="M4983" s="15"/>
    </row>
    <row r="4984" spans="12:13">
      <c r="L4984" s="3">
        <v>44669.284722206125</v>
      </c>
      <c r="M4984" s="15"/>
    </row>
    <row r="4985" spans="12:13">
      <c r="L4985" s="3">
        <v>44669.288194428344</v>
      </c>
      <c r="M4985" s="15"/>
    </row>
    <row r="4986" spans="12:13">
      <c r="L4986" s="3">
        <v>44669.291666650563</v>
      </c>
      <c r="M4986" s="15"/>
    </row>
    <row r="4987" spans="12:13">
      <c r="L4987" s="3">
        <v>44669.295138872782</v>
      </c>
      <c r="M4987" s="15"/>
    </row>
    <row r="4988" spans="12:13">
      <c r="L4988" s="3">
        <v>44669.298611095001</v>
      </c>
      <c r="M4988" s="15"/>
    </row>
    <row r="4989" spans="12:13">
      <c r="L4989" s="3">
        <v>44669.30208331722</v>
      </c>
      <c r="M4989" s="15"/>
    </row>
    <row r="4990" spans="12:13">
      <c r="L4990" s="3">
        <v>44669.305555539439</v>
      </c>
      <c r="M4990" s="15"/>
    </row>
    <row r="4991" spans="12:13">
      <c r="L4991" s="3">
        <v>44669.309027761657</v>
      </c>
      <c r="M4991" s="15"/>
    </row>
    <row r="4992" spans="12:13">
      <c r="L4992" s="3">
        <v>44669.312499983876</v>
      </c>
      <c r="M4992" s="15"/>
    </row>
    <row r="4993" spans="12:13">
      <c r="L4993" s="3">
        <v>44669.315972206095</v>
      </c>
      <c r="M4993" s="15"/>
    </row>
    <row r="4994" spans="12:13">
      <c r="L4994" s="3">
        <v>44669.319444428314</v>
      </c>
      <c r="M4994" s="15"/>
    </row>
    <row r="4995" spans="12:13">
      <c r="L4995" s="3">
        <v>44669.322916650533</v>
      </c>
      <c r="M4995" s="15"/>
    </row>
    <row r="4996" spans="12:13">
      <c r="L4996" s="3">
        <v>44669.326388872752</v>
      </c>
      <c r="M4996" s="15"/>
    </row>
    <row r="4997" spans="12:13">
      <c r="L4997" s="3">
        <v>44669.329861094971</v>
      </c>
      <c r="M4997" s="15"/>
    </row>
    <row r="4998" spans="12:13">
      <c r="L4998" s="3">
        <v>44669.33333331719</v>
      </c>
      <c r="M4998" s="15"/>
    </row>
    <row r="4999" spans="12:13">
      <c r="L4999" s="3">
        <v>44669.336805539409</v>
      </c>
      <c r="M4999" s="15"/>
    </row>
    <row r="5000" spans="12:13">
      <c r="L5000" s="3">
        <v>44669.340277761628</v>
      </c>
      <c r="M5000" s="15"/>
    </row>
    <row r="5001" spans="12:13">
      <c r="L5001" s="3">
        <v>44669.343749983847</v>
      </c>
      <c r="M5001" s="15"/>
    </row>
    <row r="5002" spans="12:13">
      <c r="L5002" s="3">
        <v>44669.347222206066</v>
      </c>
      <c r="M5002" s="15"/>
    </row>
    <row r="5003" spans="12:13">
      <c r="L5003" s="3">
        <v>44669.350694428285</v>
      </c>
      <c r="M5003" s="15"/>
    </row>
    <row r="5004" spans="12:13">
      <c r="L5004" s="3">
        <v>44669.354166650504</v>
      </c>
      <c r="M5004" s="15"/>
    </row>
    <row r="5005" spans="12:13">
      <c r="L5005" s="3">
        <v>44669.357638872723</v>
      </c>
      <c r="M5005" s="15"/>
    </row>
    <row r="5006" spans="12:13">
      <c r="L5006" s="3">
        <v>44669.361111094942</v>
      </c>
      <c r="M5006" s="15"/>
    </row>
    <row r="5007" spans="12:13">
      <c r="L5007" s="3">
        <v>44669.364583317161</v>
      </c>
      <c r="M5007" s="15"/>
    </row>
    <row r="5008" spans="12:13">
      <c r="L5008" s="3">
        <v>44669.36805553938</v>
      </c>
      <c r="M5008" s="15"/>
    </row>
    <row r="5009" spans="12:13">
      <c r="L5009" s="3">
        <v>44669.371527761599</v>
      </c>
      <c r="M5009" s="15"/>
    </row>
    <row r="5010" spans="12:13">
      <c r="L5010" s="3">
        <v>44669.374999983818</v>
      </c>
      <c r="M5010" s="15"/>
    </row>
    <row r="5011" spans="12:13">
      <c r="L5011" s="3">
        <v>44669.378472206037</v>
      </c>
      <c r="M5011" s="15"/>
    </row>
    <row r="5012" spans="12:13">
      <c r="L5012" s="3">
        <v>44669.381944428256</v>
      </c>
      <c r="M5012" s="15"/>
    </row>
    <row r="5013" spans="12:13">
      <c r="L5013" s="3">
        <v>44669.385416650475</v>
      </c>
      <c r="M5013" s="15"/>
    </row>
    <row r="5014" spans="12:13">
      <c r="L5014" s="3">
        <v>44669.388888872694</v>
      </c>
      <c r="M5014" s="15"/>
    </row>
    <row r="5015" spans="12:13">
      <c r="L5015" s="3">
        <v>44669.392361094913</v>
      </c>
      <c r="M5015" s="15"/>
    </row>
    <row r="5016" spans="12:13">
      <c r="L5016" s="3">
        <v>44669.395833317132</v>
      </c>
      <c r="M5016" s="15"/>
    </row>
    <row r="5017" spans="12:13">
      <c r="L5017" s="3">
        <v>44669.399305539351</v>
      </c>
      <c r="M5017" s="15"/>
    </row>
    <row r="5018" spans="12:13">
      <c r="L5018" s="3">
        <v>44669.40277776157</v>
      </c>
      <c r="M5018" s="15"/>
    </row>
    <row r="5019" spans="12:13">
      <c r="L5019" s="3">
        <v>44669.406249983789</v>
      </c>
      <c r="M5019" s="15"/>
    </row>
    <row r="5020" spans="12:13">
      <c r="L5020" s="3">
        <v>44669.409722206008</v>
      </c>
      <c r="M5020" s="15"/>
    </row>
    <row r="5021" spans="12:13">
      <c r="L5021" s="3">
        <v>44669.413194428227</v>
      </c>
      <c r="M5021" s="15"/>
    </row>
    <row r="5022" spans="12:13">
      <c r="L5022" s="3">
        <v>44669.416666650446</v>
      </c>
      <c r="M5022" s="15"/>
    </row>
    <row r="5023" spans="12:13">
      <c r="L5023" s="3">
        <v>44669.420138872665</v>
      </c>
      <c r="M5023" s="15"/>
    </row>
    <row r="5024" spans="12:13">
      <c r="L5024" s="3">
        <v>44669.423611094884</v>
      </c>
      <c r="M5024" s="15"/>
    </row>
    <row r="5025" spans="12:13">
      <c r="L5025" s="3">
        <v>44669.427083317103</v>
      </c>
      <c r="M5025" s="15"/>
    </row>
    <row r="5026" spans="12:13">
      <c r="L5026" s="3">
        <v>44669.430555539322</v>
      </c>
      <c r="M5026" s="15"/>
    </row>
    <row r="5027" spans="12:13">
      <c r="L5027" s="3">
        <v>44669.434027761541</v>
      </c>
      <c r="M5027" s="15"/>
    </row>
    <row r="5028" spans="12:13">
      <c r="L5028" s="3">
        <v>44669.43749998376</v>
      </c>
      <c r="M5028" s="15"/>
    </row>
    <row r="5029" spans="12:13">
      <c r="L5029" s="3">
        <v>44669.440972205979</v>
      </c>
      <c r="M5029" s="15"/>
    </row>
    <row r="5030" spans="12:13">
      <c r="L5030" s="3">
        <v>44669.444444428198</v>
      </c>
      <c r="M5030" s="15"/>
    </row>
    <row r="5031" spans="12:13">
      <c r="L5031" s="3">
        <v>44669.447916650417</v>
      </c>
      <c r="M5031" s="15"/>
    </row>
    <row r="5032" spans="12:13">
      <c r="L5032" s="3">
        <v>44669.451388872636</v>
      </c>
      <c r="M5032" s="15"/>
    </row>
    <row r="5033" spans="12:13">
      <c r="L5033" s="3">
        <v>44669.454861094855</v>
      </c>
      <c r="M5033" s="15"/>
    </row>
    <row r="5034" spans="12:13">
      <c r="L5034" s="3">
        <v>44669.458333317074</v>
      </c>
      <c r="M5034" s="15"/>
    </row>
    <row r="5035" spans="12:13">
      <c r="L5035" s="3">
        <v>44669.461805539293</v>
      </c>
      <c r="M5035" s="15"/>
    </row>
    <row r="5036" spans="12:13">
      <c r="L5036" s="3">
        <v>44669.465277761512</v>
      </c>
      <c r="M5036" s="15"/>
    </row>
    <row r="5037" spans="12:13">
      <c r="L5037" s="3">
        <v>44669.468749983731</v>
      </c>
      <c r="M5037" s="15"/>
    </row>
    <row r="5038" spans="12:13">
      <c r="L5038" s="3">
        <v>44669.47222220595</v>
      </c>
      <c r="M5038" s="15"/>
    </row>
    <row r="5039" spans="12:13">
      <c r="L5039" s="3">
        <v>44669.475694428169</v>
      </c>
      <c r="M5039" s="15"/>
    </row>
    <row r="5040" spans="12:13">
      <c r="L5040" s="3">
        <v>44669.479166650388</v>
      </c>
      <c r="M5040" s="15"/>
    </row>
    <row r="5041" spans="12:13">
      <c r="L5041" s="3">
        <v>44669.482638872607</v>
      </c>
      <c r="M5041" s="15"/>
    </row>
    <row r="5042" spans="12:13">
      <c r="L5042" s="3">
        <v>44669.486111094826</v>
      </c>
      <c r="M5042" s="15"/>
    </row>
    <row r="5043" spans="12:13">
      <c r="L5043" s="3">
        <v>44669.489583317045</v>
      </c>
      <c r="M5043" s="15"/>
    </row>
    <row r="5044" spans="12:13">
      <c r="L5044" s="3">
        <v>44669.493055539264</v>
      </c>
      <c r="M5044" s="15"/>
    </row>
    <row r="5045" spans="12:13">
      <c r="L5045" s="3">
        <v>44669.496527761483</v>
      </c>
      <c r="M5045" s="15"/>
    </row>
    <row r="5046" spans="12:13">
      <c r="L5046" s="3">
        <v>44669.499999983702</v>
      </c>
      <c r="M5046" s="15"/>
    </row>
    <row r="5047" spans="12:13">
      <c r="L5047" s="3">
        <v>44669.503472205921</v>
      </c>
      <c r="M5047" s="15"/>
    </row>
    <row r="5048" spans="12:13">
      <c r="L5048" s="3">
        <v>44669.50694442814</v>
      </c>
      <c r="M5048" s="15"/>
    </row>
    <row r="5049" spans="12:13">
      <c r="L5049" s="3">
        <v>44669.510416650359</v>
      </c>
      <c r="M5049" s="15"/>
    </row>
    <row r="5050" spans="12:13">
      <c r="L5050" s="3">
        <v>44669.513888872578</v>
      </c>
      <c r="M5050" s="15"/>
    </row>
    <row r="5051" spans="12:13">
      <c r="L5051" s="3">
        <v>44669.517361094797</v>
      </c>
      <c r="M5051" s="15"/>
    </row>
    <row r="5052" spans="12:13">
      <c r="L5052" s="3">
        <v>44669.520833317016</v>
      </c>
      <c r="M5052" s="15"/>
    </row>
    <row r="5053" spans="12:13">
      <c r="L5053" s="3">
        <v>44669.524305539235</v>
      </c>
      <c r="M5053" s="15"/>
    </row>
    <row r="5054" spans="12:13">
      <c r="L5054" s="3">
        <v>44669.527777761454</v>
      </c>
      <c r="M5054" s="15"/>
    </row>
    <row r="5055" spans="12:13">
      <c r="L5055" s="3">
        <v>44669.531249983673</v>
      </c>
      <c r="M5055" s="15"/>
    </row>
    <row r="5056" spans="12:13">
      <c r="L5056" s="3">
        <v>44669.534722205892</v>
      </c>
      <c r="M5056" s="15"/>
    </row>
    <row r="5057" spans="12:13">
      <c r="L5057" s="3">
        <v>44669.538194428111</v>
      </c>
      <c r="M5057" s="15"/>
    </row>
    <row r="5058" spans="12:13">
      <c r="L5058" s="3">
        <v>44669.54166665033</v>
      </c>
      <c r="M5058" s="15"/>
    </row>
    <row r="5059" spans="12:13">
      <c r="L5059" s="3">
        <v>44669.545138872549</v>
      </c>
      <c r="M5059" s="15"/>
    </row>
    <row r="5060" spans="12:13">
      <c r="L5060" s="3">
        <v>44669.548611094768</v>
      </c>
      <c r="M5060" s="15"/>
    </row>
    <row r="5061" spans="12:13">
      <c r="L5061" s="3">
        <v>44669.552083316987</v>
      </c>
      <c r="M5061" s="15"/>
    </row>
    <row r="5062" spans="12:13">
      <c r="L5062" s="3">
        <v>44669.555555539206</v>
      </c>
      <c r="M5062" s="15"/>
    </row>
    <row r="5063" spans="12:13">
      <c r="L5063" s="3">
        <v>44669.559027761425</v>
      </c>
      <c r="M5063" s="15"/>
    </row>
    <row r="5064" spans="12:13">
      <c r="L5064" s="3">
        <v>44669.562499983644</v>
      </c>
      <c r="M5064" s="15"/>
    </row>
    <row r="5065" spans="12:13">
      <c r="L5065" s="3">
        <v>44669.565972205863</v>
      </c>
      <c r="M5065" s="15"/>
    </row>
    <row r="5066" spans="12:13">
      <c r="L5066" s="3">
        <v>44669.569444428082</v>
      </c>
      <c r="M5066" s="15"/>
    </row>
    <row r="5067" spans="12:13">
      <c r="L5067" s="3">
        <v>44669.572916650301</v>
      </c>
      <c r="M5067" s="15"/>
    </row>
    <row r="5068" spans="12:13">
      <c r="L5068" s="3">
        <v>44669.57638887252</v>
      </c>
      <c r="M5068" s="15"/>
    </row>
    <row r="5069" spans="12:13">
      <c r="L5069" s="3">
        <v>44669.579861094739</v>
      </c>
      <c r="M5069" s="15"/>
    </row>
    <row r="5070" spans="12:13">
      <c r="L5070" s="3">
        <v>44669.583333316958</v>
      </c>
      <c r="M5070" s="15"/>
    </row>
    <row r="5071" spans="12:13">
      <c r="L5071" s="3">
        <v>44669.586805539177</v>
      </c>
      <c r="M5071" s="15"/>
    </row>
    <row r="5072" spans="12:13">
      <c r="L5072" s="3">
        <v>44669.590277761396</v>
      </c>
      <c r="M5072" s="15"/>
    </row>
    <row r="5073" spans="12:13">
      <c r="L5073" s="3">
        <v>44669.593749983615</v>
      </c>
      <c r="M5073" s="15"/>
    </row>
    <row r="5074" spans="12:13">
      <c r="L5074" s="3">
        <v>44669.597222205834</v>
      </c>
      <c r="M5074" s="15"/>
    </row>
    <row r="5075" spans="12:13">
      <c r="L5075" s="3">
        <v>44669.600694428053</v>
      </c>
      <c r="M5075" s="15"/>
    </row>
    <row r="5076" spans="12:13">
      <c r="L5076" s="3">
        <v>44669.604166650272</v>
      </c>
      <c r="M5076" s="15"/>
    </row>
    <row r="5077" spans="12:13">
      <c r="L5077" s="3">
        <v>44669.60763887249</v>
      </c>
      <c r="M5077" s="15"/>
    </row>
    <row r="5078" spans="12:13">
      <c r="L5078" s="3">
        <v>44669.611111094709</v>
      </c>
      <c r="M5078" s="15"/>
    </row>
    <row r="5079" spans="12:13">
      <c r="L5079" s="3">
        <v>44669.614583316928</v>
      </c>
      <c r="M5079" s="15"/>
    </row>
    <row r="5080" spans="12:13">
      <c r="L5080" s="3">
        <v>44669.618055539147</v>
      </c>
      <c r="M5080" s="15"/>
    </row>
    <row r="5081" spans="12:13">
      <c r="L5081" s="3">
        <v>44669.621527761366</v>
      </c>
      <c r="M5081" s="15"/>
    </row>
    <row r="5082" spans="12:13">
      <c r="L5082" s="3">
        <v>44669.624999983585</v>
      </c>
      <c r="M5082" s="15"/>
    </row>
    <row r="5083" spans="12:13">
      <c r="L5083" s="3">
        <v>44669.628472205804</v>
      </c>
      <c r="M5083" s="15"/>
    </row>
    <row r="5084" spans="12:13">
      <c r="L5084" s="3">
        <v>44669.631944428023</v>
      </c>
      <c r="M5084" s="15"/>
    </row>
    <row r="5085" spans="12:13">
      <c r="L5085" s="3">
        <v>44669.635416650242</v>
      </c>
      <c r="M5085" s="15"/>
    </row>
    <row r="5086" spans="12:13">
      <c r="L5086" s="3">
        <v>44669.638888872461</v>
      </c>
      <c r="M5086" s="15"/>
    </row>
    <row r="5087" spans="12:13">
      <c r="L5087" s="3">
        <v>44669.64236109468</v>
      </c>
      <c r="M5087" s="15"/>
    </row>
    <row r="5088" spans="12:13">
      <c r="L5088" s="3">
        <v>44669.645833316899</v>
      </c>
      <c r="M5088" s="15"/>
    </row>
    <row r="5089" spans="12:13">
      <c r="L5089" s="3">
        <v>44669.649305539118</v>
      </c>
      <c r="M5089" s="15"/>
    </row>
    <row r="5090" spans="12:13">
      <c r="L5090" s="3">
        <v>44669.652777761337</v>
      </c>
      <c r="M5090" s="15"/>
    </row>
    <row r="5091" spans="12:13">
      <c r="L5091" s="3">
        <v>44669.656249983556</v>
      </c>
      <c r="M5091" s="15"/>
    </row>
    <row r="5092" spans="12:13">
      <c r="L5092" s="3">
        <v>44669.659722205775</v>
      </c>
      <c r="M5092" s="15"/>
    </row>
    <row r="5093" spans="12:13">
      <c r="L5093" s="3">
        <v>44669.663194427994</v>
      </c>
      <c r="M5093" s="15"/>
    </row>
    <row r="5094" spans="12:13">
      <c r="L5094" s="3">
        <v>44669.666666650213</v>
      </c>
      <c r="M5094" s="15"/>
    </row>
    <row r="5095" spans="12:13">
      <c r="L5095" s="3">
        <v>44669.670138872432</v>
      </c>
      <c r="M5095" s="15"/>
    </row>
    <row r="5096" spans="12:13">
      <c r="L5096" s="3">
        <v>44669.673611094651</v>
      </c>
      <c r="M5096" s="15"/>
    </row>
    <row r="5097" spans="12:13">
      <c r="L5097" s="3">
        <v>44669.67708331687</v>
      </c>
      <c r="M5097" s="15"/>
    </row>
    <row r="5098" spans="12:13">
      <c r="L5098" s="3">
        <v>44669.680555539089</v>
      </c>
      <c r="M5098" s="15"/>
    </row>
    <row r="5099" spans="12:13">
      <c r="L5099" s="3">
        <v>44669.684027761308</v>
      </c>
      <c r="M5099" s="15"/>
    </row>
    <row r="5100" spans="12:13">
      <c r="L5100" s="3">
        <v>44669.687499983527</v>
      </c>
      <c r="M5100" s="15"/>
    </row>
    <row r="5101" spans="12:13">
      <c r="L5101" s="3">
        <v>44669.690972205746</v>
      </c>
      <c r="M5101" s="15"/>
    </row>
    <row r="5102" spans="12:13">
      <c r="L5102" s="3">
        <v>44669.694444427965</v>
      </c>
      <c r="M5102" s="15"/>
    </row>
    <row r="5103" spans="12:13">
      <c r="L5103" s="3">
        <v>44669.697916650184</v>
      </c>
      <c r="M5103" s="15"/>
    </row>
    <row r="5104" spans="12:13">
      <c r="L5104" s="3">
        <v>44669.701388872403</v>
      </c>
      <c r="M5104" s="15"/>
    </row>
    <row r="5105" spans="12:13">
      <c r="L5105" s="3">
        <v>44669.704861094622</v>
      </c>
      <c r="M5105" s="15"/>
    </row>
    <row r="5106" spans="12:13">
      <c r="L5106" s="3">
        <v>44669.708333316841</v>
      </c>
      <c r="M5106" s="15"/>
    </row>
    <row r="5107" spans="12:13">
      <c r="L5107" s="3">
        <v>44669.71180553906</v>
      </c>
      <c r="M5107" s="15"/>
    </row>
    <row r="5108" spans="12:13">
      <c r="L5108" s="3">
        <v>44669.715277761279</v>
      </c>
      <c r="M5108" s="15"/>
    </row>
    <row r="5109" spans="12:13">
      <c r="L5109" s="3">
        <v>44669.718749983498</v>
      </c>
      <c r="M5109" s="15"/>
    </row>
    <row r="5110" spans="12:13">
      <c r="L5110" s="3">
        <v>44669.722222205717</v>
      </c>
      <c r="M5110" s="15"/>
    </row>
    <row r="5111" spans="12:13">
      <c r="L5111" s="3">
        <v>44669.725694427936</v>
      </c>
      <c r="M5111" s="15"/>
    </row>
    <row r="5112" spans="12:13">
      <c r="L5112" s="3">
        <v>44669.729166650155</v>
      </c>
      <c r="M5112" s="15"/>
    </row>
    <row r="5113" spans="12:13">
      <c r="L5113" s="3">
        <v>44669.732638872374</v>
      </c>
      <c r="M5113" s="15"/>
    </row>
    <row r="5114" spans="12:13">
      <c r="L5114" s="3">
        <v>44669.736111094593</v>
      </c>
      <c r="M5114" s="15"/>
    </row>
    <row r="5115" spans="12:13">
      <c r="L5115" s="3">
        <v>44669.739583316812</v>
      </c>
      <c r="M5115" s="15"/>
    </row>
    <row r="5116" spans="12:13">
      <c r="L5116" s="3">
        <v>44669.743055539031</v>
      </c>
      <c r="M5116" s="15"/>
    </row>
    <row r="5117" spans="12:13">
      <c r="L5117" s="3">
        <v>44669.74652776125</v>
      </c>
      <c r="M5117" s="15"/>
    </row>
    <row r="5118" spans="12:13">
      <c r="L5118" s="3">
        <v>44669.749999983469</v>
      </c>
      <c r="M5118" s="15"/>
    </row>
    <row r="5119" spans="12:13">
      <c r="L5119" s="3">
        <v>44669.753472205688</v>
      </c>
      <c r="M5119" s="15"/>
    </row>
    <row r="5120" spans="12:13">
      <c r="L5120" s="3">
        <v>44669.756944427907</v>
      </c>
      <c r="M5120" s="15"/>
    </row>
    <row r="5121" spans="12:13">
      <c r="L5121" s="3">
        <v>44669.760416650126</v>
      </c>
      <c r="M5121" s="15"/>
    </row>
    <row r="5122" spans="12:13">
      <c r="L5122" s="3">
        <v>44669.763888872345</v>
      </c>
      <c r="M5122" s="15"/>
    </row>
    <row r="5123" spans="12:13">
      <c r="L5123" s="3">
        <v>44669.767361094564</v>
      </c>
      <c r="M5123" s="15"/>
    </row>
    <row r="5124" spans="12:13">
      <c r="L5124" s="3">
        <v>44669.770833316783</v>
      </c>
      <c r="M5124" s="15"/>
    </row>
    <row r="5125" spans="12:13">
      <c r="L5125" s="3">
        <v>44669.774305539002</v>
      </c>
      <c r="M5125" s="15"/>
    </row>
    <row r="5126" spans="12:13">
      <c r="L5126" s="3">
        <v>44669.777777761221</v>
      </c>
      <c r="M5126" s="15"/>
    </row>
    <row r="5127" spans="12:13">
      <c r="L5127" s="3">
        <v>44669.78124998344</v>
      </c>
      <c r="M5127" s="15"/>
    </row>
    <row r="5128" spans="12:13">
      <c r="L5128" s="3">
        <v>44669.784722205659</v>
      </c>
      <c r="M5128" s="15"/>
    </row>
    <row r="5129" spans="12:13">
      <c r="L5129" s="3">
        <v>44669.788194427878</v>
      </c>
      <c r="M5129" s="15"/>
    </row>
    <row r="5130" spans="12:13">
      <c r="L5130" s="3">
        <v>44669.791666650097</v>
      </c>
      <c r="M5130" s="15"/>
    </row>
    <row r="5131" spans="12:13">
      <c r="L5131" s="3">
        <v>44669.795138872316</v>
      </c>
      <c r="M5131" s="15"/>
    </row>
    <row r="5132" spans="12:13">
      <c r="L5132" s="3">
        <v>44669.798611094535</v>
      </c>
      <c r="M5132" s="15"/>
    </row>
    <row r="5133" spans="12:13">
      <c r="L5133" s="3">
        <v>44669.802083316754</v>
      </c>
      <c r="M5133" s="15"/>
    </row>
    <row r="5134" spans="12:13">
      <c r="L5134" s="3">
        <v>44669.805555538973</v>
      </c>
      <c r="M5134" s="15"/>
    </row>
    <row r="5135" spans="12:13">
      <c r="L5135" s="3">
        <v>44669.809027761192</v>
      </c>
      <c r="M5135" s="15"/>
    </row>
    <row r="5136" spans="12:13">
      <c r="L5136" s="3">
        <v>44669.812499983411</v>
      </c>
      <c r="M5136" s="15"/>
    </row>
    <row r="5137" spans="12:13">
      <c r="L5137" s="3">
        <v>44669.81597220563</v>
      </c>
      <c r="M5137" s="15"/>
    </row>
    <row r="5138" spans="12:13">
      <c r="L5138" s="3">
        <v>44669.819444427849</v>
      </c>
      <c r="M5138" s="15"/>
    </row>
    <row r="5139" spans="12:13">
      <c r="L5139" s="3">
        <v>44669.822916650068</v>
      </c>
      <c r="M5139" s="15"/>
    </row>
    <row r="5140" spans="12:13">
      <c r="L5140" s="3">
        <v>44669.826388872287</v>
      </c>
      <c r="M5140" s="15"/>
    </row>
    <row r="5141" spans="12:13">
      <c r="L5141" s="3">
        <v>44669.829861094506</v>
      </c>
      <c r="M5141" s="15"/>
    </row>
    <row r="5142" spans="12:13">
      <c r="L5142" s="3">
        <v>44669.833333316725</v>
      </c>
      <c r="M5142" s="15"/>
    </row>
    <row r="5143" spans="12:13">
      <c r="L5143" s="3">
        <v>44669.836805538944</v>
      </c>
      <c r="M5143" s="15"/>
    </row>
    <row r="5144" spans="12:13">
      <c r="L5144" s="3">
        <v>44669.840277761163</v>
      </c>
      <c r="M5144" s="15"/>
    </row>
    <row r="5145" spans="12:13">
      <c r="L5145" s="3">
        <v>44669.843749983382</v>
      </c>
      <c r="M5145" s="15"/>
    </row>
    <row r="5146" spans="12:13">
      <c r="L5146" s="3">
        <v>44669.847222205601</v>
      </c>
      <c r="M5146" s="15"/>
    </row>
    <row r="5147" spans="12:13">
      <c r="L5147" s="3">
        <v>44669.85069442782</v>
      </c>
      <c r="M5147" s="15"/>
    </row>
    <row r="5148" spans="12:13">
      <c r="L5148" s="3">
        <v>44669.854166650039</v>
      </c>
      <c r="M5148" s="15"/>
    </row>
    <row r="5149" spans="12:13">
      <c r="L5149" s="3">
        <v>44669.857638872258</v>
      </c>
      <c r="M5149" s="15"/>
    </row>
    <row r="5150" spans="12:13">
      <c r="L5150" s="3">
        <v>44669.861111094477</v>
      </c>
      <c r="M5150" s="15"/>
    </row>
    <row r="5151" spans="12:13">
      <c r="L5151" s="3">
        <v>44669.864583316696</v>
      </c>
      <c r="M5151" s="15"/>
    </row>
    <row r="5152" spans="12:13">
      <c r="L5152" s="3">
        <v>44669.868055538915</v>
      </c>
      <c r="M5152" s="15"/>
    </row>
    <row r="5153" spans="12:13">
      <c r="L5153" s="3">
        <v>44669.871527761134</v>
      </c>
      <c r="M5153" s="15"/>
    </row>
    <row r="5154" spans="12:13">
      <c r="L5154" s="3">
        <v>44669.874999983353</v>
      </c>
      <c r="M5154" s="15"/>
    </row>
    <row r="5155" spans="12:13">
      <c r="L5155" s="3">
        <v>44669.878472205572</v>
      </c>
      <c r="M5155" s="15"/>
    </row>
    <row r="5156" spans="12:13">
      <c r="L5156" s="3">
        <v>44669.881944427791</v>
      </c>
      <c r="M5156" s="15"/>
    </row>
    <row r="5157" spans="12:13">
      <c r="L5157" s="3">
        <v>44669.88541665001</v>
      </c>
      <c r="M5157" s="15"/>
    </row>
    <row r="5158" spans="12:13">
      <c r="L5158" s="3">
        <v>44669.888888872229</v>
      </c>
      <c r="M5158" s="15"/>
    </row>
    <row r="5159" spans="12:13">
      <c r="L5159" s="3">
        <v>44669.892361094448</v>
      </c>
      <c r="M5159" s="15"/>
    </row>
    <row r="5160" spans="12:13">
      <c r="L5160" s="3">
        <v>44669.895833316667</v>
      </c>
      <c r="M5160" s="15"/>
    </row>
    <row r="5161" spans="12:13">
      <c r="L5161" s="3">
        <v>44669.899305538886</v>
      </c>
      <c r="M5161" s="15"/>
    </row>
    <row r="5162" spans="12:13">
      <c r="L5162" s="3">
        <v>44669.902777761105</v>
      </c>
      <c r="M5162" s="15"/>
    </row>
    <row r="5163" spans="12:13">
      <c r="L5163" s="3">
        <v>44669.906249983324</v>
      </c>
      <c r="M5163" s="15"/>
    </row>
    <row r="5164" spans="12:13">
      <c r="L5164" s="3">
        <v>44669.909722205542</v>
      </c>
      <c r="M5164" s="15"/>
    </row>
    <row r="5165" spans="12:13">
      <c r="L5165" s="3">
        <v>44669.913194427761</v>
      </c>
      <c r="M5165" s="15"/>
    </row>
    <row r="5166" spans="12:13">
      <c r="L5166" s="3">
        <v>44669.91666664998</v>
      </c>
      <c r="M5166" s="15"/>
    </row>
    <row r="5167" spans="12:13">
      <c r="L5167" s="3">
        <v>44669.920138872199</v>
      </c>
      <c r="M5167" s="15"/>
    </row>
    <row r="5168" spans="12:13">
      <c r="L5168" s="3">
        <v>44669.923611094418</v>
      </c>
      <c r="M5168" s="15"/>
    </row>
    <row r="5169" spans="12:13">
      <c r="L5169" s="3">
        <v>44669.927083316637</v>
      </c>
      <c r="M5169" s="15"/>
    </row>
    <row r="5170" spans="12:13">
      <c r="L5170" s="3">
        <v>44669.930555538856</v>
      </c>
      <c r="M5170" s="15"/>
    </row>
    <row r="5171" spans="12:13">
      <c r="L5171" s="3">
        <v>44669.934027761075</v>
      </c>
      <c r="M5171" s="15"/>
    </row>
    <row r="5172" spans="12:13">
      <c r="L5172" s="3">
        <v>44669.937499983294</v>
      </c>
      <c r="M5172" s="15"/>
    </row>
    <row r="5173" spans="12:13">
      <c r="L5173" s="3">
        <v>44669.940972205513</v>
      </c>
      <c r="M5173" s="15"/>
    </row>
    <row r="5174" spans="12:13">
      <c r="L5174" s="3">
        <v>44669.944444427732</v>
      </c>
      <c r="M5174" s="15"/>
    </row>
    <row r="5175" spans="12:13">
      <c r="L5175" s="3">
        <v>44669.947916649951</v>
      </c>
      <c r="M5175" s="15"/>
    </row>
    <row r="5176" spans="12:13">
      <c r="L5176" s="3">
        <v>44669.95138887217</v>
      </c>
      <c r="M5176" s="15"/>
    </row>
    <row r="5177" spans="12:13">
      <c r="L5177" s="3">
        <v>44669.954861094389</v>
      </c>
      <c r="M5177" s="15"/>
    </row>
    <row r="5178" spans="12:13">
      <c r="L5178" s="3">
        <v>44669.958333316608</v>
      </c>
      <c r="M5178" s="15"/>
    </row>
    <row r="5179" spans="12:13">
      <c r="L5179" s="3">
        <v>44669.961805538827</v>
      </c>
      <c r="M5179" s="15"/>
    </row>
    <row r="5180" spans="12:13">
      <c r="L5180" s="3">
        <v>44669.965277761046</v>
      </c>
      <c r="M5180" s="15"/>
    </row>
    <row r="5181" spans="12:13">
      <c r="L5181" s="3">
        <v>44669.968749983265</v>
      </c>
      <c r="M5181" s="15"/>
    </row>
    <row r="5182" spans="12:13">
      <c r="L5182" s="3">
        <v>44669.972222205484</v>
      </c>
      <c r="M5182" s="15"/>
    </row>
    <row r="5183" spans="12:13">
      <c r="L5183" s="3">
        <v>44669.975694427703</v>
      </c>
      <c r="M5183" s="15"/>
    </row>
    <row r="5184" spans="12:13">
      <c r="L5184" s="3">
        <v>44669.979166649922</v>
      </c>
      <c r="M5184" s="15"/>
    </row>
    <row r="5185" spans="12:13">
      <c r="L5185" s="3">
        <v>44669.982638872141</v>
      </c>
      <c r="M5185" s="15"/>
    </row>
    <row r="5186" spans="12:13">
      <c r="L5186" s="3">
        <v>44669.98611109436</v>
      </c>
      <c r="M5186" s="15"/>
    </row>
    <row r="5187" spans="12:13">
      <c r="L5187" s="3">
        <v>44669.989583316579</v>
      </c>
      <c r="M5187" s="15"/>
    </row>
    <row r="5188" spans="12:13">
      <c r="L5188" s="3">
        <v>44669.993055538798</v>
      </c>
      <c r="M5188" s="15"/>
    </row>
    <row r="5189" spans="12:13">
      <c r="L5189" s="3">
        <v>44669.996527761017</v>
      </c>
      <c r="M5189" s="15"/>
    </row>
    <row r="5190" spans="12:13">
      <c r="L5190" s="3">
        <v>44669.999999983236</v>
      </c>
      <c r="M5190" s="15"/>
    </row>
    <row r="5191" spans="12:13">
      <c r="L5191" s="3">
        <v>44670.003472205455</v>
      </c>
      <c r="M5191" s="15"/>
    </row>
    <row r="5192" spans="12:13">
      <c r="L5192" s="3">
        <v>44670.006944427674</v>
      </c>
      <c r="M5192" s="15"/>
    </row>
    <row r="5193" spans="12:13">
      <c r="L5193" s="3">
        <v>44670.010416649893</v>
      </c>
      <c r="M5193" s="15"/>
    </row>
    <row r="5194" spans="12:13">
      <c r="L5194" s="3">
        <v>44670.013888872112</v>
      </c>
      <c r="M5194" s="15"/>
    </row>
    <row r="5195" spans="12:13">
      <c r="L5195" s="3">
        <v>44670.017361094331</v>
      </c>
      <c r="M5195" s="15"/>
    </row>
    <row r="5196" spans="12:13">
      <c r="L5196" s="3">
        <v>44670.02083331655</v>
      </c>
      <c r="M5196" s="15"/>
    </row>
    <row r="5197" spans="12:13">
      <c r="L5197" s="3">
        <v>44670.024305538769</v>
      </c>
      <c r="M5197" s="15"/>
    </row>
    <row r="5198" spans="12:13">
      <c r="L5198" s="3">
        <v>44670.027777760988</v>
      </c>
      <c r="M5198" s="15"/>
    </row>
    <row r="5199" spans="12:13">
      <c r="L5199" s="3">
        <v>44670.031249983207</v>
      </c>
      <c r="M5199" s="15"/>
    </row>
    <row r="5200" spans="12:13">
      <c r="L5200" s="3">
        <v>44670.034722205426</v>
      </c>
      <c r="M5200" s="15"/>
    </row>
    <row r="5201" spans="12:13">
      <c r="L5201" s="3">
        <v>44670.038194427645</v>
      </c>
      <c r="M5201" s="15"/>
    </row>
    <row r="5202" spans="12:13">
      <c r="L5202" s="3">
        <v>44670.041666649864</v>
      </c>
      <c r="M5202" s="15"/>
    </row>
    <row r="5203" spans="12:13">
      <c r="L5203" s="3">
        <v>44670.045138872083</v>
      </c>
      <c r="M5203" s="15"/>
    </row>
    <row r="5204" spans="12:13">
      <c r="L5204" s="3">
        <v>44670.048611094302</v>
      </c>
      <c r="M5204" s="15"/>
    </row>
    <row r="5205" spans="12:13">
      <c r="L5205" s="3">
        <v>44670.052083316521</v>
      </c>
      <c r="M5205" s="15"/>
    </row>
    <row r="5206" spans="12:13">
      <c r="L5206" s="3">
        <v>44670.05555553874</v>
      </c>
      <c r="M5206" s="15"/>
    </row>
    <row r="5207" spans="12:13">
      <c r="L5207" s="3">
        <v>44670.059027760959</v>
      </c>
      <c r="M5207" s="15"/>
    </row>
    <row r="5208" spans="12:13">
      <c r="L5208" s="3">
        <v>44670.062499983178</v>
      </c>
      <c r="M5208" s="15"/>
    </row>
    <row r="5209" spans="12:13">
      <c r="L5209" s="3">
        <v>44670.065972205397</v>
      </c>
      <c r="M5209" s="15"/>
    </row>
    <row r="5210" spans="12:13">
      <c r="L5210" s="3">
        <v>44670.069444427616</v>
      </c>
      <c r="M5210" s="15"/>
    </row>
    <row r="5211" spans="12:13">
      <c r="L5211" s="3">
        <v>44670.072916649835</v>
      </c>
      <c r="M5211" s="15"/>
    </row>
    <row r="5212" spans="12:13">
      <c r="L5212" s="3">
        <v>44670.076388872054</v>
      </c>
      <c r="M5212" s="15"/>
    </row>
    <row r="5213" spans="12:13">
      <c r="L5213" s="3">
        <v>44670.079861094273</v>
      </c>
      <c r="M5213" s="15"/>
    </row>
    <row r="5214" spans="12:13">
      <c r="L5214" s="3">
        <v>44670.083333316492</v>
      </c>
      <c r="M5214" s="15"/>
    </row>
    <row r="5215" spans="12:13">
      <c r="L5215" s="3">
        <v>44670.086805538711</v>
      </c>
      <c r="M5215" s="15"/>
    </row>
    <row r="5216" spans="12:13">
      <c r="L5216" s="3">
        <v>44670.09027776093</v>
      </c>
      <c r="M5216" s="15"/>
    </row>
    <row r="5217" spans="12:13">
      <c r="L5217" s="3">
        <v>44670.093749983149</v>
      </c>
      <c r="M5217" s="15"/>
    </row>
    <row r="5218" spans="12:13">
      <c r="L5218" s="3">
        <v>44670.097222205368</v>
      </c>
      <c r="M5218" s="15"/>
    </row>
    <row r="5219" spans="12:13">
      <c r="L5219" s="3">
        <v>44670.100694427587</v>
      </c>
      <c r="M5219" s="15"/>
    </row>
    <row r="5220" spans="12:13">
      <c r="L5220" s="3">
        <v>44670.104166649806</v>
      </c>
      <c r="M5220" s="15"/>
    </row>
    <row r="5221" spans="12:13">
      <c r="L5221" s="3">
        <v>44670.107638872025</v>
      </c>
      <c r="M5221" s="15"/>
    </row>
    <row r="5222" spans="12:13">
      <c r="L5222" s="3">
        <v>44670.111111094244</v>
      </c>
      <c r="M5222" s="15"/>
    </row>
    <row r="5223" spans="12:13">
      <c r="L5223" s="3">
        <v>44670.114583316463</v>
      </c>
      <c r="M5223" s="15"/>
    </row>
    <row r="5224" spans="12:13">
      <c r="L5224" s="3">
        <v>44670.118055538682</v>
      </c>
      <c r="M5224" s="15"/>
    </row>
    <row r="5225" spans="12:13">
      <c r="L5225" s="3">
        <v>44670.121527760901</v>
      </c>
      <c r="M5225" s="15"/>
    </row>
    <row r="5226" spans="12:13">
      <c r="L5226" s="3">
        <v>44670.12499998312</v>
      </c>
      <c r="M5226" s="15"/>
    </row>
    <row r="5227" spans="12:13">
      <c r="L5227" s="3">
        <v>44670.128472205339</v>
      </c>
      <c r="M5227" s="15"/>
    </row>
    <row r="5228" spans="12:13">
      <c r="L5228" s="3">
        <v>44670.131944427558</v>
      </c>
      <c r="M5228" s="15"/>
    </row>
    <row r="5229" spans="12:13">
      <c r="L5229" s="3">
        <v>44670.135416649777</v>
      </c>
      <c r="M5229" s="15"/>
    </row>
    <row r="5230" spans="12:13">
      <c r="L5230" s="3">
        <v>44670.138888871996</v>
      </c>
      <c r="M5230" s="15"/>
    </row>
    <row r="5231" spans="12:13">
      <c r="L5231" s="3">
        <v>44670.142361094215</v>
      </c>
      <c r="M5231" s="15"/>
    </row>
    <row r="5232" spans="12:13">
      <c r="L5232" s="3">
        <v>44670.145833316434</v>
      </c>
      <c r="M5232" s="15"/>
    </row>
    <row r="5233" spans="12:13">
      <c r="L5233" s="3">
        <v>44670.149305538653</v>
      </c>
      <c r="M5233" s="15"/>
    </row>
    <row r="5234" spans="12:13">
      <c r="L5234" s="3">
        <v>44670.152777760872</v>
      </c>
      <c r="M5234" s="15"/>
    </row>
    <row r="5235" spans="12:13">
      <c r="L5235" s="3">
        <v>44670.156249983091</v>
      </c>
      <c r="M5235" s="15"/>
    </row>
    <row r="5236" spans="12:13">
      <c r="L5236" s="3">
        <v>44670.15972220531</v>
      </c>
      <c r="M5236" s="15"/>
    </row>
    <row r="5237" spans="12:13">
      <c r="L5237" s="3">
        <v>44670.163194427529</v>
      </c>
      <c r="M5237" s="15"/>
    </row>
    <row r="5238" spans="12:13">
      <c r="L5238" s="3">
        <v>44670.166666649748</v>
      </c>
      <c r="M5238" s="15"/>
    </row>
    <row r="5239" spans="12:13">
      <c r="L5239" s="3">
        <v>44670.170138871967</v>
      </c>
      <c r="M5239" s="15"/>
    </row>
    <row r="5240" spans="12:13">
      <c r="L5240" s="3">
        <v>44670.173611094186</v>
      </c>
      <c r="M5240" s="15"/>
    </row>
    <row r="5241" spans="12:13">
      <c r="L5241" s="3">
        <v>44670.177083316405</v>
      </c>
      <c r="M5241" s="15"/>
    </row>
    <row r="5242" spans="12:13">
      <c r="L5242" s="3">
        <v>44670.180555538624</v>
      </c>
      <c r="M5242" s="15"/>
    </row>
    <row r="5243" spans="12:13">
      <c r="L5243" s="3">
        <v>44670.184027760843</v>
      </c>
      <c r="M5243" s="15"/>
    </row>
    <row r="5244" spans="12:13">
      <c r="L5244" s="3">
        <v>44670.187499983062</v>
      </c>
      <c r="M5244" s="15"/>
    </row>
    <row r="5245" spans="12:13">
      <c r="L5245" s="3">
        <v>44670.190972205281</v>
      </c>
      <c r="M5245" s="15"/>
    </row>
    <row r="5246" spans="12:13">
      <c r="L5246" s="3">
        <v>44670.1944444275</v>
      </c>
      <c r="M5246" s="15"/>
    </row>
    <row r="5247" spans="12:13">
      <c r="L5247" s="3">
        <v>44670.197916649719</v>
      </c>
      <c r="M5247" s="15"/>
    </row>
    <row r="5248" spans="12:13">
      <c r="L5248" s="3">
        <v>44670.201388871938</v>
      </c>
      <c r="M5248" s="15"/>
    </row>
    <row r="5249" spans="12:13">
      <c r="L5249" s="3">
        <v>44670.204861094157</v>
      </c>
      <c r="M5249" s="15"/>
    </row>
    <row r="5250" spans="12:13">
      <c r="L5250" s="3">
        <v>44670.208333316376</v>
      </c>
      <c r="M5250" s="15"/>
    </row>
    <row r="5251" spans="12:13">
      <c r="L5251" s="3">
        <v>44670.211805538594</v>
      </c>
      <c r="M5251" s="15"/>
    </row>
    <row r="5252" spans="12:13">
      <c r="L5252" s="3">
        <v>44670.215277760813</v>
      </c>
      <c r="M5252" s="15"/>
    </row>
    <row r="5253" spans="12:13">
      <c r="L5253" s="3">
        <v>44670.218749983032</v>
      </c>
      <c r="M5253" s="15"/>
    </row>
    <row r="5254" spans="12:13">
      <c r="L5254" s="3">
        <v>44670.222222205251</v>
      </c>
      <c r="M5254" s="15"/>
    </row>
    <row r="5255" spans="12:13">
      <c r="L5255" s="3">
        <v>44670.22569442747</v>
      </c>
      <c r="M5255" s="15"/>
    </row>
    <row r="5256" spans="12:13">
      <c r="L5256" s="3">
        <v>44670.229166649689</v>
      </c>
      <c r="M5256" s="15"/>
    </row>
    <row r="5257" spans="12:13">
      <c r="L5257" s="3">
        <v>44670.232638871908</v>
      </c>
      <c r="M5257" s="15"/>
    </row>
    <row r="5258" spans="12:13">
      <c r="L5258" s="3">
        <v>44670.236111094127</v>
      </c>
      <c r="M5258" s="15"/>
    </row>
    <row r="5259" spans="12:13">
      <c r="L5259" s="3">
        <v>44670.239583316346</v>
      </c>
      <c r="M5259" s="15"/>
    </row>
    <row r="5260" spans="12:13">
      <c r="L5260" s="3">
        <v>44670.243055538565</v>
      </c>
      <c r="M5260" s="15"/>
    </row>
    <row r="5261" spans="12:13">
      <c r="L5261" s="3">
        <v>44670.246527760784</v>
      </c>
      <c r="M5261" s="15"/>
    </row>
    <row r="5262" spans="12:13">
      <c r="L5262" s="3">
        <v>44670.249999983003</v>
      </c>
      <c r="M5262" s="15"/>
    </row>
    <row r="5263" spans="12:13">
      <c r="L5263" s="3">
        <v>44670.253472205222</v>
      </c>
      <c r="M5263" s="15"/>
    </row>
    <row r="5264" spans="12:13">
      <c r="L5264" s="3">
        <v>44670.256944427441</v>
      </c>
      <c r="M5264" s="15"/>
    </row>
    <row r="5265" spans="12:13">
      <c r="L5265" s="3">
        <v>44670.26041664966</v>
      </c>
      <c r="M5265" s="15"/>
    </row>
    <row r="5266" spans="12:13">
      <c r="L5266" s="3">
        <v>44670.263888871879</v>
      </c>
      <c r="M5266" s="15"/>
    </row>
    <row r="5267" spans="12:13">
      <c r="L5267" s="3">
        <v>44670.267361094098</v>
      </c>
      <c r="M5267" s="15"/>
    </row>
    <row r="5268" spans="12:13">
      <c r="L5268" s="3">
        <v>44670.270833316317</v>
      </c>
      <c r="M5268" s="15"/>
    </row>
    <row r="5269" spans="12:13">
      <c r="L5269" s="3">
        <v>44670.274305538536</v>
      </c>
      <c r="M5269" s="15"/>
    </row>
    <row r="5270" spans="12:13">
      <c r="L5270" s="3">
        <v>44670.277777760755</v>
      </c>
      <c r="M5270" s="15"/>
    </row>
    <row r="5271" spans="12:13">
      <c r="L5271" s="3">
        <v>44670.281249982974</v>
      </c>
      <c r="M5271" s="15"/>
    </row>
    <row r="5272" spans="12:13">
      <c r="L5272" s="3">
        <v>44670.284722205193</v>
      </c>
      <c r="M5272" s="15"/>
    </row>
    <row r="5273" spans="12:13">
      <c r="L5273" s="3">
        <v>44670.288194427412</v>
      </c>
      <c r="M5273" s="15"/>
    </row>
    <row r="5274" spans="12:13">
      <c r="L5274" s="3">
        <v>44670.291666649631</v>
      </c>
      <c r="M5274" s="15"/>
    </row>
    <row r="5275" spans="12:13">
      <c r="L5275" s="3">
        <v>44670.29513887185</v>
      </c>
      <c r="M5275" s="15"/>
    </row>
    <row r="5276" spans="12:13">
      <c r="L5276" s="3">
        <v>44670.298611094069</v>
      </c>
      <c r="M5276" s="15"/>
    </row>
    <row r="5277" spans="12:13">
      <c r="L5277" s="3">
        <v>44670.302083316288</v>
      </c>
      <c r="M5277" s="15"/>
    </row>
    <row r="5278" spans="12:13">
      <c r="L5278" s="3">
        <v>44670.305555538507</v>
      </c>
      <c r="M5278" s="15"/>
    </row>
    <row r="5279" spans="12:13">
      <c r="L5279" s="3">
        <v>44670.309027760726</v>
      </c>
      <c r="M5279" s="15"/>
    </row>
    <row r="5280" spans="12:13">
      <c r="L5280" s="3">
        <v>44670.312499982945</v>
      </c>
      <c r="M5280" s="15"/>
    </row>
    <row r="5281" spans="12:13">
      <c r="L5281" s="3">
        <v>44670.315972205164</v>
      </c>
      <c r="M5281" s="15"/>
    </row>
    <row r="5282" spans="12:13">
      <c r="L5282" s="3">
        <v>44670.319444427383</v>
      </c>
      <c r="M5282" s="15"/>
    </row>
    <row r="5283" spans="12:13">
      <c r="L5283" s="3">
        <v>44670.322916649602</v>
      </c>
      <c r="M5283" s="15"/>
    </row>
    <row r="5284" spans="12:13">
      <c r="L5284" s="3">
        <v>44670.326388871821</v>
      </c>
      <c r="M5284" s="15"/>
    </row>
    <row r="5285" spans="12:13">
      <c r="L5285" s="3">
        <v>44670.32986109404</v>
      </c>
      <c r="M5285" s="15"/>
    </row>
    <row r="5286" spans="12:13">
      <c r="L5286" s="3">
        <v>44670.333333316259</v>
      </c>
      <c r="M5286" s="15"/>
    </row>
    <row r="5287" spans="12:13">
      <c r="L5287" s="3">
        <v>44670.336805538478</v>
      </c>
      <c r="M5287" s="15"/>
    </row>
    <row r="5288" spans="12:13">
      <c r="L5288" s="3">
        <v>44670.340277760697</v>
      </c>
      <c r="M5288" s="15"/>
    </row>
    <row r="5289" spans="12:13">
      <c r="L5289" s="3">
        <v>44670.343749982916</v>
      </c>
      <c r="M5289" s="15"/>
    </row>
    <row r="5290" spans="12:13">
      <c r="L5290" s="3">
        <v>44670.347222205135</v>
      </c>
      <c r="M5290" s="15"/>
    </row>
    <row r="5291" spans="12:13">
      <c r="L5291" s="3">
        <v>44670.350694427354</v>
      </c>
      <c r="M5291" s="15"/>
    </row>
    <row r="5292" spans="12:13">
      <c r="L5292" s="3">
        <v>44670.354166649573</v>
      </c>
      <c r="M5292" s="15"/>
    </row>
    <row r="5293" spans="12:13">
      <c r="L5293" s="3">
        <v>44670.357638871792</v>
      </c>
      <c r="M5293" s="15"/>
    </row>
    <row r="5294" spans="12:13">
      <c r="L5294" s="3">
        <v>44670.361111094011</v>
      </c>
      <c r="M5294" s="15"/>
    </row>
    <row r="5295" spans="12:13">
      <c r="L5295" s="3">
        <v>44670.36458331623</v>
      </c>
      <c r="M5295" s="15"/>
    </row>
    <row r="5296" spans="12:13">
      <c r="L5296" s="3">
        <v>44670.368055538449</v>
      </c>
      <c r="M5296" s="15"/>
    </row>
    <row r="5297" spans="12:13">
      <c r="L5297" s="3">
        <v>44670.371527760668</v>
      </c>
      <c r="M5297" s="15"/>
    </row>
    <row r="5298" spans="12:13">
      <c r="L5298" s="3">
        <v>44670.374999982887</v>
      </c>
      <c r="M5298" s="15"/>
    </row>
    <row r="5299" spans="12:13">
      <c r="L5299" s="3">
        <v>44670.378472205106</v>
      </c>
      <c r="M5299" s="15"/>
    </row>
    <row r="5300" spans="12:13">
      <c r="L5300" s="3">
        <v>44670.381944427325</v>
      </c>
      <c r="M5300" s="15"/>
    </row>
    <row r="5301" spans="12:13">
      <c r="L5301" s="3">
        <v>44670.385416649544</v>
      </c>
      <c r="M5301" s="15"/>
    </row>
    <row r="5302" spans="12:13">
      <c r="L5302" s="3">
        <v>44670.388888871763</v>
      </c>
      <c r="M5302" s="15"/>
    </row>
    <row r="5303" spans="12:13">
      <c r="L5303" s="3">
        <v>44670.392361093982</v>
      </c>
      <c r="M5303" s="15"/>
    </row>
    <row r="5304" spans="12:13">
      <c r="L5304" s="3">
        <v>44670.395833316201</v>
      </c>
      <c r="M5304" s="15"/>
    </row>
    <row r="5305" spans="12:13">
      <c r="L5305" s="3">
        <v>44670.39930553842</v>
      </c>
      <c r="M5305" s="15"/>
    </row>
    <row r="5306" spans="12:13">
      <c r="L5306" s="3">
        <v>44670.402777760639</v>
      </c>
      <c r="M5306" s="15"/>
    </row>
    <row r="5307" spans="12:13">
      <c r="L5307" s="3">
        <v>44670.406249982858</v>
      </c>
      <c r="M5307" s="15"/>
    </row>
    <row r="5308" spans="12:13">
      <c r="L5308" s="3">
        <v>44670.409722205077</v>
      </c>
      <c r="M5308" s="15"/>
    </row>
    <row r="5309" spans="12:13">
      <c r="L5309" s="3">
        <v>44670.413194427296</v>
      </c>
      <c r="M5309" s="15"/>
    </row>
    <row r="5310" spans="12:13">
      <c r="L5310" s="3">
        <v>44670.416666649515</v>
      </c>
      <c r="M5310" s="15"/>
    </row>
    <row r="5311" spans="12:13">
      <c r="L5311" s="3">
        <v>44670.420138871734</v>
      </c>
      <c r="M5311" s="15"/>
    </row>
    <row r="5312" spans="12:13">
      <c r="L5312" s="3">
        <v>44670.423611093953</v>
      </c>
      <c r="M5312" s="15"/>
    </row>
    <row r="5313" spans="12:13">
      <c r="L5313" s="3">
        <v>44670.427083316172</v>
      </c>
      <c r="M5313" s="15"/>
    </row>
    <row r="5314" spans="12:13">
      <c r="L5314" s="3">
        <v>44670.430555538391</v>
      </c>
      <c r="M5314" s="15"/>
    </row>
    <row r="5315" spans="12:13">
      <c r="L5315" s="3">
        <v>44670.43402776061</v>
      </c>
      <c r="M5315" s="15"/>
    </row>
    <row r="5316" spans="12:13">
      <c r="L5316" s="3">
        <v>44670.437499982829</v>
      </c>
      <c r="M5316" s="15"/>
    </row>
    <row r="5317" spans="12:13">
      <c r="L5317" s="3">
        <v>44670.440972205048</v>
      </c>
      <c r="M5317" s="15"/>
    </row>
    <row r="5318" spans="12:13">
      <c r="L5318" s="3">
        <v>44670.444444427267</v>
      </c>
      <c r="M5318" s="15"/>
    </row>
    <row r="5319" spans="12:13">
      <c r="L5319" s="3">
        <v>44670.447916649486</v>
      </c>
      <c r="M5319" s="15"/>
    </row>
    <row r="5320" spans="12:13">
      <c r="L5320" s="3">
        <v>44670.451388871705</v>
      </c>
      <c r="M5320" s="15"/>
    </row>
    <row r="5321" spans="12:13">
      <c r="L5321" s="3">
        <v>44670.454861093924</v>
      </c>
      <c r="M5321" s="15"/>
    </row>
    <row r="5322" spans="12:13">
      <c r="L5322" s="3">
        <v>44670.458333316143</v>
      </c>
      <c r="M5322" s="15"/>
    </row>
    <row r="5323" spans="12:13">
      <c r="L5323" s="3">
        <v>44670.461805538362</v>
      </c>
      <c r="M5323" s="15"/>
    </row>
    <row r="5324" spans="12:13">
      <c r="L5324" s="3">
        <v>44670.465277760581</v>
      </c>
      <c r="M5324" s="15"/>
    </row>
    <row r="5325" spans="12:13">
      <c r="L5325" s="3">
        <v>44670.4687499828</v>
      </c>
      <c r="M5325" s="15"/>
    </row>
    <row r="5326" spans="12:13">
      <c r="L5326" s="3">
        <v>44670.472222205019</v>
      </c>
      <c r="M5326" s="15"/>
    </row>
    <row r="5327" spans="12:13">
      <c r="L5327" s="3">
        <v>44670.475694427238</v>
      </c>
      <c r="M5327" s="15"/>
    </row>
    <row r="5328" spans="12:13">
      <c r="L5328" s="3">
        <v>44670.479166649457</v>
      </c>
      <c r="M5328" s="15"/>
    </row>
    <row r="5329" spans="12:13">
      <c r="L5329" s="3">
        <v>44670.482638871676</v>
      </c>
      <c r="M5329" s="15"/>
    </row>
    <row r="5330" spans="12:13">
      <c r="L5330" s="3">
        <v>44670.486111093895</v>
      </c>
      <c r="M5330" s="15"/>
    </row>
    <row r="5331" spans="12:13">
      <c r="L5331" s="3">
        <v>44670.489583316114</v>
      </c>
      <c r="M5331" s="15"/>
    </row>
    <row r="5332" spans="12:13">
      <c r="L5332" s="3">
        <v>44670.493055538333</v>
      </c>
      <c r="M5332" s="15"/>
    </row>
    <row r="5333" spans="12:13">
      <c r="L5333" s="3">
        <v>44670.496527760552</v>
      </c>
      <c r="M5333" s="15"/>
    </row>
    <row r="5334" spans="12:13">
      <c r="L5334" s="3">
        <v>44670.499999982771</v>
      </c>
      <c r="M5334" s="15"/>
    </row>
    <row r="5335" spans="12:13">
      <c r="L5335" s="3">
        <v>44670.50347220499</v>
      </c>
      <c r="M5335" s="15"/>
    </row>
    <row r="5336" spans="12:13">
      <c r="L5336" s="3">
        <v>44670.506944427209</v>
      </c>
      <c r="M5336" s="15"/>
    </row>
    <row r="5337" spans="12:13">
      <c r="L5337" s="3">
        <v>44670.510416649427</v>
      </c>
      <c r="M5337" s="15"/>
    </row>
    <row r="5338" spans="12:13">
      <c r="L5338" s="3">
        <v>44670.513888871646</v>
      </c>
      <c r="M5338" s="15"/>
    </row>
    <row r="5339" spans="12:13">
      <c r="L5339" s="3">
        <v>44670.517361093865</v>
      </c>
      <c r="M5339" s="15"/>
    </row>
    <row r="5340" spans="12:13">
      <c r="L5340" s="3">
        <v>44670.520833316084</v>
      </c>
      <c r="M5340" s="15"/>
    </row>
    <row r="5341" spans="12:13">
      <c r="L5341" s="3">
        <v>44670.524305538303</v>
      </c>
      <c r="M5341" s="15"/>
    </row>
    <row r="5342" spans="12:13">
      <c r="L5342" s="3">
        <v>44670.527777760522</v>
      </c>
      <c r="M5342" s="15"/>
    </row>
    <row r="5343" spans="12:13">
      <c r="L5343" s="3">
        <v>44670.531249982741</v>
      </c>
      <c r="M5343" s="15"/>
    </row>
    <row r="5344" spans="12:13">
      <c r="L5344" s="3">
        <v>44670.53472220496</v>
      </c>
      <c r="M5344" s="15"/>
    </row>
    <row r="5345" spans="12:13">
      <c r="L5345" s="3">
        <v>44670.538194427179</v>
      </c>
      <c r="M5345" s="15"/>
    </row>
    <row r="5346" spans="12:13">
      <c r="L5346" s="3">
        <v>44670.541666649398</v>
      </c>
      <c r="M5346" s="15"/>
    </row>
    <row r="5347" spans="12:13">
      <c r="L5347" s="3">
        <v>44670.545138871617</v>
      </c>
      <c r="M5347" s="15"/>
    </row>
    <row r="5348" spans="12:13">
      <c r="L5348" s="3">
        <v>44670.548611093836</v>
      </c>
      <c r="M5348" s="15"/>
    </row>
    <row r="5349" spans="12:13">
      <c r="L5349" s="3">
        <v>44670.552083316055</v>
      </c>
      <c r="M5349" s="15"/>
    </row>
    <row r="5350" spans="12:13">
      <c r="L5350" s="3">
        <v>44670.555555538274</v>
      </c>
      <c r="M5350" s="15"/>
    </row>
    <row r="5351" spans="12:13">
      <c r="L5351" s="3">
        <v>44670.559027760493</v>
      </c>
      <c r="M5351" s="15"/>
    </row>
    <row r="5352" spans="12:13">
      <c r="L5352" s="3">
        <v>44670.562499982712</v>
      </c>
      <c r="M5352" s="15"/>
    </row>
    <row r="5353" spans="12:13">
      <c r="L5353" s="3">
        <v>44670.565972204931</v>
      </c>
      <c r="M5353" s="15"/>
    </row>
    <row r="5354" spans="12:13">
      <c r="L5354" s="3">
        <v>44670.56944442715</v>
      </c>
      <c r="M5354" s="15"/>
    </row>
    <row r="5355" spans="12:13">
      <c r="L5355" s="3">
        <v>44670.572916649369</v>
      </c>
      <c r="M5355" s="15"/>
    </row>
    <row r="5356" spans="12:13">
      <c r="L5356" s="3">
        <v>44670.576388871588</v>
      </c>
      <c r="M5356" s="15"/>
    </row>
    <row r="5357" spans="12:13">
      <c r="L5357" s="3">
        <v>44670.579861093807</v>
      </c>
      <c r="M5357" s="15"/>
    </row>
    <row r="5358" spans="12:13">
      <c r="L5358" s="3">
        <v>44670.583333316026</v>
      </c>
      <c r="M5358" s="15"/>
    </row>
    <row r="5359" spans="12:13">
      <c r="L5359" s="3">
        <v>44670.586805538245</v>
      </c>
      <c r="M5359" s="15"/>
    </row>
    <row r="5360" spans="12:13">
      <c r="L5360" s="3">
        <v>44670.590277760464</v>
      </c>
      <c r="M5360" s="15"/>
    </row>
    <row r="5361" spans="12:13">
      <c r="L5361" s="3">
        <v>44670.593749982683</v>
      </c>
      <c r="M5361" s="15"/>
    </row>
    <row r="5362" spans="12:13">
      <c r="L5362" s="3">
        <v>44670.597222204902</v>
      </c>
      <c r="M5362" s="15"/>
    </row>
    <row r="5363" spans="12:13">
      <c r="L5363" s="3">
        <v>44670.600694427121</v>
      </c>
      <c r="M5363" s="15"/>
    </row>
    <row r="5364" spans="12:13">
      <c r="L5364" s="3">
        <v>44670.60416664934</v>
      </c>
      <c r="M5364" s="15"/>
    </row>
    <row r="5365" spans="12:13">
      <c r="L5365" s="3">
        <v>44670.607638871559</v>
      </c>
      <c r="M5365" s="15"/>
    </row>
    <row r="5366" spans="12:13">
      <c r="L5366" s="3">
        <v>44670.611111093778</v>
      </c>
      <c r="M5366" s="15"/>
    </row>
    <row r="5367" spans="12:13">
      <c r="L5367" s="3">
        <v>44670.614583315997</v>
      </c>
      <c r="M5367" s="15"/>
    </row>
    <row r="5368" spans="12:13">
      <c r="L5368" s="3">
        <v>44670.618055538216</v>
      </c>
      <c r="M5368" s="15"/>
    </row>
    <row r="5369" spans="12:13">
      <c r="L5369" s="3">
        <v>44670.621527760435</v>
      </c>
      <c r="M5369" s="15"/>
    </row>
    <row r="5370" spans="12:13">
      <c r="L5370" s="3">
        <v>44670.624999982654</v>
      </c>
      <c r="M5370" s="15"/>
    </row>
    <row r="5371" spans="12:13">
      <c r="L5371" s="3">
        <v>44670.628472204873</v>
      </c>
      <c r="M5371" s="15"/>
    </row>
    <row r="5372" spans="12:13">
      <c r="L5372" s="3">
        <v>44670.631944427092</v>
      </c>
      <c r="M5372" s="15"/>
    </row>
    <row r="5373" spans="12:13">
      <c r="L5373" s="3">
        <v>44670.635416649311</v>
      </c>
      <c r="M5373" s="15"/>
    </row>
    <row r="5374" spans="12:13">
      <c r="L5374" s="3">
        <v>44670.63888887153</v>
      </c>
      <c r="M5374" s="15"/>
    </row>
    <row r="5375" spans="12:13">
      <c r="L5375" s="3">
        <v>44670.642361093749</v>
      </c>
      <c r="M5375" s="15"/>
    </row>
    <row r="5376" spans="12:13">
      <c r="L5376" s="3">
        <v>44670.645833315968</v>
      </c>
      <c r="M5376" s="15"/>
    </row>
    <row r="5377" spans="12:13">
      <c r="L5377" s="3">
        <v>44670.649305538187</v>
      </c>
      <c r="M5377" s="15"/>
    </row>
    <row r="5378" spans="12:13">
      <c r="L5378" s="3">
        <v>44670.652777760406</v>
      </c>
      <c r="M5378" s="15"/>
    </row>
    <row r="5379" spans="12:13">
      <c r="L5379" s="3">
        <v>44670.656249982625</v>
      </c>
      <c r="M5379" s="15"/>
    </row>
    <row r="5380" spans="12:13">
      <c r="L5380" s="3">
        <v>44670.659722204844</v>
      </c>
      <c r="M5380" s="15"/>
    </row>
    <row r="5381" spans="12:13">
      <c r="L5381" s="3">
        <v>44670.663194427063</v>
      </c>
      <c r="M5381" s="15"/>
    </row>
    <row r="5382" spans="12:13">
      <c r="L5382" s="3">
        <v>44670.666666649282</v>
      </c>
      <c r="M5382" s="15"/>
    </row>
    <row r="5383" spans="12:13">
      <c r="L5383" s="3">
        <v>44670.670138871501</v>
      </c>
      <c r="M5383" s="15"/>
    </row>
    <row r="5384" spans="12:13">
      <c r="L5384" s="3">
        <v>44670.67361109372</v>
      </c>
      <c r="M5384" s="15"/>
    </row>
    <row r="5385" spans="12:13">
      <c r="L5385" s="3">
        <v>44670.677083315939</v>
      </c>
      <c r="M5385" s="15"/>
    </row>
    <row r="5386" spans="12:13">
      <c r="L5386" s="3">
        <v>44670.680555538158</v>
      </c>
      <c r="M5386" s="15"/>
    </row>
    <row r="5387" spans="12:13">
      <c r="L5387" s="3">
        <v>44670.684027760377</v>
      </c>
      <c r="M5387" s="15"/>
    </row>
    <row r="5388" spans="12:13">
      <c r="L5388" s="3">
        <v>44670.687499982596</v>
      </c>
      <c r="M5388" s="15"/>
    </row>
    <row r="5389" spans="12:13">
      <c r="L5389" s="3">
        <v>44670.690972204815</v>
      </c>
      <c r="M5389" s="15"/>
    </row>
    <row r="5390" spans="12:13">
      <c r="L5390" s="3">
        <v>44670.694444427034</v>
      </c>
      <c r="M5390" s="15"/>
    </row>
    <row r="5391" spans="12:13">
      <c r="L5391" s="3">
        <v>44670.697916649253</v>
      </c>
      <c r="M5391" s="15"/>
    </row>
    <row r="5392" spans="12:13">
      <c r="L5392" s="3">
        <v>44670.701388871472</v>
      </c>
      <c r="M5392" s="15"/>
    </row>
    <row r="5393" spans="12:13">
      <c r="L5393" s="3">
        <v>44670.704861093691</v>
      </c>
      <c r="M5393" s="15"/>
    </row>
    <row r="5394" spans="12:13">
      <c r="L5394" s="3">
        <v>44670.70833331591</v>
      </c>
      <c r="M5394" s="15"/>
    </row>
    <row r="5395" spans="12:13">
      <c r="L5395" s="3">
        <v>44670.711805538129</v>
      </c>
      <c r="M5395" s="15"/>
    </row>
    <row r="5396" spans="12:13">
      <c r="L5396" s="3">
        <v>44670.715277760348</v>
      </c>
      <c r="M5396" s="15"/>
    </row>
    <row r="5397" spans="12:13">
      <c r="L5397" s="3">
        <v>44670.718749982567</v>
      </c>
      <c r="M5397" s="15"/>
    </row>
    <row r="5398" spans="12:13">
      <c r="L5398" s="3">
        <v>44670.722222204786</v>
      </c>
      <c r="M5398" s="15"/>
    </row>
    <row r="5399" spans="12:13">
      <c r="L5399" s="3">
        <v>44670.725694427005</v>
      </c>
      <c r="M5399" s="15"/>
    </row>
    <row r="5400" spans="12:13">
      <c r="L5400" s="3">
        <v>44670.729166649224</v>
      </c>
      <c r="M5400" s="15"/>
    </row>
    <row r="5401" spans="12:13">
      <c r="L5401" s="3">
        <v>44670.732638871443</v>
      </c>
      <c r="M5401" s="15"/>
    </row>
    <row r="5402" spans="12:13">
      <c r="L5402" s="3">
        <v>44670.736111093662</v>
      </c>
      <c r="M5402" s="15"/>
    </row>
    <row r="5403" spans="12:13">
      <c r="L5403" s="3">
        <v>44670.739583315881</v>
      </c>
      <c r="M5403" s="15"/>
    </row>
    <row r="5404" spans="12:13">
      <c r="L5404" s="3">
        <v>44670.7430555381</v>
      </c>
      <c r="M5404" s="15"/>
    </row>
    <row r="5405" spans="12:13">
      <c r="L5405" s="3">
        <v>44670.746527760319</v>
      </c>
      <c r="M5405" s="15"/>
    </row>
    <row r="5406" spans="12:13">
      <c r="L5406" s="3">
        <v>44670.749999982538</v>
      </c>
      <c r="M5406" s="15"/>
    </row>
    <row r="5407" spans="12:13">
      <c r="L5407" s="3">
        <v>44670.753472204757</v>
      </c>
      <c r="M5407" s="15"/>
    </row>
    <row r="5408" spans="12:13">
      <c r="L5408" s="3">
        <v>44670.756944426976</v>
      </c>
      <c r="M5408" s="15"/>
    </row>
    <row r="5409" spans="12:13">
      <c r="L5409" s="3">
        <v>44670.760416649195</v>
      </c>
      <c r="M5409" s="15"/>
    </row>
    <row r="5410" spans="12:13">
      <c r="L5410" s="3">
        <v>44670.763888871414</v>
      </c>
      <c r="M5410" s="15"/>
    </row>
    <row r="5411" spans="12:13">
      <c r="L5411" s="3">
        <v>44670.767361093633</v>
      </c>
      <c r="M5411" s="15"/>
    </row>
    <row r="5412" spans="12:13">
      <c r="L5412" s="3">
        <v>44670.770833315852</v>
      </c>
      <c r="M5412" s="15"/>
    </row>
    <row r="5413" spans="12:13">
      <c r="L5413" s="3">
        <v>44670.774305538071</v>
      </c>
      <c r="M5413" s="15"/>
    </row>
    <row r="5414" spans="12:13">
      <c r="L5414" s="3">
        <v>44670.77777776029</v>
      </c>
      <c r="M5414" s="15"/>
    </row>
    <row r="5415" spans="12:13">
      <c r="L5415" s="3">
        <v>44670.781249982509</v>
      </c>
      <c r="M5415" s="15"/>
    </row>
    <row r="5416" spans="12:13">
      <c r="L5416" s="3">
        <v>44670.784722204728</v>
      </c>
      <c r="M5416" s="15"/>
    </row>
    <row r="5417" spans="12:13">
      <c r="L5417" s="3">
        <v>44670.788194426947</v>
      </c>
      <c r="M5417" s="15"/>
    </row>
    <row r="5418" spans="12:13">
      <c r="L5418" s="3">
        <v>44670.791666649166</v>
      </c>
      <c r="M5418" s="15"/>
    </row>
    <row r="5419" spans="12:13">
      <c r="L5419" s="3">
        <v>44670.795138871385</v>
      </c>
      <c r="M5419" s="15"/>
    </row>
    <row r="5420" spans="12:13">
      <c r="L5420" s="3">
        <v>44670.798611093604</v>
      </c>
      <c r="M5420" s="15"/>
    </row>
    <row r="5421" spans="12:13">
      <c r="L5421" s="3">
        <v>44670.802083315823</v>
      </c>
      <c r="M5421" s="15"/>
    </row>
    <row r="5422" spans="12:13">
      <c r="L5422" s="3">
        <v>44670.805555538042</v>
      </c>
      <c r="M5422" s="15"/>
    </row>
    <row r="5423" spans="12:13">
      <c r="L5423" s="3">
        <v>44670.809027760261</v>
      </c>
      <c r="M5423" s="15"/>
    </row>
    <row r="5424" spans="12:13">
      <c r="L5424" s="3">
        <v>44670.812499982479</v>
      </c>
      <c r="M5424" s="15"/>
    </row>
    <row r="5425" spans="12:13">
      <c r="L5425" s="3">
        <v>44670.815972204698</v>
      </c>
      <c r="M5425" s="15"/>
    </row>
    <row r="5426" spans="12:13">
      <c r="L5426" s="3">
        <v>44670.819444426917</v>
      </c>
      <c r="M5426" s="15"/>
    </row>
    <row r="5427" spans="12:13">
      <c r="L5427" s="3">
        <v>44670.822916649136</v>
      </c>
      <c r="M5427" s="15"/>
    </row>
    <row r="5428" spans="12:13">
      <c r="L5428" s="3">
        <v>44670.826388871355</v>
      </c>
      <c r="M5428" s="15"/>
    </row>
    <row r="5429" spans="12:13">
      <c r="L5429" s="3">
        <v>44670.829861093574</v>
      </c>
      <c r="M5429" s="15"/>
    </row>
    <row r="5430" spans="12:13">
      <c r="L5430" s="3">
        <v>44670.833333315793</v>
      </c>
      <c r="M5430" s="15"/>
    </row>
    <row r="5431" spans="12:13">
      <c r="L5431" s="3">
        <v>44670.836805538012</v>
      </c>
      <c r="M5431" s="15"/>
    </row>
    <row r="5432" spans="12:13">
      <c r="L5432" s="3">
        <v>44670.840277760231</v>
      </c>
      <c r="M5432" s="15"/>
    </row>
    <row r="5433" spans="12:13">
      <c r="L5433" s="3">
        <v>44670.84374998245</v>
      </c>
      <c r="M5433" s="15"/>
    </row>
    <row r="5434" spans="12:13">
      <c r="L5434" s="3">
        <v>44670.847222204669</v>
      </c>
      <c r="M5434" s="15"/>
    </row>
    <row r="5435" spans="12:13">
      <c r="L5435" s="3">
        <v>44670.850694426888</v>
      </c>
      <c r="M5435" s="15"/>
    </row>
    <row r="5436" spans="12:13">
      <c r="L5436" s="3">
        <v>44670.854166649107</v>
      </c>
      <c r="M5436" s="15"/>
    </row>
    <row r="5437" spans="12:13">
      <c r="L5437" s="3">
        <v>44670.857638871326</v>
      </c>
      <c r="M5437" s="15"/>
    </row>
    <row r="5438" spans="12:13">
      <c r="L5438" s="3">
        <v>44670.861111093545</v>
      </c>
      <c r="M5438" s="15"/>
    </row>
    <row r="5439" spans="12:13">
      <c r="L5439" s="3">
        <v>44670.864583315764</v>
      </c>
      <c r="M5439" s="15"/>
    </row>
    <row r="5440" spans="12:13">
      <c r="L5440" s="3">
        <v>44670.868055537983</v>
      </c>
      <c r="M5440" s="15"/>
    </row>
    <row r="5441" spans="12:13">
      <c r="L5441" s="3">
        <v>44670.871527760202</v>
      </c>
      <c r="M5441" s="15"/>
    </row>
    <row r="5442" spans="12:13">
      <c r="L5442" s="3">
        <v>44670.874999982421</v>
      </c>
      <c r="M5442" s="15"/>
    </row>
    <row r="5443" spans="12:13">
      <c r="L5443" s="3">
        <v>44670.87847220464</v>
      </c>
      <c r="M5443" s="15"/>
    </row>
    <row r="5444" spans="12:13">
      <c r="L5444" s="3">
        <v>44670.881944426859</v>
      </c>
      <c r="M5444" s="15"/>
    </row>
    <row r="5445" spans="12:13">
      <c r="L5445" s="3">
        <v>44670.885416649078</v>
      </c>
      <c r="M5445" s="15"/>
    </row>
    <row r="5446" spans="12:13">
      <c r="L5446" s="3">
        <v>44670.888888871297</v>
      </c>
      <c r="M5446" s="15"/>
    </row>
    <row r="5447" spans="12:13">
      <c r="L5447" s="3">
        <v>44670.892361093516</v>
      </c>
      <c r="M5447" s="15"/>
    </row>
    <row r="5448" spans="12:13">
      <c r="L5448" s="3">
        <v>44670.895833315735</v>
      </c>
      <c r="M5448" s="15"/>
    </row>
    <row r="5449" spans="12:13">
      <c r="L5449" s="3">
        <v>44670.899305537954</v>
      </c>
      <c r="M5449" s="15"/>
    </row>
    <row r="5450" spans="12:13">
      <c r="L5450" s="3">
        <v>44670.902777760173</v>
      </c>
      <c r="M5450" s="15"/>
    </row>
    <row r="5451" spans="12:13">
      <c r="L5451" s="3">
        <v>44670.906249982392</v>
      </c>
      <c r="M5451" s="15"/>
    </row>
    <row r="5452" spans="12:13">
      <c r="L5452" s="3">
        <v>44670.909722204611</v>
      </c>
      <c r="M5452" s="15"/>
    </row>
    <row r="5453" spans="12:13">
      <c r="L5453" s="3">
        <v>44670.91319442683</v>
      </c>
      <c r="M5453" s="15"/>
    </row>
    <row r="5454" spans="12:13">
      <c r="L5454" s="3">
        <v>44670.916666649049</v>
      </c>
      <c r="M5454" s="15"/>
    </row>
    <row r="5455" spans="12:13">
      <c r="L5455" s="3">
        <v>44670.920138871268</v>
      </c>
      <c r="M5455" s="15"/>
    </row>
    <row r="5456" spans="12:13">
      <c r="L5456" s="3">
        <v>44670.923611093487</v>
      </c>
      <c r="M5456" s="15"/>
    </row>
    <row r="5457" spans="12:13">
      <c r="L5457" s="3">
        <v>44670.927083315706</v>
      </c>
      <c r="M5457" s="15"/>
    </row>
    <row r="5458" spans="12:13">
      <c r="L5458" s="3">
        <v>44670.930555537925</v>
      </c>
      <c r="M5458" s="15"/>
    </row>
    <row r="5459" spans="12:13">
      <c r="L5459" s="3">
        <v>44670.934027760144</v>
      </c>
      <c r="M5459" s="15"/>
    </row>
    <row r="5460" spans="12:13">
      <c r="L5460" s="3">
        <v>44670.937499982363</v>
      </c>
      <c r="M5460" s="15"/>
    </row>
    <row r="5461" spans="12:13">
      <c r="L5461" s="3">
        <v>44670.940972204582</v>
      </c>
      <c r="M5461" s="15"/>
    </row>
    <row r="5462" spans="12:13">
      <c r="L5462" s="3">
        <v>44670.944444426801</v>
      </c>
      <c r="M5462" s="15"/>
    </row>
    <row r="5463" spans="12:13">
      <c r="L5463" s="3">
        <v>44670.94791664902</v>
      </c>
      <c r="M5463" s="15"/>
    </row>
    <row r="5464" spans="12:13">
      <c r="L5464" s="3">
        <v>44670.951388871239</v>
      </c>
      <c r="M5464" s="15"/>
    </row>
    <row r="5465" spans="12:13">
      <c r="L5465" s="3">
        <v>44670.954861093458</v>
      </c>
      <c r="M5465" s="15"/>
    </row>
    <row r="5466" spans="12:13">
      <c r="L5466" s="3">
        <v>44670.958333315677</v>
      </c>
      <c r="M5466" s="15"/>
    </row>
    <row r="5467" spans="12:13">
      <c r="L5467" s="3">
        <v>44670.961805537896</v>
      </c>
      <c r="M5467" s="15"/>
    </row>
    <row r="5468" spans="12:13">
      <c r="L5468" s="3">
        <v>44670.965277760115</v>
      </c>
      <c r="M5468" s="15"/>
    </row>
    <row r="5469" spans="12:13">
      <c r="L5469" s="3">
        <v>44670.968749982334</v>
      </c>
      <c r="M5469" s="15"/>
    </row>
    <row r="5470" spans="12:13">
      <c r="L5470" s="3">
        <v>44670.972222204553</v>
      </c>
      <c r="M5470" s="15"/>
    </row>
    <row r="5471" spans="12:13">
      <c r="L5471" s="3">
        <v>44670.975694426772</v>
      </c>
      <c r="M5471" s="15"/>
    </row>
    <row r="5472" spans="12:13">
      <c r="L5472" s="3">
        <v>44670.979166648991</v>
      </c>
      <c r="M5472" s="15"/>
    </row>
    <row r="5473" spans="12:13">
      <c r="L5473" s="3">
        <v>44670.98263887121</v>
      </c>
      <c r="M5473" s="15"/>
    </row>
    <row r="5474" spans="12:13">
      <c r="L5474" s="3">
        <v>44670.986111093429</v>
      </c>
      <c r="M5474" s="15"/>
    </row>
    <row r="5475" spans="12:13">
      <c r="L5475" s="3">
        <v>44670.989583315648</v>
      </c>
      <c r="M5475" s="15"/>
    </row>
    <row r="5476" spans="12:13">
      <c r="L5476" s="3">
        <v>44670.993055537867</v>
      </c>
      <c r="M5476" s="15"/>
    </row>
    <row r="5477" spans="12:13">
      <c r="L5477" s="3">
        <v>44670.996527760086</v>
      </c>
      <c r="M5477" s="15"/>
    </row>
    <row r="5478" spans="12:13">
      <c r="L5478" s="3">
        <v>44670.999999982305</v>
      </c>
      <c r="M5478" s="15"/>
    </row>
    <row r="5479" spans="12:13">
      <c r="L5479" s="3">
        <v>44671.003472204524</v>
      </c>
      <c r="M5479" s="15"/>
    </row>
    <row r="5480" spans="12:13">
      <c r="L5480" s="3">
        <v>44671.006944426743</v>
      </c>
      <c r="M5480" s="15"/>
    </row>
    <row r="5481" spans="12:13">
      <c r="L5481" s="3">
        <v>44671.010416648962</v>
      </c>
      <c r="M5481" s="15"/>
    </row>
    <row r="5482" spans="12:13">
      <c r="L5482" s="3">
        <v>44671.013888871181</v>
      </c>
      <c r="M5482" s="15"/>
    </row>
    <row r="5483" spans="12:13">
      <c r="L5483" s="3">
        <v>44671.0173610934</v>
      </c>
      <c r="M5483" s="15"/>
    </row>
    <row r="5484" spans="12:13">
      <c r="L5484" s="3">
        <v>44671.020833315619</v>
      </c>
      <c r="M5484" s="15"/>
    </row>
    <row r="5485" spans="12:13">
      <c r="L5485" s="3">
        <v>44671.024305537838</v>
      </c>
      <c r="M5485" s="15"/>
    </row>
    <row r="5486" spans="12:13">
      <c r="L5486" s="3">
        <v>44671.027777760057</v>
      </c>
      <c r="M5486" s="15"/>
    </row>
    <row r="5487" spans="12:13">
      <c r="L5487" s="3">
        <v>44671.031249982276</v>
      </c>
      <c r="M5487" s="15"/>
    </row>
    <row r="5488" spans="12:13">
      <c r="L5488" s="3">
        <v>44671.034722204495</v>
      </c>
      <c r="M5488" s="15"/>
    </row>
    <row r="5489" spans="12:13">
      <c r="L5489" s="3">
        <v>44671.038194426714</v>
      </c>
      <c r="M5489" s="15"/>
    </row>
    <row r="5490" spans="12:13">
      <c r="L5490" s="3">
        <v>44671.041666648933</v>
      </c>
      <c r="M5490" s="15"/>
    </row>
    <row r="5491" spans="12:13">
      <c r="L5491" s="3">
        <v>44671.045138871152</v>
      </c>
      <c r="M5491" s="15"/>
    </row>
    <row r="5492" spans="12:13">
      <c r="L5492" s="3">
        <v>44671.048611093371</v>
      </c>
      <c r="M5492" s="15"/>
    </row>
    <row r="5493" spans="12:13">
      <c r="L5493" s="3">
        <v>44671.05208331559</v>
      </c>
      <c r="M5493" s="15"/>
    </row>
    <row r="5494" spans="12:13">
      <c r="L5494" s="3">
        <v>44671.055555537809</v>
      </c>
      <c r="M5494" s="15"/>
    </row>
    <row r="5495" spans="12:13">
      <c r="L5495" s="3">
        <v>44671.059027760028</v>
      </c>
      <c r="M5495" s="15"/>
    </row>
    <row r="5496" spans="12:13">
      <c r="L5496" s="3">
        <v>44671.062499982247</v>
      </c>
      <c r="M5496" s="15"/>
    </row>
    <row r="5497" spans="12:13">
      <c r="L5497" s="3">
        <v>44671.065972204466</v>
      </c>
      <c r="M5497" s="15"/>
    </row>
    <row r="5498" spans="12:13">
      <c r="L5498" s="3">
        <v>44671.069444426685</v>
      </c>
      <c r="M5498" s="15"/>
    </row>
    <row r="5499" spans="12:13">
      <c r="L5499" s="3">
        <v>44671.072916648904</v>
      </c>
      <c r="M5499" s="15"/>
    </row>
    <row r="5500" spans="12:13">
      <c r="L5500" s="3">
        <v>44671.076388871123</v>
      </c>
      <c r="M5500" s="15"/>
    </row>
    <row r="5501" spans="12:13">
      <c r="L5501" s="3">
        <v>44671.079861093342</v>
      </c>
      <c r="M5501" s="15"/>
    </row>
    <row r="5502" spans="12:13">
      <c r="L5502" s="3">
        <v>44671.083333315561</v>
      </c>
      <c r="M5502" s="15"/>
    </row>
    <row r="5503" spans="12:13">
      <c r="L5503" s="3">
        <v>44671.08680553778</v>
      </c>
      <c r="M5503" s="15"/>
    </row>
    <row r="5504" spans="12:13">
      <c r="L5504" s="3">
        <v>44671.090277759999</v>
      </c>
      <c r="M5504" s="15"/>
    </row>
    <row r="5505" spans="12:13">
      <c r="L5505" s="3">
        <v>44671.093749982218</v>
      </c>
      <c r="M5505" s="15"/>
    </row>
    <row r="5506" spans="12:13">
      <c r="L5506" s="3">
        <v>44671.097222204437</v>
      </c>
      <c r="M5506" s="15"/>
    </row>
    <row r="5507" spans="12:13">
      <c r="L5507" s="3">
        <v>44671.100694426656</v>
      </c>
      <c r="M5507" s="15"/>
    </row>
    <row r="5508" spans="12:13">
      <c r="L5508" s="3">
        <v>44671.104166648875</v>
      </c>
      <c r="M5508" s="15"/>
    </row>
    <row r="5509" spans="12:13">
      <c r="L5509" s="3">
        <v>44671.107638871094</v>
      </c>
      <c r="M5509" s="15"/>
    </row>
    <row r="5510" spans="12:13">
      <c r="L5510" s="3">
        <v>44671.111111093313</v>
      </c>
      <c r="M5510" s="15"/>
    </row>
    <row r="5511" spans="12:13">
      <c r="L5511" s="3">
        <v>44671.114583315531</v>
      </c>
      <c r="M5511" s="15"/>
    </row>
    <row r="5512" spans="12:13">
      <c r="L5512" s="3">
        <v>44671.11805553775</v>
      </c>
      <c r="M5512" s="15"/>
    </row>
    <row r="5513" spans="12:13">
      <c r="L5513" s="3">
        <v>44671.121527759969</v>
      </c>
      <c r="M5513" s="15"/>
    </row>
    <row r="5514" spans="12:13">
      <c r="L5514" s="3">
        <v>44671.124999982188</v>
      </c>
      <c r="M5514" s="15"/>
    </row>
    <row r="5515" spans="12:13">
      <c r="L5515" s="3">
        <v>44671.128472204407</v>
      </c>
      <c r="M5515" s="15"/>
    </row>
    <row r="5516" spans="12:13">
      <c r="L5516" s="3">
        <v>44671.131944426626</v>
      </c>
      <c r="M5516" s="15"/>
    </row>
    <row r="5517" spans="12:13">
      <c r="L5517" s="3">
        <v>44671.135416648845</v>
      </c>
      <c r="M5517" s="15"/>
    </row>
    <row r="5518" spans="12:13">
      <c r="L5518" s="3">
        <v>44671.138888871064</v>
      </c>
      <c r="M5518" s="15"/>
    </row>
    <row r="5519" spans="12:13">
      <c r="L5519" s="3">
        <v>44671.142361093283</v>
      </c>
      <c r="M5519" s="15"/>
    </row>
    <row r="5520" spans="12:13">
      <c r="L5520" s="3">
        <v>44671.145833315502</v>
      </c>
      <c r="M5520" s="15"/>
    </row>
    <row r="5521" spans="12:13">
      <c r="L5521" s="3">
        <v>44671.149305537721</v>
      </c>
      <c r="M5521" s="15"/>
    </row>
    <row r="5522" spans="12:13">
      <c r="L5522" s="3">
        <v>44671.15277775994</v>
      </c>
      <c r="M5522" s="15"/>
    </row>
    <row r="5523" spans="12:13">
      <c r="L5523" s="3">
        <v>44671.156249982159</v>
      </c>
      <c r="M5523" s="15"/>
    </row>
    <row r="5524" spans="12:13">
      <c r="L5524" s="3">
        <v>44671.159722204378</v>
      </c>
      <c r="M5524" s="15"/>
    </row>
    <row r="5525" spans="12:13">
      <c r="L5525" s="3">
        <v>44671.163194426597</v>
      </c>
      <c r="M5525" s="15"/>
    </row>
    <row r="5526" spans="12:13">
      <c r="L5526" s="3">
        <v>44671.166666648816</v>
      </c>
      <c r="M5526" s="15"/>
    </row>
    <row r="5527" spans="12:13">
      <c r="L5527" s="3">
        <v>44671.170138871035</v>
      </c>
      <c r="M5527" s="15"/>
    </row>
    <row r="5528" spans="12:13">
      <c r="L5528" s="3">
        <v>44671.173611093254</v>
      </c>
      <c r="M5528" s="15"/>
    </row>
    <row r="5529" spans="12:13">
      <c r="L5529" s="3">
        <v>44671.177083315473</v>
      </c>
      <c r="M5529" s="15"/>
    </row>
    <row r="5530" spans="12:13">
      <c r="L5530" s="3">
        <v>44671.180555537692</v>
      </c>
      <c r="M5530" s="15"/>
    </row>
    <row r="5531" spans="12:13">
      <c r="L5531" s="3">
        <v>44671.184027759911</v>
      </c>
      <c r="M5531" s="15"/>
    </row>
    <row r="5532" spans="12:13">
      <c r="L5532" s="3">
        <v>44671.18749998213</v>
      </c>
      <c r="M5532" s="15"/>
    </row>
    <row r="5533" spans="12:13">
      <c r="L5533" s="3">
        <v>44671.190972204349</v>
      </c>
      <c r="M5533" s="15"/>
    </row>
    <row r="5534" spans="12:13">
      <c r="L5534" s="3">
        <v>44671.194444426568</v>
      </c>
      <c r="M5534" s="15"/>
    </row>
    <row r="5535" spans="12:13">
      <c r="L5535" s="3">
        <v>44671.197916648787</v>
      </c>
      <c r="M5535" s="15"/>
    </row>
    <row r="5536" spans="12:13">
      <c r="L5536" s="3">
        <v>44671.201388871006</v>
      </c>
      <c r="M5536" s="15"/>
    </row>
    <row r="5537" spans="12:13">
      <c r="L5537" s="3">
        <v>44671.204861093225</v>
      </c>
      <c r="M5537" s="15"/>
    </row>
    <row r="5538" spans="12:13">
      <c r="L5538" s="3">
        <v>44671.208333315444</v>
      </c>
      <c r="M5538" s="15"/>
    </row>
    <row r="5539" spans="12:13">
      <c r="L5539" s="3">
        <v>44671.211805537663</v>
      </c>
      <c r="M5539" s="15"/>
    </row>
    <row r="5540" spans="12:13">
      <c r="L5540" s="3">
        <v>44671.215277759882</v>
      </c>
      <c r="M5540" s="15"/>
    </row>
    <row r="5541" spans="12:13">
      <c r="L5541" s="3">
        <v>44671.218749982101</v>
      </c>
      <c r="M5541" s="15"/>
    </row>
    <row r="5542" spans="12:13">
      <c r="L5542" s="3">
        <v>44671.22222220432</v>
      </c>
      <c r="M5542" s="15"/>
    </row>
    <row r="5543" spans="12:13">
      <c r="L5543" s="3">
        <v>44671.225694426539</v>
      </c>
      <c r="M5543" s="15"/>
    </row>
    <row r="5544" spans="12:13">
      <c r="L5544" s="3">
        <v>44671.229166648758</v>
      </c>
      <c r="M5544" s="15"/>
    </row>
    <row r="5545" spans="12:13">
      <c r="L5545" s="3">
        <v>44671.232638870977</v>
      </c>
      <c r="M5545" s="15"/>
    </row>
    <row r="5546" spans="12:13">
      <c r="L5546" s="3">
        <v>44671.236111093196</v>
      </c>
      <c r="M5546" s="15"/>
    </row>
    <row r="5547" spans="12:13">
      <c r="L5547" s="3">
        <v>44671.239583315415</v>
      </c>
      <c r="M5547" s="15"/>
    </row>
    <row r="5548" spans="12:13">
      <c r="L5548" s="3">
        <v>44671.243055537634</v>
      </c>
      <c r="M5548" s="15"/>
    </row>
    <row r="5549" spans="12:13">
      <c r="L5549" s="3">
        <v>44671.246527759853</v>
      </c>
      <c r="M5549" s="15"/>
    </row>
    <row r="5550" spans="12:13">
      <c r="L5550" s="3">
        <v>44671.249999982072</v>
      </c>
      <c r="M5550" s="15"/>
    </row>
    <row r="5551" spans="12:13">
      <c r="L5551" s="3">
        <v>44671.253472204291</v>
      </c>
      <c r="M5551" s="15"/>
    </row>
    <row r="5552" spans="12:13">
      <c r="L5552" s="3">
        <v>44671.25694442651</v>
      </c>
      <c r="M5552" s="15"/>
    </row>
    <row r="5553" spans="12:13">
      <c r="L5553" s="3">
        <v>44671.260416648729</v>
      </c>
      <c r="M5553" s="15"/>
    </row>
    <row r="5554" spans="12:13">
      <c r="L5554" s="3">
        <v>44671.263888870948</v>
      </c>
      <c r="M5554" s="15"/>
    </row>
    <row r="5555" spans="12:13">
      <c r="L5555" s="3">
        <v>44671.267361093167</v>
      </c>
      <c r="M5555" s="15"/>
    </row>
    <row r="5556" spans="12:13">
      <c r="L5556" s="3">
        <v>44671.270833315386</v>
      </c>
      <c r="M5556" s="15"/>
    </row>
    <row r="5557" spans="12:13">
      <c r="L5557" s="3">
        <v>44671.274305537605</v>
      </c>
      <c r="M5557" s="15"/>
    </row>
    <row r="5558" spans="12:13">
      <c r="L5558" s="3">
        <v>44671.277777759824</v>
      </c>
      <c r="M5558" s="15"/>
    </row>
    <row r="5559" spans="12:13">
      <c r="L5559" s="3">
        <v>44671.281249982043</v>
      </c>
      <c r="M5559" s="15"/>
    </row>
    <row r="5560" spans="12:13">
      <c r="L5560" s="3">
        <v>44671.284722204262</v>
      </c>
      <c r="M5560" s="15"/>
    </row>
    <row r="5561" spans="12:13">
      <c r="L5561" s="3">
        <v>44671.288194426481</v>
      </c>
      <c r="M5561" s="15"/>
    </row>
    <row r="5562" spans="12:13">
      <c r="L5562" s="3">
        <v>44671.2916666487</v>
      </c>
      <c r="M5562" s="15"/>
    </row>
    <row r="5563" spans="12:13">
      <c r="L5563" s="3">
        <v>44671.295138870919</v>
      </c>
      <c r="M5563" s="15"/>
    </row>
    <row r="5564" spans="12:13">
      <c r="L5564" s="3">
        <v>44671.298611093138</v>
      </c>
      <c r="M5564" s="15"/>
    </row>
    <row r="5565" spans="12:13">
      <c r="L5565" s="3">
        <v>44671.302083315357</v>
      </c>
      <c r="M5565" s="15"/>
    </row>
    <row r="5566" spans="12:13">
      <c r="L5566" s="3">
        <v>44671.305555537576</v>
      </c>
      <c r="M5566" s="15"/>
    </row>
    <row r="5567" spans="12:13">
      <c r="L5567" s="3">
        <v>44671.309027759795</v>
      </c>
      <c r="M5567" s="15"/>
    </row>
    <row r="5568" spans="12:13">
      <c r="L5568" s="3">
        <v>44671.312499982014</v>
      </c>
      <c r="M5568" s="15"/>
    </row>
    <row r="5569" spans="12:13">
      <c r="L5569" s="3">
        <v>44671.315972204233</v>
      </c>
      <c r="M5569" s="15"/>
    </row>
    <row r="5570" spans="12:13">
      <c r="L5570" s="3">
        <v>44671.319444426452</v>
      </c>
      <c r="M5570" s="15"/>
    </row>
    <row r="5571" spans="12:13">
      <c r="L5571" s="3">
        <v>44671.322916648671</v>
      </c>
      <c r="M5571" s="15"/>
    </row>
    <row r="5572" spans="12:13">
      <c r="L5572" s="3">
        <v>44671.32638887089</v>
      </c>
      <c r="M5572" s="15"/>
    </row>
    <row r="5573" spans="12:13">
      <c r="L5573" s="3">
        <v>44671.329861093109</v>
      </c>
      <c r="M5573" s="15"/>
    </row>
    <row r="5574" spans="12:13">
      <c r="L5574" s="3">
        <v>44671.333333315328</v>
      </c>
      <c r="M5574" s="15"/>
    </row>
    <row r="5575" spans="12:13">
      <c r="L5575" s="3">
        <v>44671.336805537547</v>
      </c>
      <c r="M5575" s="15"/>
    </row>
    <row r="5576" spans="12:13">
      <c r="L5576" s="3">
        <v>44671.340277759766</v>
      </c>
      <c r="M5576" s="15"/>
    </row>
    <row r="5577" spans="12:13">
      <c r="L5577" s="3">
        <v>44671.343749981985</v>
      </c>
      <c r="M5577" s="15"/>
    </row>
    <row r="5578" spans="12:13">
      <c r="L5578" s="3">
        <v>44671.347222204204</v>
      </c>
      <c r="M5578" s="15"/>
    </row>
    <row r="5579" spans="12:13">
      <c r="L5579" s="3">
        <v>44671.350694426423</v>
      </c>
      <c r="M5579" s="15"/>
    </row>
    <row r="5580" spans="12:13">
      <c r="L5580" s="3">
        <v>44671.354166648642</v>
      </c>
      <c r="M5580" s="15"/>
    </row>
    <row r="5581" spans="12:13">
      <c r="L5581" s="3">
        <v>44671.357638870861</v>
      </c>
      <c r="M5581" s="15"/>
    </row>
    <row r="5582" spans="12:13">
      <c r="L5582" s="3">
        <v>44671.36111109308</v>
      </c>
      <c r="M5582" s="15"/>
    </row>
    <row r="5583" spans="12:13">
      <c r="L5583" s="3">
        <v>44671.364583315299</v>
      </c>
      <c r="M5583" s="15"/>
    </row>
    <row r="5584" spans="12:13">
      <c r="L5584" s="3">
        <v>44671.368055537518</v>
      </c>
      <c r="M5584" s="15"/>
    </row>
    <row r="5585" spans="12:13">
      <c r="L5585" s="3">
        <v>44671.371527759737</v>
      </c>
      <c r="M5585" s="15"/>
    </row>
    <row r="5586" spans="12:13">
      <c r="L5586" s="3">
        <v>44671.374999981956</v>
      </c>
      <c r="M5586" s="15"/>
    </row>
    <row r="5587" spans="12:13">
      <c r="L5587" s="3">
        <v>44671.378472204175</v>
      </c>
      <c r="M5587" s="15"/>
    </row>
    <row r="5588" spans="12:13">
      <c r="L5588" s="3">
        <v>44671.381944426394</v>
      </c>
      <c r="M5588" s="15"/>
    </row>
    <row r="5589" spans="12:13">
      <c r="L5589" s="3">
        <v>44671.385416648613</v>
      </c>
      <c r="M5589" s="15"/>
    </row>
    <row r="5590" spans="12:13">
      <c r="L5590" s="3">
        <v>44671.388888870832</v>
      </c>
      <c r="M5590" s="15"/>
    </row>
    <row r="5591" spans="12:13">
      <c r="L5591" s="3">
        <v>44671.392361093051</v>
      </c>
      <c r="M5591" s="15"/>
    </row>
    <row r="5592" spans="12:13">
      <c r="L5592" s="3">
        <v>44671.39583331527</v>
      </c>
      <c r="M5592" s="15"/>
    </row>
    <row r="5593" spans="12:13">
      <c r="L5593" s="3">
        <v>44671.399305537489</v>
      </c>
      <c r="M5593" s="15"/>
    </row>
    <row r="5594" spans="12:13">
      <c r="L5594" s="3">
        <v>44671.402777759708</v>
      </c>
      <c r="M5594" s="15"/>
    </row>
    <row r="5595" spans="12:13">
      <c r="L5595" s="3">
        <v>44671.406249981927</v>
      </c>
      <c r="M5595" s="15"/>
    </row>
    <row r="5596" spans="12:13">
      <c r="L5596" s="3">
        <v>44671.409722204146</v>
      </c>
      <c r="M5596" s="15"/>
    </row>
    <row r="5597" spans="12:13">
      <c r="L5597" s="3">
        <v>44671.413194426364</v>
      </c>
      <c r="M5597" s="15"/>
    </row>
    <row r="5598" spans="12:13">
      <c r="L5598" s="3">
        <v>44671.416666648583</v>
      </c>
      <c r="M5598" s="15"/>
    </row>
    <row r="5599" spans="12:13">
      <c r="L5599" s="3">
        <v>44671.420138870802</v>
      </c>
      <c r="M5599" s="15"/>
    </row>
    <row r="5600" spans="12:13">
      <c r="L5600" s="3">
        <v>44671.423611093021</v>
      </c>
      <c r="M5600" s="15"/>
    </row>
    <row r="5601" spans="12:13">
      <c r="L5601" s="3">
        <v>44671.42708331524</v>
      </c>
      <c r="M5601" s="15"/>
    </row>
    <row r="5602" spans="12:13">
      <c r="L5602" s="3">
        <v>44671.430555537459</v>
      </c>
      <c r="M5602" s="15"/>
    </row>
    <row r="5603" spans="12:13">
      <c r="L5603" s="3">
        <v>44671.434027759678</v>
      </c>
      <c r="M5603" s="15"/>
    </row>
    <row r="5604" spans="12:13">
      <c r="L5604" s="3">
        <v>44671.437499981897</v>
      </c>
      <c r="M5604" s="15"/>
    </row>
    <row r="5605" spans="12:13">
      <c r="L5605" s="3">
        <v>44671.440972204116</v>
      </c>
      <c r="M5605" s="15"/>
    </row>
    <row r="5606" spans="12:13">
      <c r="L5606" s="3">
        <v>44671.444444426335</v>
      </c>
      <c r="M5606" s="15"/>
    </row>
    <row r="5607" spans="12:13">
      <c r="L5607" s="3">
        <v>44671.447916648554</v>
      </c>
      <c r="M5607" s="15"/>
    </row>
    <row r="5608" spans="12:13">
      <c r="L5608" s="3">
        <v>44671.451388870773</v>
      </c>
      <c r="M5608" s="15"/>
    </row>
    <row r="5609" spans="12:13">
      <c r="L5609" s="3">
        <v>44671.454861092992</v>
      </c>
      <c r="M5609" s="15"/>
    </row>
    <row r="5610" spans="12:13">
      <c r="L5610" s="3">
        <v>44671.458333315211</v>
      </c>
      <c r="M5610" s="15"/>
    </row>
    <row r="5611" spans="12:13">
      <c r="L5611" s="3">
        <v>44671.46180553743</v>
      </c>
      <c r="M5611" s="15"/>
    </row>
    <row r="5612" spans="12:13">
      <c r="L5612" s="3">
        <v>44671.465277759649</v>
      </c>
      <c r="M5612" s="15"/>
    </row>
    <row r="5613" spans="12:13">
      <c r="L5613" s="3">
        <v>44671.468749981868</v>
      </c>
      <c r="M5613" s="15"/>
    </row>
    <row r="5614" spans="12:13">
      <c r="L5614" s="3">
        <v>44671.472222204087</v>
      </c>
      <c r="M5614" s="15"/>
    </row>
    <row r="5615" spans="12:13">
      <c r="L5615" s="3">
        <v>44671.475694426306</v>
      </c>
      <c r="M5615" s="15"/>
    </row>
    <row r="5616" spans="12:13">
      <c r="L5616" s="3">
        <v>44671.479166648525</v>
      </c>
      <c r="M5616" s="15"/>
    </row>
    <row r="5617" spans="12:13">
      <c r="L5617" s="3">
        <v>44671.482638870744</v>
      </c>
      <c r="M5617" s="15"/>
    </row>
    <row r="5618" spans="12:13">
      <c r="L5618" s="3">
        <v>44671.486111092963</v>
      </c>
      <c r="M5618" s="15"/>
    </row>
    <row r="5619" spans="12:13">
      <c r="L5619" s="3">
        <v>44671.489583315182</v>
      </c>
      <c r="M5619" s="15"/>
    </row>
    <row r="5620" spans="12:13">
      <c r="L5620" s="3">
        <v>44671.493055537401</v>
      </c>
      <c r="M5620" s="15"/>
    </row>
    <row r="5621" spans="12:13">
      <c r="L5621" s="3">
        <v>44671.49652775962</v>
      </c>
      <c r="M5621" s="15"/>
    </row>
    <row r="5622" spans="12:13">
      <c r="L5622" s="3">
        <v>44671.499999981839</v>
      </c>
      <c r="M5622" s="15"/>
    </row>
    <row r="5623" spans="12:13">
      <c r="L5623" s="3">
        <v>44671.503472204058</v>
      </c>
      <c r="M5623" s="15"/>
    </row>
    <row r="5624" spans="12:13">
      <c r="L5624" s="3">
        <v>44671.506944426277</v>
      </c>
      <c r="M5624" s="15"/>
    </row>
    <row r="5625" spans="12:13">
      <c r="L5625" s="3">
        <v>44671.510416648496</v>
      </c>
      <c r="M5625" s="15"/>
    </row>
    <row r="5626" spans="12:13">
      <c r="L5626" s="3">
        <v>44671.513888870715</v>
      </c>
      <c r="M5626" s="15"/>
    </row>
    <row r="5627" spans="12:13">
      <c r="L5627" s="3">
        <v>44671.517361092934</v>
      </c>
      <c r="M5627" s="15"/>
    </row>
    <row r="5628" spans="12:13">
      <c r="L5628" s="3">
        <v>44671.520833315153</v>
      </c>
      <c r="M5628" s="15"/>
    </row>
    <row r="5629" spans="12:13">
      <c r="L5629" s="3">
        <v>44671.524305537372</v>
      </c>
      <c r="M5629" s="15"/>
    </row>
    <row r="5630" spans="12:13">
      <c r="L5630" s="3">
        <v>44671.527777759591</v>
      </c>
      <c r="M5630" s="15"/>
    </row>
    <row r="5631" spans="12:13">
      <c r="L5631" s="3">
        <v>44671.53124998181</v>
      </c>
      <c r="M5631" s="15"/>
    </row>
    <row r="5632" spans="12:13">
      <c r="L5632" s="3">
        <v>44671.534722204029</v>
      </c>
      <c r="M5632" s="15"/>
    </row>
    <row r="5633" spans="12:13">
      <c r="L5633" s="3">
        <v>44671.538194426248</v>
      </c>
      <c r="M5633" s="15"/>
    </row>
    <row r="5634" spans="12:13">
      <c r="L5634" s="3">
        <v>44671.541666648467</v>
      </c>
      <c r="M5634" s="15"/>
    </row>
    <row r="5635" spans="12:13">
      <c r="L5635" s="3">
        <v>44671.545138870686</v>
      </c>
      <c r="M5635" s="15"/>
    </row>
    <row r="5636" spans="12:13">
      <c r="L5636" s="3">
        <v>44671.548611092905</v>
      </c>
      <c r="M5636" s="15"/>
    </row>
    <row r="5637" spans="12:13">
      <c r="L5637" s="3">
        <v>44671.552083315124</v>
      </c>
      <c r="M5637" s="15"/>
    </row>
    <row r="5638" spans="12:13">
      <c r="L5638" s="3">
        <v>44671.555555537343</v>
      </c>
      <c r="M5638" s="15"/>
    </row>
    <row r="5639" spans="12:13">
      <c r="L5639" s="3">
        <v>44671.559027759562</v>
      </c>
      <c r="M5639" s="15"/>
    </row>
    <row r="5640" spans="12:13">
      <c r="L5640" s="3">
        <v>44671.562499981781</v>
      </c>
      <c r="M5640" s="15"/>
    </row>
    <row r="5641" spans="12:13">
      <c r="L5641" s="3">
        <v>44671.565972204</v>
      </c>
      <c r="M5641" s="15"/>
    </row>
    <row r="5642" spans="12:13">
      <c r="L5642" s="3">
        <v>44671.569444426219</v>
      </c>
      <c r="M5642" s="15"/>
    </row>
    <row r="5643" spans="12:13">
      <c r="L5643" s="3">
        <v>44671.572916648438</v>
      </c>
      <c r="M5643" s="15"/>
    </row>
    <row r="5644" spans="12:13">
      <c r="L5644" s="3">
        <v>44671.576388870657</v>
      </c>
      <c r="M5644" s="15"/>
    </row>
    <row r="5645" spans="12:13">
      <c r="L5645" s="3">
        <v>44671.579861092876</v>
      </c>
      <c r="M5645" s="15"/>
    </row>
    <row r="5646" spans="12:13">
      <c r="L5646" s="3">
        <v>44671.583333315095</v>
      </c>
      <c r="M5646" s="15"/>
    </row>
    <row r="5647" spans="12:13">
      <c r="L5647" s="3">
        <v>44671.586805537314</v>
      </c>
      <c r="M5647" s="15"/>
    </row>
    <row r="5648" spans="12:13">
      <c r="L5648" s="3">
        <v>44671.590277759533</v>
      </c>
      <c r="M5648" s="15"/>
    </row>
    <row r="5649" spans="12:13">
      <c r="L5649" s="3">
        <v>44671.593749981752</v>
      </c>
      <c r="M5649" s="15"/>
    </row>
    <row r="5650" spans="12:13">
      <c r="L5650" s="3">
        <v>44671.597222203971</v>
      </c>
      <c r="M5650" s="15"/>
    </row>
    <row r="5651" spans="12:13">
      <c r="L5651" s="3">
        <v>44671.60069442619</v>
      </c>
      <c r="M5651" s="15"/>
    </row>
    <row r="5652" spans="12:13">
      <c r="L5652" s="3">
        <v>44671.604166648409</v>
      </c>
      <c r="M5652" s="15"/>
    </row>
    <row r="5653" spans="12:13">
      <c r="L5653" s="3">
        <v>44671.607638870628</v>
      </c>
      <c r="M5653" s="15"/>
    </row>
    <row r="5654" spans="12:13">
      <c r="L5654" s="3">
        <v>44671.611111092847</v>
      </c>
      <c r="M5654" s="15"/>
    </row>
    <row r="5655" spans="12:13">
      <c r="L5655" s="3">
        <v>44671.614583315066</v>
      </c>
      <c r="M5655" s="15"/>
    </row>
    <row r="5656" spans="12:13">
      <c r="L5656" s="3">
        <v>44671.618055537285</v>
      </c>
      <c r="M5656" s="15"/>
    </row>
    <row r="5657" spans="12:13">
      <c r="L5657" s="3">
        <v>44671.621527759504</v>
      </c>
      <c r="M5657" s="15"/>
    </row>
    <row r="5658" spans="12:13">
      <c r="L5658" s="3">
        <v>44671.624999981723</v>
      </c>
      <c r="M5658" s="15"/>
    </row>
    <row r="5659" spans="12:13">
      <c r="L5659" s="3">
        <v>44671.628472203942</v>
      </c>
      <c r="M5659" s="15"/>
    </row>
    <row r="5660" spans="12:13">
      <c r="L5660" s="3">
        <v>44671.631944426161</v>
      </c>
      <c r="M5660" s="15"/>
    </row>
    <row r="5661" spans="12:13">
      <c r="L5661" s="3">
        <v>44671.63541664838</v>
      </c>
      <c r="M5661" s="15"/>
    </row>
    <row r="5662" spans="12:13">
      <c r="L5662" s="3">
        <v>44671.638888870599</v>
      </c>
      <c r="M5662" s="15"/>
    </row>
    <row r="5663" spans="12:13">
      <c r="L5663" s="3">
        <v>44671.642361092818</v>
      </c>
      <c r="M5663" s="15"/>
    </row>
    <row r="5664" spans="12:13">
      <c r="L5664" s="3">
        <v>44671.645833315037</v>
      </c>
      <c r="M5664" s="15"/>
    </row>
    <row r="5665" spans="12:13">
      <c r="L5665" s="3">
        <v>44671.649305537256</v>
      </c>
      <c r="M5665" s="15"/>
    </row>
    <row r="5666" spans="12:13">
      <c r="L5666" s="3">
        <v>44671.652777759475</v>
      </c>
      <c r="M5666" s="15"/>
    </row>
    <row r="5667" spans="12:13">
      <c r="L5667" s="3">
        <v>44671.656249981694</v>
      </c>
      <c r="M5667" s="15"/>
    </row>
    <row r="5668" spans="12:13">
      <c r="L5668" s="3">
        <v>44671.659722203913</v>
      </c>
      <c r="M5668" s="15"/>
    </row>
    <row r="5669" spans="12:13">
      <c r="L5669" s="3">
        <v>44671.663194426132</v>
      </c>
      <c r="M5669" s="15"/>
    </row>
    <row r="5670" spans="12:13">
      <c r="L5670" s="3">
        <v>44671.666666648351</v>
      </c>
      <c r="M5670" s="15"/>
    </row>
    <row r="5671" spans="12:13">
      <c r="L5671" s="3">
        <v>44671.67013887057</v>
      </c>
      <c r="M5671" s="15"/>
    </row>
    <row r="5672" spans="12:13">
      <c r="L5672" s="3">
        <v>44671.673611092789</v>
      </c>
      <c r="M5672" s="15"/>
    </row>
    <row r="5673" spans="12:13">
      <c r="L5673" s="3">
        <v>44671.677083315008</v>
      </c>
      <c r="M5673" s="15"/>
    </row>
    <row r="5674" spans="12:13">
      <c r="L5674" s="3">
        <v>44671.680555537227</v>
      </c>
      <c r="M5674" s="15"/>
    </row>
    <row r="5675" spans="12:13">
      <c r="L5675" s="3">
        <v>44671.684027759446</v>
      </c>
      <c r="M5675" s="15"/>
    </row>
    <row r="5676" spans="12:13">
      <c r="L5676" s="3">
        <v>44671.687499981665</v>
      </c>
      <c r="M5676" s="15"/>
    </row>
    <row r="5677" spans="12:13">
      <c r="L5677" s="3">
        <v>44671.690972203884</v>
      </c>
      <c r="M5677" s="15"/>
    </row>
    <row r="5678" spans="12:13">
      <c r="L5678" s="3">
        <v>44671.694444426103</v>
      </c>
      <c r="M5678" s="15"/>
    </row>
    <row r="5679" spans="12:13">
      <c r="L5679" s="3">
        <v>44671.697916648322</v>
      </c>
      <c r="M5679" s="15"/>
    </row>
    <row r="5680" spans="12:13">
      <c r="L5680" s="3">
        <v>44671.701388870541</v>
      </c>
      <c r="M5680" s="15"/>
    </row>
    <row r="5681" spans="12:13">
      <c r="L5681" s="3">
        <v>44671.70486109276</v>
      </c>
      <c r="M5681" s="15"/>
    </row>
    <row r="5682" spans="12:13">
      <c r="L5682" s="3">
        <v>44671.708333314979</v>
      </c>
      <c r="M5682" s="15"/>
    </row>
    <row r="5683" spans="12:13">
      <c r="L5683" s="3">
        <v>44671.711805537198</v>
      </c>
      <c r="M5683" s="15"/>
    </row>
    <row r="5684" spans="12:13">
      <c r="L5684" s="3">
        <v>44671.715277759416</v>
      </c>
      <c r="M5684" s="15"/>
    </row>
    <row r="5685" spans="12:13">
      <c r="L5685" s="3">
        <v>44671.718749981635</v>
      </c>
      <c r="M5685" s="15"/>
    </row>
    <row r="5686" spans="12:13">
      <c r="L5686" s="3">
        <v>44671.722222203854</v>
      </c>
      <c r="M5686" s="15"/>
    </row>
    <row r="5687" spans="12:13">
      <c r="L5687" s="3">
        <v>44671.725694426073</v>
      </c>
      <c r="M5687" s="15"/>
    </row>
    <row r="5688" spans="12:13">
      <c r="L5688" s="3">
        <v>44671.729166648292</v>
      </c>
      <c r="M5688" s="15"/>
    </row>
    <row r="5689" spans="12:13">
      <c r="L5689" s="3">
        <v>44671.732638870511</v>
      </c>
      <c r="M5689" s="15"/>
    </row>
    <row r="5690" spans="12:13">
      <c r="L5690" s="3">
        <v>44671.73611109273</v>
      </c>
      <c r="M5690" s="15"/>
    </row>
    <row r="5691" spans="12:13">
      <c r="L5691" s="3">
        <v>44671.739583314949</v>
      </c>
      <c r="M5691" s="15"/>
    </row>
    <row r="5692" spans="12:13">
      <c r="L5692" s="3">
        <v>44671.743055537168</v>
      </c>
      <c r="M5692" s="15"/>
    </row>
    <row r="5693" spans="12:13">
      <c r="L5693" s="3">
        <v>44671.746527759387</v>
      </c>
      <c r="M5693" s="15"/>
    </row>
    <row r="5694" spans="12:13">
      <c r="L5694" s="3">
        <v>44671.749999981606</v>
      </c>
      <c r="M5694" s="15"/>
    </row>
    <row r="5695" spans="12:13">
      <c r="L5695" s="3">
        <v>44671.753472203825</v>
      </c>
      <c r="M5695" s="15"/>
    </row>
    <row r="5696" spans="12:13">
      <c r="L5696" s="3">
        <v>44671.756944426044</v>
      </c>
      <c r="M5696" s="15"/>
    </row>
    <row r="5697" spans="12:13">
      <c r="L5697" s="3">
        <v>44671.760416648263</v>
      </c>
      <c r="M5697" s="15"/>
    </row>
    <row r="5698" spans="12:13">
      <c r="L5698" s="3">
        <v>44671.763888870482</v>
      </c>
      <c r="M5698" s="15"/>
    </row>
    <row r="5699" spans="12:13">
      <c r="L5699" s="3">
        <v>44671.767361092701</v>
      </c>
      <c r="M5699" s="15"/>
    </row>
    <row r="5700" spans="12:13">
      <c r="L5700" s="3">
        <v>44671.77083331492</v>
      </c>
      <c r="M5700" s="15"/>
    </row>
    <row r="5701" spans="12:13">
      <c r="L5701" s="3">
        <v>44671.774305537139</v>
      </c>
      <c r="M5701" s="15"/>
    </row>
    <row r="5702" spans="12:13">
      <c r="L5702" s="3">
        <v>44671.777777759358</v>
      </c>
      <c r="M5702" s="15"/>
    </row>
    <row r="5703" spans="12:13">
      <c r="L5703" s="3">
        <v>44671.781249981577</v>
      </c>
      <c r="M5703" s="15"/>
    </row>
    <row r="5704" spans="12:13">
      <c r="L5704" s="3">
        <v>44671.784722203796</v>
      </c>
      <c r="M5704" s="15"/>
    </row>
    <row r="5705" spans="12:13">
      <c r="L5705" s="3">
        <v>44671.788194426015</v>
      </c>
      <c r="M5705" s="15"/>
    </row>
    <row r="5706" spans="12:13">
      <c r="L5706" s="3">
        <v>44671.791666648234</v>
      </c>
      <c r="M5706" s="15"/>
    </row>
    <row r="5707" spans="12:13">
      <c r="L5707" s="3">
        <v>44671.795138870453</v>
      </c>
      <c r="M5707" s="15"/>
    </row>
    <row r="5708" spans="12:13">
      <c r="L5708" s="3">
        <v>44671.798611092672</v>
      </c>
      <c r="M5708" s="15"/>
    </row>
    <row r="5709" spans="12:13">
      <c r="L5709" s="3">
        <v>44671.802083314891</v>
      </c>
      <c r="M5709" s="15"/>
    </row>
    <row r="5710" spans="12:13">
      <c r="L5710" s="3">
        <v>44671.80555553711</v>
      </c>
      <c r="M5710" s="15"/>
    </row>
    <row r="5711" spans="12:13">
      <c r="L5711" s="3">
        <v>44671.809027759329</v>
      </c>
      <c r="M5711" s="15"/>
    </row>
    <row r="5712" spans="12:13">
      <c r="L5712" s="3">
        <v>44671.812499981548</v>
      </c>
      <c r="M5712" s="15"/>
    </row>
    <row r="5713" spans="12:13">
      <c r="L5713" s="3">
        <v>44671.815972203767</v>
      </c>
      <c r="M5713" s="15"/>
    </row>
    <row r="5714" spans="12:13">
      <c r="L5714" s="3">
        <v>44671.819444425986</v>
      </c>
      <c r="M5714" s="15"/>
    </row>
    <row r="5715" spans="12:13">
      <c r="L5715" s="3">
        <v>44671.822916648205</v>
      </c>
      <c r="M5715" s="15"/>
    </row>
    <row r="5716" spans="12:13">
      <c r="L5716" s="3">
        <v>44671.826388870424</v>
      </c>
      <c r="M5716" s="15"/>
    </row>
    <row r="5717" spans="12:13">
      <c r="L5717" s="3">
        <v>44671.829861092643</v>
      </c>
      <c r="M5717" s="15"/>
    </row>
    <row r="5718" spans="12:13">
      <c r="L5718" s="3">
        <v>44671.833333314862</v>
      </c>
      <c r="M5718" s="15"/>
    </row>
    <row r="5719" spans="12:13">
      <c r="L5719" s="3">
        <v>44671.836805537081</v>
      </c>
      <c r="M5719" s="15"/>
    </row>
    <row r="5720" spans="12:13">
      <c r="L5720" s="3">
        <v>44671.8402777593</v>
      </c>
      <c r="M5720" s="15"/>
    </row>
    <row r="5721" spans="12:13">
      <c r="L5721" s="3">
        <v>44671.843749981519</v>
      </c>
      <c r="M5721" s="15"/>
    </row>
    <row r="5722" spans="12:13">
      <c r="L5722" s="3">
        <v>44671.847222203738</v>
      </c>
      <c r="M5722" s="15"/>
    </row>
    <row r="5723" spans="12:13">
      <c r="L5723" s="3">
        <v>44671.850694425957</v>
      </c>
      <c r="M5723" s="15"/>
    </row>
    <row r="5724" spans="12:13">
      <c r="L5724" s="3">
        <v>44671.854166648176</v>
      </c>
      <c r="M5724" s="15"/>
    </row>
    <row r="5725" spans="12:13">
      <c r="L5725" s="3">
        <v>44671.857638870395</v>
      </c>
      <c r="M5725" s="15"/>
    </row>
    <row r="5726" spans="12:13">
      <c r="L5726" s="3">
        <v>44671.861111092614</v>
      </c>
      <c r="M5726" s="15"/>
    </row>
    <row r="5727" spans="12:13">
      <c r="L5727" s="3">
        <v>44671.864583314833</v>
      </c>
      <c r="M5727" s="15"/>
    </row>
    <row r="5728" spans="12:13">
      <c r="L5728" s="3">
        <v>44671.868055537052</v>
      </c>
      <c r="M5728" s="15"/>
    </row>
    <row r="5729" spans="12:13">
      <c r="L5729" s="3">
        <v>44671.871527759271</v>
      </c>
      <c r="M5729" s="15"/>
    </row>
    <row r="5730" spans="12:13">
      <c r="L5730" s="3">
        <v>44671.87499998149</v>
      </c>
      <c r="M5730" s="15"/>
    </row>
    <row r="5731" spans="12:13">
      <c r="L5731" s="3">
        <v>44671.878472203709</v>
      </c>
      <c r="M5731" s="15"/>
    </row>
    <row r="5732" spans="12:13">
      <c r="L5732" s="3">
        <v>44671.881944425928</v>
      </c>
      <c r="M5732" s="15"/>
    </row>
    <row r="5733" spans="12:13">
      <c r="L5733" s="3">
        <v>44671.885416648147</v>
      </c>
      <c r="M5733" s="15"/>
    </row>
    <row r="5734" spans="12:13">
      <c r="L5734" s="3">
        <v>44671.888888870366</v>
      </c>
      <c r="M5734" s="15"/>
    </row>
    <row r="5735" spans="12:13">
      <c r="L5735" s="3">
        <v>44671.892361092585</v>
      </c>
      <c r="M5735" s="15"/>
    </row>
    <row r="5736" spans="12:13">
      <c r="L5736" s="3">
        <v>44671.895833314804</v>
      </c>
      <c r="M5736" s="15"/>
    </row>
    <row r="5737" spans="12:13">
      <c r="L5737" s="3">
        <v>44671.899305537023</v>
      </c>
      <c r="M5737" s="15"/>
    </row>
    <row r="5738" spans="12:13">
      <c r="L5738" s="3">
        <v>44671.902777759242</v>
      </c>
      <c r="M5738" s="15"/>
    </row>
    <row r="5739" spans="12:13">
      <c r="L5739" s="3">
        <v>44671.906249981461</v>
      </c>
      <c r="M5739" s="15"/>
    </row>
    <row r="5740" spans="12:13">
      <c r="L5740" s="3">
        <v>44671.90972220368</v>
      </c>
      <c r="M5740" s="15"/>
    </row>
    <row r="5741" spans="12:13">
      <c r="L5741" s="3">
        <v>44671.913194425899</v>
      </c>
      <c r="M5741" s="15"/>
    </row>
    <row r="5742" spans="12:13">
      <c r="L5742" s="3">
        <v>44671.916666648118</v>
      </c>
      <c r="M5742" s="15"/>
    </row>
    <row r="5743" spans="12:13">
      <c r="L5743" s="3">
        <v>44671.920138870337</v>
      </c>
      <c r="M5743" s="15"/>
    </row>
    <row r="5744" spans="12:13">
      <c r="L5744" s="3">
        <v>44671.923611092556</v>
      </c>
      <c r="M5744" s="15"/>
    </row>
    <row r="5745" spans="12:13">
      <c r="L5745" s="3">
        <v>44671.927083314775</v>
      </c>
      <c r="M5745" s="15"/>
    </row>
    <row r="5746" spans="12:13">
      <c r="L5746" s="3">
        <v>44671.930555536994</v>
      </c>
      <c r="M5746" s="15"/>
    </row>
    <row r="5747" spans="12:13">
      <c r="L5747" s="3">
        <v>44671.934027759213</v>
      </c>
      <c r="M5747" s="15"/>
    </row>
    <row r="5748" spans="12:13">
      <c r="L5748" s="3">
        <v>44671.937499981432</v>
      </c>
      <c r="M5748" s="15"/>
    </row>
    <row r="5749" spans="12:13">
      <c r="L5749" s="3">
        <v>44671.940972203651</v>
      </c>
      <c r="M5749" s="15"/>
    </row>
    <row r="5750" spans="12:13">
      <c r="L5750" s="3">
        <v>44671.94444442587</v>
      </c>
      <c r="M5750" s="15"/>
    </row>
    <row r="5751" spans="12:13">
      <c r="L5751" s="3">
        <v>44671.947916648089</v>
      </c>
      <c r="M5751" s="15"/>
    </row>
    <row r="5752" spans="12:13">
      <c r="L5752" s="3">
        <v>44671.951388870308</v>
      </c>
      <c r="M5752" s="15"/>
    </row>
    <row r="5753" spans="12:13">
      <c r="L5753" s="3">
        <v>44671.954861092527</v>
      </c>
      <c r="M5753" s="15"/>
    </row>
    <row r="5754" spans="12:13">
      <c r="L5754" s="3">
        <v>44671.958333314746</v>
      </c>
      <c r="M5754" s="15"/>
    </row>
    <row r="5755" spans="12:13">
      <c r="L5755" s="3">
        <v>44671.961805536965</v>
      </c>
      <c r="M5755" s="15"/>
    </row>
    <row r="5756" spans="12:13">
      <c r="L5756" s="3">
        <v>44671.965277759184</v>
      </c>
      <c r="M5756" s="15"/>
    </row>
    <row r="5757" spans="12:13">
      <c r="L5757" s="3">
        <v>44671.968749981403</v>
      </c>
      <c r="M5757" s="15"/>
    </row>
    <row r="5758" spans="12:13">
      <c r="L5758" s="3">
        <v>44671.972222203622</v>
      </c>
      <c r="M5758" s="15"/>
    </row>
    <row r="5759" spans="12:13">
      <c r="L5759" s="3">
        <v>44671.975694425841</v>
      </c>
      <c r="M5759" s="15"/>
    </row>
    <row r="5760" spans="12:13">
      <c r="L5760" s="3">
        <v>44671.97916664806</v>
      </c>
      <c r="M5760" s="15"/>
    </row>
    <row r="5761" spans="12:13">
      <c r="L5761" s="3">
        <v>44671.982638870279</v>
      </c>
      <c r="M5761" s="15"/>
    </row>
    <row r="5762" spans="12:13">
      <c r="L5762" s="3">
        <v>44671.986111092498</v>
      </c>
      <c r="M5762" s="15"/>
    </row>
    <row r="5763" spans="12:13">
      <c r="L5763" s="3">
        <v>44671.989583314717</v>
      </c>
      <c r="M5763" s="15"/>
    </row>
    <row r="5764" spans="12:13">
      <c r="L5764" s="3">
        <v>44671.993055536936</v>
      </c>
      <c r="M5764" s="15"/>
    </row>
    <row r="5765" spans="12:13">
      <c r="L5765" s="3">
        <v>44671.996527759155</v>
      </c>
      <c r="M5765" s="15"/>
    </row>
    <row r="5766" spans="12:13">
      <c r="L5766" s="3">
        <v>44671.999999981374</v>
      </c>
      <c r="M5766" s="15"/>
    </row>
    <row r="5767" spans="12:13">
      <c r="L5767" s="3">
        <v>44672.003472203593</v>
      </c>
      <c r="M5767" s="15"/>
    </row>
    <row r="5768" spans="12:13">
      <c r="L5768" s="3">
        <v>44672.006944425812</v>
      </c>
      <c r="M5768" s="15"/>
    </row>
    <row r="5769" spans="12:13">
      <c r="L5769" s="3">
        <v>44672.010416648031</v>
      </c>
      <c r="M5769" s="15"/>
    </row>
    <row r="5770" spans="12:13">
      <c r="L5770" s="3">
        <v>44672.01388887025</v>
      </c>
      <c r="M5770" s="15"/>
    </row>
    <row r="5771" spans="12:13">
      <c r="L5771" s="3">
        <v>44672.017361092468</v>
      </c>
      <c r="M5771" s="15"/>
    </row>
    <row r="5772" spans="12:13">
      <c r="L5772" s="3">
        <v>44672.020833314687</v>
      </c>
      <c r="M5772" s="15"/>
    </row>
    <row r="5773" spans="12:13">
      <c r="L5773" s="3">
        <v>44672.024305536906</v>
      </c>
      <c r="M5773" s="15"/>
    </row>
    <row r="5774" spans="12:13">
      <c r="L5774" s="3">
        <v>44672.027777759125</v>
      </c>
      <c r="M5774" s="15"/>
    </row>
    <row r="5775" spans="12:13">
      <c r="L5775" s="3">
        <v>44672.031249981344</v>
      </c>
      <c r="M5775" s="15"/>
    </row>
    <row r="5776" spans="12:13">
      <c r="L5776" s="3">
        <v>44672.034722203563</v>
      </c>
      <c r="M5776" s="15"/>
    </row>
    <row r="5777" spans="12:13">
      <c r="L5777" s="3">
        <v>44672.038194425782</v>
      </c>
      <c r="M5777" s="15"/>
    </row>
    <row r="5778" spans="12:13">
      <c r="L5778" s="3">
        <v>44672.041666648001</v>
      </c>
      <c r="M5778" s="15"/>
    </row>
    <row r="5779" spans="12:13">
      <c r="L5779" s="3">
        <v>44672.04513887022</v>
      </c>
      <c r="M5779" s="15"/>
    </row>
    <row r="5780" spans="12:13">
      <c r="L5780" s="3">
        <v>44672.048611092439</v>
      </c>
      <c r="M5780" s="15"/>
    </row>
    <row r="5781" spans="12:13">
      <c r="L5781" s="3">
        <v>44672.052083314658</v>
      </c>
      <c r="M5781" s="15"/>
    </row>
    <row r="5782" spans="12:13">
      <c r="L5782" s="3">
        <v>44672.055555536877</v>
      </c>
      <c r="M5782" s="15"/>
    </row>
    <row r="5783" spans="12:13">
      <c r="L5783" s="3">
        <v>44672.059027759096</v>
      </c>
      <c r="M5783" s="15"/>
    </row>
    <row r="5784" spans="12:13">
      <c r="L5784" s="3">
        <v>44672.062499981315</v>
      </c>
      <c r="M5784" s="15"/>
    </row>
    <row r="5785" spans="12:13">
      <c r="L5785" s="3">
        <v>44672.065972203534</v>
      </c>
      <c r="M5785" s="15"/>
    </row>
    <row r="5786" spans="12:13">
      <c r="L5786" s="3">
        <v>44672.069444425753</v>
      </c>
      <c r="M5786" s="15"/>
    </row>
    <row r="5787" spans="12:13">
      <c r="L5787" s="3">
        <v>44672.072916647972</v>
      </c>
      <c r="M5787" s="15"/>
    </row>
    <row r="5788" spans="12:13">
      <c r="L5788" s="3">
        <v>44672.076388870191</v>
      </c>
      <c r="M5788" s="15"/>
    </row>
    <row r="5789" spans="12:13">
      <c r="L5789" s="3">
        <v>44672.07986109241</v>
      </c>
      <c r="M5789" s="15"/>
    </row>
    <row r="5790" spans="12:13">
      <c r="L5790" s="3">
        <v>44672.083333314629</v>
      </c>
      <c r="M5790" s="15"/>
    </row>
    <row r="5791" spans="12:13">
      <c r="L5791" s="3">
        <v>44672.086805536848</v>
      </c>
      <c r="M5791" s="15"/>
    </row>
    <row r="5792" spans="12:13">
      <c r="L5792" s="3">
        <v>44672.090277759067</v>
      </c>
      <c r="M5792" s="15"/>
    </row>
    <row r="5793" spans="12:13">
      <c r="L5793" s="3">
        <v>44672.093749981286</v>
      </c>
      <c r="M5793" s="15"/>
    </row>
    <row r="5794" spans="12:13">
      <c r="L5794" s="3">
        <v>44672.097222203505</v>
      </c>
      <c r="M5794" s="15"/>
    </row>
    <row r="5795" spans="12:13">
      <c r="L5795" s="3">
        <v>44672.100694425724</v>
      </c>
      <c r="M5795" s="15"/>
    </row>
    <row r="5796" spans="12:13">
      <c r="L5796" s="3">
        <v>44672.104166647943</v>
      </c>
      <c r="M5796" s="15"/>
    </row>
    <row r="5797" spans="12:13">
      <c r="L5797" s="3">
        <v>44672.107638870162</v>
      </c>
      <c r="M5797" s="15"/>
    </row>
    <row r="5798" spans="12:13">
      <c r="L5798" s="3">
        <v>44672.111111092381</v>
      </c>
      <c r="M5798" s="15"/>
    </row>
    <row r="5799" spans="12:13">
      <c r="L5799" s="3">
        <v>44672.1145833146</v>
      </c>
      <c r="M5799" s="15"/>
    </row>
    <row r="5800" spans="12:13">
      <c r="L5800" s="3">
        <v>44672.118055536819</v>
      </c>
      <c r="M5800" s="15"/>
    </row>
    <row r="5801" spans="12:13">
      <c r="L5801" s="3">
        <v>44672.121527759038</v>
      </c>
      <c r="M5801" s="15"/>
    </row>
    <row r="5802" spans="12:13">
      <c r="L5802" s="3">
        <v>44672.124999981257</v>
      </c>
      <c r="M5802" s="15"/>
    </row>
    <row r="5803" spans="12:13">
      <c r="L5803" s="3">
        <v>44672.128472203476</v>
      </c>
      <c r="M5803" s="15"/>
    </row>
    <row r="5804" spans="12:13">
      <c r="L5804" s="3">
        <v>44672.131944425695</v>
      </c>
      <c r="M5804" s="15"/>
    </row>
    <row r="5805" spans="12:13">
      <c r="L5805" s="3">
        <v>44672.135416647914</v>
      </c>
      <c r="M5805" s="15"/>
    </row>
    <row r="5806" spans="12:13">
      <c r="L5806" s="3">
        <v>44672.138888870133</v>
      </c>
      <c r="M5806" s="15"/>
    </row>
    <row r="5807" spans="12:13">
      <c r="L5807" s="3">
        <v>44672.142361092352</v>
      </c>
      <c r="M5807" s="15"/>
    </row>
    <row r="5808" spans="12:13">
      <c r="L5808" s="3">
        <v>44672.145833314571</v>
      </c>
      <c r="M5808" s="15"/>
    </row>
    <row r="5809" spans="12:13">
      <c r="L5809" s="3">
        <v>44672.14930553679</v>
      </c>
      <c r="M5809" s="15"/>
    </row>
    <row r="5810" spans="12:13">
      <c r="L5810" s="3">
        <v>44672.152777759009</v>
      </c>
      <c r="M5810" s="15"/>
    </row>
    <row r="5811" spans="12:13">
      <c r="L5811" s="3">
        <v>44672.156249981228</v>
      </c>
      <c r="M5811" s="15"/>
    </row>
    <row r="5812" spans="12:13">
      <c r="L5812" s="3">
        <v>44672.159722203447</v>
      </c>
      <c r="M5812" s="15"/>
    </row>
    <row r="5813" spans="12:13">
      <c r="L5813" s="3">
        <v>44672.163194425666</v>
      </c>
      <c r="M5813" s="15"/>
    </row>
    <row r="5814" spans="12:13">
      <c r="L5814" s="3">
        <v>44672.166666647885</v>
      </c>
      <c r="M5814" s="15"/>
    </row>
    <row r="5815" spans="12:13">
      <c r="L5815" s="3">
        <v>44672.170138870104</v>
      </c>
      <c r="M5815" s="15"/>
    </row>
    <row r="5816" spans="12:13">
      <c r="L5816" s="3">
        <v>44672.173611092323</v>
      </c>
      <c r="M5816" s="15"/>
    </row>
    <row r="5817" spans="12:13">
      <c r="L5817" s="3">
        <v>44672.177083314542</v>
      </c>
      <c r="M5817" s="15"/>
    </row>
    <row r="5818" spans="12:13">
      <c r="L5818" s="3">
        <v>44672.180555536761</v>
      </c>
      <c r="M5818" s="15"/>
    </row>
    <row r="5819" spans="12:13">
      <c r="L5819" s="3">
        <v>44672.18402775898</v>
      </c>
      <c r="M5819" s="15"/>
    </row>
    <row r="5820" spans="12:13">
      <c r="L5820" s="3">
        <v>44672.187499981199</v>
      </c>
      <c r="M5820" s="15"/>
    </row>
    <row r="5821" spans="12:13">
      <c r="L5821" s="3">
        <v>44672.190972203418</v>
      </c>
      <c r="M5821" s="15"/>
    </row>
    <row r="5822" spans="12:13">
      <c r="L5822" s="3">
        <v>44672.194444425637</v>
      </c>
      <c r="M5822" s="15"/>
    </row>
    <row r="5823" spans="12:13">
      <c r="L5823" s="3">
        <v>44672.197916647856</v>
      </c>
      <c r="M5823" s="15"/>
    </row>
    <row r="5824" spans="12:13">
      <c r="L5824" s="3">
        <v>44672.201388870075</v>
      </c>
      <c r="M5824" s="15"/>
    </row>
    <row r="5825" spans="12:13">
      <c r="L5825" s="3">
        <v>44672.204861092294</v>
      </c>
      <c r="M5825" s="15"/>
    </row>
    <row r="5826" spans="12:13">
      <c r="L5826" s="3">
        <v>44672.208333314513</v>
      </c>
      <c r="M5826" s="15"/>
    </row>
    <row r="5827" spans="12:13">
      <c r="L5827" s="3">
        <v>44672.211805536732</v>
      </c>
      <c r="M5827" s="15"/>
    </row>
    <row r="5828" spans="12:13">
      <c r="L5828" s="3">
        <v>44672.215277758951</v>
      </c>
      <c r="M5828" s="15"/>
    </row>
    <row r="5829" spans="12:13">
      <c r="L5829" s="3">
        <v>44672.21874998117</v>
      </c>
      <c r="M5829" s="15"/>
    </row>
    <row r="5830" spans="12:13">
      <c r="L5830" s="3">
        <v>44672.222222203389</v>
      </c>
      <c r="M5830" s="15"/>
    </row>
    <row r="5831" spans="12:13">
      <c r="L5831" s="3">
        <v>44672.225694425608</v>
      </c>
      <c r="M5831" s="15"/>
    </row>
    <row r="5832" spans="12:13">
      <c r="L5832" s="3">
        <v>44672.229166647827</v>
      </c>
      <c r="M5832" s="15"/>
    </row>
    <row r="5833" spans="12:13">
      <c r="L5833" s="3">
        <v>44672.232638870046</v>
      </c>
      <c r="M5833" s="15"/>
    </row>
    <row r="5834" spans="12:13">
      <c r="L5834" s="3">
        <v>44672.236111092265</v>
      </c>
      <c r="M5834" s="15"/>
    </row>
    <row r="5835" spans="12:13">
      <c r="L5835" s="3">
        <v>44672.239583314484</v>
      </c>
      <c r="M5835" s="15"/>
    </row>
    <row r="5836" spans="12:13">
      <c r="L5836" s="3">
        <v>44672.243055536703</v>
      </c>
      <c r="M5836" s="15"/>
    </row>
    <row r="5837" spans="12:13">
      <c r="L5837" s="3">
        <v>44672.246527758922</v>
      </c>
      <c r="M5837" s="15"/>
    </row>
    <row r="5838" spans="12:13">
      <c r="L5838" s="3">
        <v>44672.249999981141</v>
      </c>
      <c r="M5838" s="15"/>
    </row>
    <row r="5839" spans="12:13">
      <c r="L5839" s="3">
        <v>44672.25347220336</v>
      </c>
      <c r="M5839" s="15"/>
    </row>
    <row r="5840" spans="12:13">
      <c r="L5840" s="3">
        <v>44672.256944425579</v>
      </c>
      <c r="M5840" s="15"/>
    </row>
    <row r="5841" spans="12:13">
      <c r="L5841" s="3">
        <v>44672.260416647798</v>
      </c>
      <c r="M5841" s="15"/>
    </row>
    <row r="5842" spans="12:13">
      <c r="L5842" s="3">
        <v>44672.263888870017</v>
      </c>
      <c r="M5842" s="15"/>
    </row>
    <row r="5843" spans="12:13">
      <c r="L5843" s="3">
        <v>44672.267361092236</v>
      </c>
      <c r="M5843" s="15"/>
    </row>
    <row r="5844" spans="12:13">
      <c r="L5844" s="3">
        <v>44672.270833314455</v>
      </c>
      <c r="M5844" s="15"/>
    </row>
    <row r="5845" spans="12:13">
      <c r="L5845" s="3">
        <v>44672.274305536674</v>
      </c>
      <c r="M5845" s="15"/>
    </row>
    <row r="5846" spans="12:13">
      <c r="L5846" s="3">
        <v>44672.277777758893</v>
      </c>
      <c r="M5846" s="15"/>
    </row>
    <row r="5847" spans="12:13">
      <c r="L5847" s="3">
        <v>44672.281249981112</v>
      </c>
      <c r="M5847" s="15"/>
    </row>
    <row r="5848" spans="12:13">
      <c r="L5848" s="3">
        <v>44672.284722203331</v>
      </c>
      <c r="M5848" s="15"/>
    </row>
    <row r="5849" spans="12:13">
      <c r="L5849" s="3">
        <v>44672.28819442555</v>
      </c>
      <c r="M5849" s="15"/>
    </row>
    <row r="5850" spans="12:13">
      <c r="L5850" s="3">
        <v>44672.291666647769</v>
      </c>
      <c r="M5850" s="15"/>
    </row>
    <row r="5851" spans="12:13">
      <c r="L5851" s="3">
        <v>44672.295138869988</v>
      </c>
      <c r="M5851" s="15"/>
    </row>
    <row r="5852" spans="12:13">
      <c r="L5852" s="3">
        <v>44672.298611092207</v>
      </c>
      <c r="M5852" s="15"/>
    </row>
    <row r="5853" spans="12:13">
      <c r="L5853" s="3">
        <v>44672.302083314426</v>
      </c>
      <c r="M5853" s="15"/>
    </row>
    <row r="5854" spans="12:13">
      <c r="L5854" s="3">
        <v>44672.305555536645</v>
      </c>
      <c r="M5854" s="15"/>
    </row>
    <row r="5855" spans="12:13">
      <c r="L5855" s="3">
        <v>44672.309027758864</v>
      </c>
      <c r="M5855" s="15"/>
    </row>
    <row r="5856" spans="12:13">
      <c r="L5856" s="3">
        <v>44672.312499981083</v>
      </c>
      <c r="M5856" s="15"/>
    </row>
    <row r="5857" spans="12:13">
      <c r="L5857" s="3">
        <v>44672.315972203301</v>
      </c>
      <c r="M5857" s="15"/>
    </row>
    <row r="5858" spans="12:13">
      <c r="L5858" s="3">
        <v>44672.31944442552</v>
      </c>
      <c r="M5858" s="15"/>
    </row>
    <row r="5859" spans="12:13">
      <c r="L5859" s="3">
        <v>44672.322916647739</v>
      </c>
      <c r="M5859" s="15"/>
    </row>
    <row r="5860" spans="12:13">
      <c r="L5860" s="3">
        <v>44672.326388869958</v>
      </c>
      <c r="M5860" s="15"/>
    </row>
    <row r="5861" spans="12:13">
      <c r="L5861" s="3">
        <v>44672.329861092177</v>
      </c>
      <c r="M5861" s="15"/>
    </row>
    <row r="5862" spans="12:13">
      <c r="L5862" s="3">
        <v>44672.333333314396</v>
      </c>
      <c r="M5862" s="15"/>
    </row>
    <row r="5863" spans="12:13">
      <c r="L5863" s="3">
        <v>44672.336805536615</v>
      </c>
      <c r="M5863" s="15"/>
    </row>
    <row r="5864" spans="12:13">
      <c r="L5864" s="3">
        <v>44672.340277758834</v>
      </c>
      <c r="M5864" s="15"/>
    </row>
    <row r="5865" spans="12:13">
      <c r="L5865" s="3">
        <v>44672.343749981053</v>
      </c>
      <c r="M5865" s="15"/>
    </row>
    <row r="5866" spans="12:13">
      <c r="L5866" s="3">
        <v>44672.347222203272</v>
      </c>
      <c r="M5866" s="15"/>
    </row>
    <row r="5867" spans="12:13">
      <c r="L5867" s="3">
        <v>44672.350694425491</v>
      </c>
      <c r="M5867" s="15"/>
    </row>
    <row r="5868" spans="12:13">
      <c r="L5868" s="3">
        <v>44672.35416664771</v>
      </c>
      <c r="M5868" s="15"/>
    </row>
    <row r="5869" spans="12:13">
      <c r="L5869" s="3">
        <v>44672.357638869929</v>
      </c>
      <c r="M5869" s="15"/>
    </row>
    <row r="5870" spans="12:13">
      <c r="L5870" s="3">
        <v>44672.361111092148</v>
      </c>
      <c r="M5870" s="15"/>
    </row>
    <row r="5871" spans="12:13">
      <c r="L5871" s="3">
        <v>44672.364583314367</v>
      </c>
      <c r="M5871" s="15"/>
    </row>
    <row r="5872" spans="12:13">
      <c r="L5872" s="3">
        <v>44672.368055536586</v>
      </c>
      <c r="M5872" s="15"/>
    </row>
    <row r="5873" spans="12:13">
      <c r="L5873" s="3">
        <v>44672.371527758805</v>
      </c>
      <c r="M5873" s="15"/>
    </row>
    <row r="5874" spans="12:13">
      <c r="L5874" s="3">
        <v>44672.374999981024</v>
      </c>
      <c r="M5874" s="15"/>
    </row>
    <row r="5875" spans="12:13">
      <c r="L5875" s="3">
        <v>44672.378472203243</v>
      </c>
      <c r="M5875" s="15"/>
    </row>
    <row r="5876" spans="12:13">
      <c r="L5876" s="3">
        <v>44672.381944425462</v>
      </c>
      <c r="M5876" s="15"/>
    </row>
    <row r="5877" spans="12:13">
      <c r="L5877" s="3">
        <v>44672.385416647681</v>
      </c>
      <c r="M5877" s="15"/>
    </row>
    <row r="5878" spans="12:13">
      <c r="L5878" s="3">
        <v>44672.3888888699</v>
      </c>
      <c r="M5878" s="15"/>
    </row>
    <row r="5879" spans="12:13">
      <c r="L5879" s="3">
        <v>44672.392361092119</v>
      </c>
      <c r="M5879" s="15"/>
    </row>
    <row r="5880" spans="12:13">
      <c r="L5880" s="3">
        <v>44672.395833314338</v>
      </c>
      <c r="M5880" s="15"/>
    </row>
    <row r="5881" spans="12:13">
      <c r="L5881" s="3">
        <v>44672.399305536557</v>
      </c>
      <c r="M5881" s="15"/>
    </row>
    <row r="5882" spans="12:13">
      <c r="L5882" s="3">
        <v>44672.402777758776</v>
      </c>
      <c r="M5882" s="15"/>
    </row>
    <row r="5883" spans="12:13">
      <c r="L5883" s="3">
        <v>44672.406249980995</v>
      </c>
      <c r="M5883" s="15"/>
    </row>
    <row r="5884" spans="12:13">
      <c r="L5884" s="3">
        <v>44672.409722203214</v>
      </c>
      <c r="M5884" s="15"/>
    </row>
    <row r="5885" spans="12:13">
      <c r="L5885" s="3">
        <v>44672.413194425433</v>
      </c>
      <c r="M5885" s="15"/>
    </row>
    <row r="5886" spans="12:13">
      <c r="L5886" s="3">
        <v>44672.416666647652</v>
      </c>
      <c r="M5886" s="15"/>
    </row>
    <row r="5887" spans="12:13">
      <c r="L5887" s="3">
        <v>44672.420138869871</v>
      </c>
      <c r="M5887" s="15"/>
    </row>
    <row r="5888" spans="12:13">
      <c r="L5888" s="3">
        <v>44672.42361109209</v>
      </c>
      <c r="M5888" s="15"/>
    </row>
    <row r="5889" spans="12:13">
      <c r="L5889" s="3">
        <v>44672.427083314309</v>
      </c>
      <c r="M5889" s="15"/>
    </row>
    <row r="5890" spans="12:13">
      <c r="L5890" s="3">
        <v>44672.430555536528</v>
      </c>
      <c r="M5890" s="15"/>
    </row>
    <row r="5891" spans="12:13">
      <c r="L5891" s="3">
        <v>44672.434027758747</v>
      </c>
      <c r="M5891" s="15"/>
    </row>
    <row r="5892" spans="12:13">
      <c r="L5892" s="3">
        <v>44672.437499980966</v>
      </c>
      <c r="M5892" s="15"/>
    </row>
    <row r="5893" spans="12:13">
      <c r="L5893" s="3">
        <v>44672.440972203185</v>
      </c>
      <c r="M5893" s="15"/>
    </row>
    <row r="5894" spans="12:13">
      <c r="L5894" s="3">
        <v>44672.444444425404</v>
      </c>
      <c r="M5894" s="15"/>
    </row>
    <row r="5895" spans="12:13">
      <c r="L5895" s="3">
        <v>44672.447916647623</v>
      </c>
      <c r="M5895" s="15"/>
    </row>
    <row r="5896" spans="12:13">
      <c r="L5896" s="3">
        <v>44672.451388869842</v>
      </c>
      <c r="M5896" s="15"/>
    </row>
    <row r="5897" spans="12:13">
      <c r="L5897" s="3">
        <v>44672.454861092061</v>
      </c>
      <c r="M5897" s="15"/>
    </row>
    <row r="5898" spans="12:13">
      <c r="L5898" s="3">
        <v>44672.45833331428</v>
      </c>
      <c r="M5898" s="15"/>
    </row>
    <row r="5899" spans="12:13">
      <c r="L5899" s="3">
        <v>44672.461805536499</v>
      </c>
      <c r="M5899" s="15"/>
    </row>
    <row r="5900" spans="12:13">
      <c r="L5900" s="3">
        <v>44672.465277758718</v>
      </c>
      <c r="M5900" s="15"/>
    </row>
    <row r="5901" spans="12:13">
      <c r="L5901" s="3">
        <v>44672.468749980937</v>
      </c>
      <c r="M5901" s="15"/>
    </row>
    <row r="5902" spans="12:13">
      <c r="L5902" s="3">
        <v>44672.472222203156</v>
      </c>
      <c r="M5902" s="15"/>
    </row>
    <row r="5903" spans="12:13">
      <c r="L5903" s="3">
        <v>44672.475694425375</v>
      </c>
      <c r="M5903" s="15"/>
    </row>
    <row r="5904" spans="12:13">
      <c r="L5904" s="3">
        <v>44672.479166647594</v>
      </c>
      <c r="M5904" s="15"/>
    </row>
    <row r="5905" spans="12:13">
      <c r="L5905" s="3">
        <v>44672.482638869813</v>
      </c>
      <c r="M5905" s="15"/>
    </row>
    <row r="5906" spans="12:13">
      <c r="L5906" s="3">
        <v>44672.486111092032</v>
      </c>
      <c r="M5906" s="15"/>
    </row>
    <row r="5907" spans="12:13">
      <c r="L5907" s="3">
        <v>44672.489583314251</v>
      </c>
      <c r="M5907" s="15"/>
    </row>
    <row r="5908" spans="12:13">
      <c r="L5908" s="3">
        <v>44672.49305553647</v>
      </c>
      <c r="M5908" s="15"/>
    </row>
    <row r="5909" spans="12:13">
      <c r="L5909" s="3">
        <v>44672.496527758689</v>
      </c>
      <c r="M5909" s="15"/>
    </row>
    <row r="5910" spans="12:13">
      <c r="L5910" s="3">
        <v>44672.499999980908</v>
      </c>
      <c r="M5910" s="15"/>
    </row>
    <row r="5911" spans="12:13">
      <c r="L5911" s="3">
        <v>44672.503472203127</v>
      </c>
      <c r="M5911" s="15"/>
    </row>
    <row r="5912" spans="12:13">
      <c r="L5912" s="3">
        <v>44672.506944425346</v>
      </c>
      <c r="M5912" s="15"/>
    </row>
    <row r="5913" spans="12:13">
      <c r="L5913" s="3">
        <v>44672.510416647565</v>
      </c>
      <c r="M5913" s="15"/>
    </row>
    <row r="5914" spans="12:13">
      <c r="L5914" s="3">
        <v>44672.513888869784</v>
      </c>
      <c r="M5914" s="15"/>
    </row>
    <row r="5915" spans="12:13">
      <c r="L5915" s="3">
        <v>44672.517361092003</v>
      </c>
      <c r="M5915" s="15"/>
    </row>
    <row r="5916" spans="12:13">
      <c r="L5916" s="3">
        <v>44672.520833314222</v>
      </c>
      <c r="M5916" s="15"/>
    </row>
    <row r="5917" spans="12:13">
      <c r="L5917" s="3">
        <v>44672.524305536441</v>
      </c>
      <c r="M5917" s="15"/>
    </row>
    <row r="5918" spans="12:13">
      <c r="L5918" s="3">
        <v>44672.52777775866</v>
      </c>
      <c r="M5918" s="15"/>
    </row>
    <row r="5919" spans="12:13">
      <c r="L5919" s="3">
        <v>44672.531249980879</v>
      </c>
      <c r="M5919" s="15"/>
    </row>
    <row r="5920" spans="12:13">
      <c r="L5920" s="3">
        <v>44672.534722203098</v>
      </c>
      <c r="M5920" s="15"/>
    </row>
    <row r="5921" spans="12:13">
      <c r="L5921" s="3">
        <v>44672.538194425317</v>
      </c>
      <c r="M5921" s="15"/>
    </row>
    <row r="5922" spans="12:13">
      <c r="L5922" s="3">
        <v>44672.541666647536</v>
      </c>
      <c r="M5922" s="15"/>
    </row>
    <row r="5923" spans="12:13">
      <c r="L5923" s="3">
        <v>44672.545138869755</v>
      </c>
      <c r="M5923" s="15"/>
    </row>
    <row r="5924" spans="12:13">
      <c r="L5924" s="3">
        <v>44672.548611091974</v>
      </c>
      <c r="M5924" s="15"/>
    </row>
    <row r="5925" spans="12:13">
      <c r="L5925" s="3">
        <v>44672.552083314193</v>
      </c>
      <c r="M5925" s="15"/>
    </row>
    <row r="5926" spans="12:13">
      <c r="L5926" s="3">
        <v>44672.555555536412</v>
      </c>
      <c r="M5926" s="15"/>
    </row>
    <row r="5927" spans="12:13">
      <c r="L5927" s="3">
        <v>44672.559027758631</v>
      </c>
      <c r="M5927" s="15"/>
    </row>
    <row r="5928" spans="12:13">
      <c r="L5928" s="3">
        <v>44672.56249998085</v>
      </c>
      <c r="M5928" s="15"/>
    </row>
    <row r="5929" spans="12:13">
      <c r="L5929" s="3">
        <v>44672.565972203069</v>
      </c>
      <c r="M5929" s="15"/>
    </row>
    <row r="5930" spans="12:13">
      <c r="L5930" s="3">
        <v>44672.569444425288</v>
      </c>
      <c r="M5930" s="15"/>
    </row>
    <row r="5931" spans="12:13">
      <c r="L5931" s="3">
        <v>44672.572916647507</v>
      </c>
      <c r="M5931" s="15"/>
    </row>
    <row r="5932" spans="12:13">
      <c r="L5932" s="3">
        <v>44672.576388869726</v>
      </c>
      <c r="M5932" s="15"/>
    </row>
    <row r="5933" spans="12:13">
      <c r="L5933" s="3">
        <v>44672.579861091945</v>
      </c>
      <c r="M5933" s="15"/>
    </row>
    <row r="5934" spans="12:13">
      <c r="L5934" s="3">
        <v>44672.583333314164</v>
      </c>
      <c r="M5934" s="15"/>
    </row>
    <row r="5935" spans="12:13">
      <c r="L5935" s="3">
        <v>44672.586805536383</v>
      </c>
      <c r="M5935" s="15"/>
    </row>
    <row r="5936" spans="12:13">
      <c r="L5936" s="3">
        <v>44672.590277758602</v>
      </c>
      <c r="M5936" s="15"/>
    </row>
    <row r="5937" spans="12:13">
      <c r="L5937" s="3">
        <v>44672.593749980821</v>
      </c>
      <c r="M5937" s="15"/>
    </row>
    <row r="5938" spans="12:13">
      <c r="L5938" s="3">
        <v>44672.59722220304</v>
      </c>
      <c r="M5938" s="15"/>
    </row>
    <row r="5939" spans="12:13">
      <c r="L5939" s="3">
        <v>44672.600694425259</v>
      </c>
      <c r="M5939" s="15"/>
    </row>
    <row r="5940" spans="12:13">
      <c r="L5940" s="3">
        <v>44672.604166647478</v>
      </c>
      <c r="M5940" s="15"/>
    </row>
    <row r="5941" spans="12:13">
      <c r="L5941" s="3">
        <v>44672.607638869697</v>
      </c>
      <c r="M5941" s="15"/>
    </row>
    <row r="5942" spans="12:13">
      <c r="L5942" s="3">
        <v>44672.611111091916</v>
      </c>
      <c r="M5942" s="15"/>
    </row>
    <row r="5943" spans="12:13">
      <c r="L5943" s="3">
        <v>44672.614583314135</v>
      </c>
      <c r="M5943" s="15"/>
    </row>
    <row r="5944" spans="12:13">
      <c r="L5944" s="3">
        <v>44672.618055536353</v>
      </c>
      <c r="M5944" s="15"/>
    </row>
    <row r="5945" spans="12:13">
      <c r="L5945" s="3">
        <v>44672.621527758572</v>
      </c>
      <c r="M5945" s="15"/>
    </row>
    <row r="5946" spans="12:13">
      <c r="L5946" s="3">
        <v>44672.624999980791</v>
      </c>
      <c r="M5946" s="15"/>
    </row>
    <row r="5947" spans="12:13">
      <c r="L5947" s="3">
        <v>44672.62847220301</v>
      </c>
      <c r="M5947" s="15"/>
    </row>
    <row r="5948" spans="12:13">
      <c r="L5948" s="3">
        <v>44672.631944425229</v>
      </c>
      <c r="M5948" s="15"/>
    </row>
    <row r="5949" spans="12:13">
      <c r="L5949" s="3">
        <v>44672.635416647448</v>
      </c>
      <c r="M5949" s="15"/>
    </row>
    <row r="5950" spans="12:13">
      <c r="L5950" s="3">
        <v>44672.638888869667</v>
      </c>
      <c r="M5950" s="15"/>
    </row>
    <row r="5951" spans="12:13">
      <c r="L5951" s="3">
        <v>44672.642361091886</v>
      </c>
      <c r="M5951" s="15"/>
    </row>
    <row r="5952" spans="12:13">
      <c r="L5952" s="3">
        <v>44672.645833314105</v>
      </c>
      <c r="M5952" s="15"/>
    </row>
    <row r="5953" spans="12:13">
      <c r="L5953" s="3">
        <v>44672.649305536324</v>
      </c>
      <c r="M5953" s="15"/>
    </row>
    <row r="5954" spans="12:13">
      <c r="L5954" s="3">
        <v>44672.652777758543</v>
      </c>
      <c r="M5954" s="15"/>
    </row>
    <row r="5955" spans="12:13">
      <c r="L5955" s="3">
        <v>44672.656249980762</v>
      </c>
      <c r="M5955" s="15"/>
    </row>
    <row r="5956" spans="12:13">
      <c r="L5956" s="3">
        <v>44672.659722202981</v>
      </c>
      <c r="M5956" s="15"/>
    </row>
    <row r="5957" spans="12:13">
      <c r="L5957" s="3">
        <v>44672.6631944252</v>
      </c>
      <c r="M5957" s="15"/>
    </row>
    <row r="5958" spans="12:13">
      <c r="L5958" s="3">
        <v>44672.666666647419</v>
      </c>
      <c r="M5958" s="15"/>
    </row>
    <row r="5959" spans="12:13">
      <c r="L5959" s="3">
        <v>44672.670138869638</v>
      </c>
      <c r="M5959" s="15"/>
    </row>
    <row r="5960" spans="12:13">
      <c r="L5960" s="3">
        <v>44672.673611091857</v>
      </c>
      <c r="M5960" s="15"/>
    </row>
    <row r="5961" spans="12:13">
      <c r="L5961" s="3">
        <v>44672.677083314076</v>
      </c>
      <c r="M5961" s="15"/>
    </row>
    <row r="5962" spans="12:13">
      <c r="L5962" s="3">
        <v>44672.680555536295</v>
      </c>
      <c r="M5962" s="15"/>
    </row>
    <row r="5963" spans="12:13">
      <c r="L5963" s="3">
        <v>44672.684027758514</v>
      </c>
      <c r="M5963" s="15"/>
    </row>
    <row r="5964" spans="12:13">
      <c r="L5964" s="3">
        <v>44672.687499980733</v>
      </c>
      <c r="M5964" s="15"/>
    </row>
    <row r="5965" spans="12:13">
      <c r="L5965" s="3">
        <v>44672.690972202952</v>
      </c>
      <c r="M5965" s="15"/>
    </row>
    <row r="5966" spans="12:13">
      <c r="L5966" s="3">
        <v>44672.694444425171</v>
      </c>
      <c r="M5966" s="15"/>
    </row>
    <row r="5967" spans="12:13">
      <c r="L5967" s="3">
        <v>44672.69791664739</v>
      </c>
      <c r="M5967" s="15"/>
    </row>
    <row r="5968" spans="12:13">
      <c r="L5968" s="3">
        <v>44672.701388869609</v>
      </c>
      <c r="M5968" s="15"/>
    </row>
    <row r="5969" spans="12:13">
      <c r="L5969" s="3">
        <v>44672.704861091828</v>
      </c>
      <c r="M5969" s="15"/>
    </row>
    <row r="5970" spans="12:13">
      <c r="L5970" s="3">
        <v>44672.708333314047</v>
      </c>
      <c r="M5970" s="15"/>
    </row>
    <row r="5971" spans="12:13">
      <c r="L5971" s="3">
        <v>44672.711805536266</v>
      </c>
      <c r="M5971" s="15"/>
    </row>
    <row r="5972" spans="12:13">
      <c r="L5972" s="3">
        <v>44672.715277758485</v>
      </c>
      <c r="M5972" s="15"/>
    </row>
    <row r="5973" spans="12:13">
      <c r="L5973" s="3">
        <v>44672.718749980704</v>
      </c>
      <c r="M5973" s="15"/>
    </row>
    <row r="5974" spans="12:13">
      <c r="L5974" s="3">
        <v>44672.722222202923</v>
      </c>
      <c r="M5974" s="15"/>
    </row>
    <row r="5975" spans="12:13">
      <c r="L5975" s="3">
        <v>44672.725694425142</v>
      </c>
      <c r="M5975" s="15"/>
    </row>
    <row r="5976" spans="12:13">
      <c r="L5976" s="3">
        <v>44672.729166647361</v>
      </c>
      <c r="M5976" s="15"/>
    </row>
    <row r="5977" spans="12:13">
      <c r="L5977" s="3">
        <v>44672.73263886958</v>
      </c>
      <c r="M5977" s="15"/>
    </row>
    <row r="5978" spans="12:13">
      <c r="L5978" s="3">
        <v>44672.736111091799</v>
      </c>
      <c r="M5978" s="15"/>
    </row>
    <row r="5979" spans="12:13">
      <c r="L5979" s="3">
        <v>44672.739583314018</v>
      </c>
      <c r="M5979" s="15"/>
    </row>
    <row r="5980" spans="12:13">
      <c r="L5980" s="3">
        <v>44672.743055536237</v>
      </c>
      <c r="M5980" s="15"/>
    </row>
    <row r="5981" spans="12:13">
      <c r="L5981" s="3">
        <v>44672.746527758456</v>
      </c>
      <c r="M5981" s="15"/>
    </row>
    <row r="5982" spans="12:13">
      <c r="L5982" s="3">
        <v>44672.749999980675</v>
      </c>
      <c r="M5982" s="15"/>
    </row>
    <row r="5983" spans="12:13">
      <c r="L5983" s="3">
        <v>44672.753472202894</v>
      </c>
      <c r="M5983" s="15"/>
    </row>
    <row r="5984" spans="12:13">
      <c r="L5984" s="3">
        <v>44672.756944425113</v>
      </c>
      <c r="M5984" s="15"/>
    </row>
    <row r="5985" spans="12:13">
      <c r="L5985" s="3">
        <v>44672.760416647332</v>
      </c>
      <c r="M5985" s="15"/>
    </row>
    <row r="5986" spans="12:13">
      <c r="L5986" s="3">
        <v>44672.763888869551</v>
      </c>
      <c r="M5986" s="15"/>
    </row>
    <row r="5987" spans="12:13">
      <c r="L5987" s="3">
        <v>44672.76736109177</v>
      </c>
      <c r="M5987" s="15"/>
    </row>
    <row r="5988" spans="12:13">
      <c r="L5988" s="3">
        <v>44672.770833313989</v>
      </c>
      <c r="M5988" s="15"/>
    </row>
    <row r="5989" spans="12:13">
      <c r="L5989" s="3">
        <v>44672.774305536208</v>
      </c>
      <c r="M5989" s="15"/>
    </row>
    <row r="5990" spans="12:13">
      <c r="L5990" s="3">
        <v>44672.777777758427</v>
      </c>
      <c r="M5990" s="15"/>
    </row>
    <row r="5991" spans="12:13">
      <c r="L5991" s="3">
        <v>44672.781249980646</v>
      </c>
      <c r="M5991" s="15"/>
    </row>
    <row r="5992" spans="12:13">
      <c r="L5992" s="3">
        <v>44672.784722202865</v>
      </c>
      <c r="M5992" s="15"/>
    </row>
    <row r="5993" spans="12:13">
      <c r="L5993" s="3">
        <v>44672.788194425084</v>
      </c>
      <c r="M5993" s="15"/>
    </row>
    <row r="5994" spans="12:13">
      <c r="L5994" s="3">
        <v>44672.791666647303</v>
      </c>
      <c r="M5994" s="15"/>
    </row>
    <row r="5995" spans="12:13">
      <c r="L5995" s="3">
        <v>44672.795138869522</v>
      </c>
      <c r="M5995" s="15"/>
    </row>
    <row r="5996" spans="12:13">
      <c r="L5996" s="3">
        <v>44672.798611091741</v>
      </c>
      <c r="M5996" s="15"/>
    </row>
    <row r="5997" spans="12:13">
      <c r="L5997" s="3">
        <v>44672.80208331396</v>
      </c>
      <c r="M5997" s="15"/>
    </row>
    <row r="5998" spans="12:13">
      <c r="L5998" s="3">
        <v>44672.805555536179</v>
      </c>
      <c r="M5998" s="15"/>
    </row>
    <row r="5999" spans="12:13">
      <c r="L5999" s="3">
        <v>44672.809027758398</v>
      </c>
      <c r="M5999" s="15"/>
    </row>
    <row r="6000" spans="12:13">
      <c r="L6000" s="3">
        <v>44672.812499980617</v>
      </c>
      <c r="M6000" s="15"/>
    </row>
    <row r="6001" spans="12:13">
      <c r="L6001" s="3">
        <v>44672.815972202836</v>
      </c>
      <c r="M6001" s="15"/>
    </row>
    <row r="6002" spans="12:13">
      <c r="L6002" s="3">
        <v>44672.819444425055</v>
      </c>
      <c r="M6002" s="15"/>
    </row>
    <row r="6003" spans="12:13">
      <c r="L6003" s="3">
        <v>44672.822916647274</v>
      </c>
      <c r="M6003" s="15"/>
    </row>
    <row r="6004" spans="12:13">
      <c r="L6004" s="3">
        <v>44672.826388869493</v>
      </c>
      <c r="M6004" s="15"/>
    </row>
    <row r="6005" spans="12:13">
      <c r="L6005" s="3">
        <v>44672.829861091712</v>
      </c>
      <c r="M6005" s="15"/>
    </row>
    <row r="6006" spans="12:13">
      <c r="L6006" s="3">
        <v>44672.833333313931</v>
      </c>
      <c r="M6006" s="15"/>
    </row>
    <row r="6007" spans="12:13">
      <c r="L6007" s="3">
        <v>44672.83680553615</v>
      </c>
      <c r="M6007" s="15"/>
    </row>
    <row r="6008" spans="12:13">
      <c r="L6008" s="3">
        <v>44672.840277758369</v>
      </c>
      <c r="M6008" s="15"/>
    </row>
    <row r="6009" spans="12:13">
      <c r="L6009" s="3">
        <v>44672.843749980588</v>
      </c>
      <c r="M6009" s="15"/>
    </row>
    <row r="6010" spans="12:13">
      <c r="L6010" s="3">
        <v>44672.847222202807</v>
      </c>
      <c r="M6010" s="15"/>
    </row>
    <row r="6011" spans="12:13">
      <c r="L6011" s="3">
        <v>44672.850694425026</v>
      </c>
      <c r="M6011" s="15"/>
    </row>
    <row r="6012" spans="12:13">
      <c r="L6012" s="3">
        <v>44672.854166647245</v>
      </c>
      <c r="M6012" s="15"/>
    </row>
    <row r="6013" spans="12:13">
      <c r="L6013" s="3">
        <v>44672.857638869464</v>
      </c>
      <c r="M6013" s="15"/>
    </row>
    <row r="6014" spans="12:13">
      <c r="L6014" s="3">
        <v>44672.861111091683</v>
      </c>
      <c r="M6014" s="15"/>
    </row>
    <row r="6015" spans="12:13">
      <c r="L6015" s="3">
        <v>44672.864583313902</v>
      </c>
      <c r="M6015" s="15"/>
    </row>
    <row r="6016" spans="12:13">
      <c r="L6016" s="3">
        <v>44672.868055536121</v>
      </c>
      <c r="M6016" s="15"/>
    </row>
    <row r="6017" spans="12:13">
      <c r="L6017" s="3">
        <v>44672.87152775834</v>
      </c>
      <c r="M6017" s="15"/>
    </row>
    <row r="6018" spans="12:13">
      <c r="L6018" s="3">
        <v>44672.874999980559</v>
      </c>
      <c r="M6018" s="15"/>
    </row>
    <row r="6019" spans="12:13">
      <c r="L6019" s="3">
        <v>44672.878472202778</v>
      </c>
      <c r="M6019" s="15"/>
    </row>
    <row r="6020" spans="12:13">
      <c r="L6020" s="3">
        <v>44672.881944424997</v>
      </c>
      <c r="M6020" s="15"/>
    </row>
    <row r="6021" spans="12:13">
      <c r="L6021" s="3">
        <v>44672.885416647216</v>
      </c>
      <c r="M6021" s="15"/>
    </row>
    <row r="6022" spans="12:13">
      <c r="L6022" s="3">
        <v>44672.888888869435</v>
      </c>
      <c r="M6022" s="15"/>
    </row>
    <row r="6023" spans="12:13">
      <c r="L6023" s="3">
        <v>44672.892361091654</v>
      </c>
      <c r="M6023" s="15"/>
    </row>
    <row r="6024" spans="12:13">
      <c r="L6024" s="3">
        <v>44672.895833313873</v>
      </c>
      <c r="M6024" s="15"/>
    </row>
    <row r="6025" spans="12:13">
      <c r="L6025" s="3">
        <v>44672.899305536092</v>
      </c>
      <c r="M6025" s="15"/>
    </row>
    <row r="6026" spans="12:13">
      <c r="L6026" s="3">
        <v>44672.902777758311</v>
      </c>
      <c r="M6026" s="15"/>
    </row>
    <row r="6027" spans="12:13">
      <c r="L6027" s="3">
        <v>44672.90624998053</v>
      </c>
      <c r="M6027" s="15"/>
    </row>
    <row r="6028" spans="12:13">
      <c r="L6028" s="3">
        <v>44672.909722202749</v>
      </c>
      <c r="M6028" s="15"/>
    </row>
    <row r="6029" spans="12:13">
      <c r="L6029" s="3">
        <v>44672.913194424968</v>
      </c>
      <c r="M6029" s="15"/>
    </row>
    <row r="6030" spans="12:13">
      <c r="L6030" s="3">
        <v>44672.916666647187</v>
      </c>
      <c r="M6030" s="15"/>
    </row>
    <row r="6031" spans="12:13">
      <c r="L6031" s="3">
        <v>44672.920138869405</v>
      </c>
      <c r="M6031" s="15"/>
    </row>
    <row r="6032" spans="12:13">
      <c r="L6032" s="3">
        <v>44672.923611091624</v>
      </c>
      <c r="M6032" s="15"/>
    </row>
    <row r="6033" spans="12:13">
      <c r="L6033" s="3">
        <v>44672.927083313843</v>
      </c>
      <c r="M6033" s="15"/>
    </row>
    <row r="6034" spans="12:13">
      <c r="L6034" s="3">
        <v>44672.930555536062</v>
      </c>
      <c r="M6034" s="15"/>
    </row>
    <row r="6035" spans="12:13">
      <c r="L6035" s="3">
        <v>44672.934027758281</v>
      </c>
      <c r="M6035" s="15"/>
    </row>
    <row r="6036" spans="12:13">
      <c r="L6036" s="3">
        <v>44672.9374999805</v>
      </c>
      <c r="M6036" s="15"/>
    </row>
    <row r="6037" spans="12:13">
      <c r="L6037" s="3">
        <v>44672.940972202719</v>
      </c>
      <c r="M6037" s="15"/>
    </row>
    <row r="6038" spans="12:13">
      <c r="L6038" s="3">
        <v>44672.944444424938</v>
      </c>
      <c r="M6038" s="15"/>
    </row>
    <row r="6039" spans="12:13">
      <c r="L6039" s="3">
        <v>44672.947916647157</v>
      </c>
      <c r="M6039" s="15"/>
    </row>
    <row r="6040" spans="12:13">
      <c r="L6040" s="3">
        <v>44672.951388869376</v>
      </c>
      <c r="M6040" s="15"/>
    </row>
    <row r="6041" spans="12:13">
      <c r="L6041" s="3">
        <v>44672.954861091595</v>
      </c>
      <c r="M6041" s="15"/>
    </row>
    <row r="6042" spans="12:13">
      <c r="L6042" s="3">
        <v>44672.958333313814</v>
      </c>
      <c r="M6042" s="15"/>
    </row>
    <row r="6043" spans="12:13">
      <c r="L6043" s="3">
        <v>44672.961805536033</v>
      </c>
      <c r="M6043" s="15"/>
    </row>
    <row r="6044" spans="12:13">
      <c r="L6044" s="3">
        <v>44672.965277758252</v>
      </c>
      <c r="M6044" s="15"/>
    </row>
    <row r="6045" spans="12:13">
      <c r="L6045" s="3">
        <v>44672.968749980471</v>
      </c>
      <c r="M6045" s="15"/>
    </row>
    <row r="6046" spans="12:13">
      <c r="L6046" s="3">
        <v>44672.97222220269</v>
      </c>
      <c r="M6046" s="15"/>
    </row>
    <row r="6047" spans="12:13">
      <c r="L6047" s="3">
        <v>44672.975694424909</v>
      </c>
      <c r="M6047" s="15"/>
    </row>
    <row r="6048" spans="12:13">
      <c r="L6048" s="3">
        <v>44672.979166647128</v>
      </c>
      <c r="M6048" s="15"/>
    </row>
    <row r="6049" spans="12:13">
      <c r="L6049" s="3">
        <v>44672.982638869347</v>
      </c>
      <c r="M6049" s="15"/>
    </row>
    <row r="6050" spans="12:13">
      <c r="L6050" s="3">
        <v>44672.986111091566</v>
      </c>
      <c r="M6050" s="15"/>
    </row>
    <row r="6051" spans="12:13">
      <c r="L6051" s="3">
        <v>44672.989583313785</v>
      </c>
      <c r="M6051" s="15"/>
    </row>
    <row r="6052" spans="12:13">
      <c r="L6052" s="3">
        <v>44672.993055536004</v>
      </c>
      <c r="M6052" s="15"/>
    </row>
    <row r="6053" spans="12:13">
      <c r="L6053" s="3">
        <v>44672.996527758223</v>
      </c>
      <c r="M6053" s="15"/>
    </row>
    <row r="6054" spans="12:13">
      <c r="L6054" s="3">
        <v>44672.999999980442</v>
      </c>
      <c r="M6054" s="15"/>
    </row>
    <row r="6055" spans="12:13">
      <c r="L6055" s="3">
        <v>44673.003472202661</v>
      </c>
      <c r="M6055" s="15"/>
    </row>
    <row r="6056" spans="12:13">
      <c r="L6056" s="3">
        <v>44673.00694442488</v>
      </c>
      <c r="M6056" s="15"/>
    </row>
    <row r="6057" spans="12:13">
      <c r="L6057" s="3">
        <v>44673.010416647099</v>
      </c>
      <c r="M6057" s="15"/>
    </row>
    <row r="6058" spans="12:13">
      <c r="L6058" s="3">
        <v>44673.013888869318</v>
      </c>
      <c r="M6058" s="15"/>
    </row>
    <row r="6059" spans="12:13">
      <c r="L6059" s="3">
        <v>44673.017361091537</v>
      </c>
      <c r="M6059" s="15"/>
    </row>
    <row r="6060" spans="12:13">
      <c r="L6060" s="3">
        <v>44673.020833313756</v>
      </c>
      <c r="M6060" s="15"/>
    </row>
    <row r="6061" spans="12:13">
      <c r="L6061" s="3">
        <v>44673.024305535975</v>
      </c>
      <c r="M6061" s="15"/>
    </row>
    <row r="6062" spans="12:13">
      <c r="L6062" s="3">
        <v>44673.027777758194</v>
      </c>
      <c r="M6062" s="15"/>
    </row>
    <row r="6063" spans="12:13">
      <c r="L6063" s="3">
        <v>44673.031249980413</v>
      </c>
      <c r="M6063" s="15"/>
    </row>
    <row r="6064" spans="12:13">
      <c r="L6064" s="3">
        <v>44673.034722202632</v>
      </c>
      <c r="M6064" s="15"/>
    </row>
    <row r="6065" spans="12:13">
      <c r="L6065" s="3">
        <v>44673.038194424851</v>
      </c>
      <c r="M6065" s="15"/>
    </row>
    <row r="6066" spans="12:13">
      <c r="L6066" s="3">
        <v>44673.04166664707</v>
      </c>
      <c r="M6066" s="15"/>
    </row>
    <row r="6067" spans="12:13">
      <c r="L6067" s="3">
        <v>44673.045138869289</v>
      </c>
      <c r="M6067" s="15"/>
    </row>
    <row r="6068" spans="12:13">
      <c r="L6068" s="3">
        <v>44673.048611091508</v>
      </c>
      <c r="M6068" s="15"/>
    </row>
    <row r="6069" spans="12:13">
      <c r="L6069" s="3">
        <v>44673.052083313727</v>
      </c>
      <c r="M6069" s="15"/>
    </row>
    <row r="6070" spans="12:13">
      <c r="L6070" s="3">
        <v>44673.055555535946</v>
      </c>
      <c r="M6070" s="15"/>
    </row>
    <row r="6071" spans="12:13">
      <c r="L6071" s="3">
        <v>44673.059027758165</v>
      </c>
      <c r="M6071" s="15"/>
    </row>
    <row r="6072" spans="12:13">
      <c r="L6072" s="3">
        <v>44673.062499980384</v>
      </c>
      <c r="M6072" s="15"/>
    </row>
    <row r="6073" spans="12:13">
      <c r="L6073" s="3">
        <v>44673.065972202603</v>
      </c>
      <c r="M6073" s="15"/>
    </row>
    <row r="6074" spans="12:13">
      <c r="L6074" s="3">
        <v>44673.069444424822</v>
      </c>
      <c r="M6074" s="15"/>
    </row>
    <row r="6075" spans="12:13">
      <c r="L6075" s="3">
        <v>44673.072916647041</v>
      </c>
      <c r="M6075" s="15"/>
    </row>
    <row r="6076" spans="12:13">
      <c r="L6076" s="3">
        <v>44673.07638886926</v>
      </c>
      <c r="M6076" s="15"/>
    </row>
    <row r="6077" spans="12:13">
      <c r="L6077" s="3">
        <v>44673.079861091479</v>
      </c>
      <c r="M6077" s="15"/>
    </row>
    <row r="6078" spans="12:13">
      <c r="L6078" s="3">
        <v>44673.083333313698</v>
      </c>
      <c r="M6078" s="15"/>
    </row>
    <row r="6079" spans="12:13">
      <c r="L6079" s="3">
        <v>44673.086805535917</v>
      </c>
      <c r="M6079" s="15"/>
    </row>
    <row r="6080" spans="12:13">
      <c r="L6080" s="3">
        <v>44673.090277758136</v>
      </c>
      <c r="M6080" s="15"/>
    </row>
    <row r="6081" spans="12:13">
      <c r="L6081" s="3">
        <v>44673.093749980355</v>
      </c>
      <c r="M6081" s="15"/>
    </row>
    <row r="6082" spans="12:13">
      <c r="L6082" s="3">
        <v>44673.097222202574</v>
      </c>
      <c r="M6082" s="15"/>
    </row>
    <row r="6083" spans="12:13">
      <c r="L6083" s="3">
        <v>44673.100694424793</v>
      </c>
      <c r="M6083" s="15"/>
    </row>
    <row r="6084" spans="12:13">
      <c r="L6084" s="3">
        <v>44673.104166647012</v>
      </c>
      <c r="M6084" s="15"/>
    </row>
    <row r="6085" spans="12:13">
      <c r="L6085" s="3">
        <v>44673.107638869231</v>
      </c>
      <c r="M6085" s="15"/>
    </row>
    <row r="6086" spans="12:13">
      <c r="L6086" s="3">
        <v>44673.11111109145</v>
      </c>
      <c r="M6086" s="15"/>
    </row>
    <row r="6087" spans="12:13">
      <c r="L6087" s="3">
        <v>44673.114583313669</v>
      </c>
      <c r="M6087" s="15"/>
    </row>
    <row r="6088" spans="12:13">
      <c r="L6088" s="3">
        <v>44673.118055535888</v>
      </c>
      <c r="M6088" s="15"/>
    </row>
    <row r="6089" spans="12:13">
      <c r="L6089" s="3">
        <v>44673.121527758107</v>
      </c>
      <c r="M6089" s="15"/>
    </row>
    <row r="6090" spans="12:13">
      <c r="L6090" s="3">
        <v>44673.124999980326</v>
      </c>
      <c r="M6090" s="15"/>
    </row>
    <row r="6091" spans="12:13">
      <c r="L6091" s="3">
        <v>44673.128472202545</v>
      </c>
      <c r="M6091" s="15"/>
    </row>
    <row r="6092" spans="12:13">
      <c r="L6092" s="3">
        <v>44673.131944424764</v>
      </c>
      <c r="M6092" s="15"/>
    </row>
    <row r="6093" spans="12:13">
      <c r="L6093" s="3">
        <v>44673.135416646983</v>
      </c>
      <c r="M6093" s="15"/>
    </row>
    <row r="6094" spans="12:13">
      <c r="L6094" s="3">
        <v>44673.138888869202</v>
      </c>
      <c r="M6094" s="15"/>
    </row>
    <row r="6095" spans="12:13">
      <c r="L6095" s="3">
        <v>44673.142361091421</v>
      </c>
      <c r="M6095" s="15"/>
    </row>
    <row r="6096" spans="12:13">
      <c r="L6096" s="3">
        <v>44673.14583331364</v>
      </c>
      <c r="M6096" s="15"/>
    </row>
    <row r="6097" spans="12:13">
      <c r="L6097" s="3">
        <v>44673.149305535859</v>
      </c>
      <c r="M6097" s="15"/>
    </row>
    <row r="6098" spans="12:13">
      <c r="L6098" s="3">
        <v>44673.152777758078</v>
      </c>
      <c r="M6098" s="15"/>
    </row>
    <row r="6099" spans="12:13">
      <c r="L6099" s="3">
        <v>44673.156249980297</v>
      </c>
      <c r="M6099" s="15"/>
    </row>
    <row r="6100" spans="12:13">
      <c r="L6100" s="3">
        <v>44673.159722202516</v>
      </c>
      <c r="M6100" s="15"/>
    </row>
    <row r="6101" spans="12:13">
      <c r="L6101" s="3">
        <v>44673.163194424735</v>
      </c>
      <c r="M6101" s="15"/>
    </row>
    <row r="6102" spans="12:13">
      <c r="L6102" s="3">
        <v>44673.166666646954</v>
      </c>
      <c r="M6102" s="15"/>
    </row>
    <row r="6103" spans="12:13">
      <c r="L6103" s="3">
        <v>44673.170138869173</v>
      </c>
      <c r="M6103" s="15"/>
    </row>
    <row r="6104" spans="12:13">
      <c r="L6104" s="3">
        <v>44673.173611091392</v>
      </c>
      <c r="M6104" s="15"/>
    </row>
    <row r="6105" spans="12:13">
      <c r="L6105" s="3">
        <v>44673.177083313611</v>
      </c>
      <c r="M6105" s="15"/>
    </row>
    <row r="6106" spans="12:13">
      <c r="L6106" s="3">
        <v>44673.18055553583</v>
      </c>
      <c r="M6106" s="15"/>
    </row>
    <row r="6107" spans="12:13">
      <c r="L6107" s="3">
        <v>44673.184027758049</v>
      </c>
      <c r="M6107" s="15"/>
    </row>
    <row r="6108" spans="12:13">
      <c r="L6108" s="3">
        <v>44673.187499980268</v>
      </c>
      <c r="M6108" s="15"/>
    </row>
    <row r="6109" spans="12:13">
      <c r="L6109" s="3">
        <v>44673.190972202487</v>
      </c>
      <c r="M6109" s="15"/>
    </row>
    <row r="6110" spans="12:13">
      <c r="L6110" s="3">
        <v>44673.194444424706</v>
      </c>
      <c r="M6110" s="15"/>
    </row>
    <row r="6111" spans="12:13">
      <c r="L6111" s="3">
        <v>44673.197916646925</v>
      </c>
      <c r="M6111" s="15"/>
    </row>
    <row r="6112" spans="12:13">
      <c r="L6112" s="3">
        <v>44673.201388869144</v>
      </c>
      <c r="M6112" s="15"/>
    </row>
    <row r="6113" spans="12:13">
      <c r="L6113" s="3">
        <v>44673.204861091363</v>
      </c>
      <c r="M6113" s="15"/>
    </row>
    <row r="6114" spans="12:13">
      <c r="L6114" s="3">
        <v>44673.208333313582</v>
      </c>
      <c r="M6114" s="15"/>
    </row>
    <row r="6115" spans="12:13">
      <c r="L6115" s="3">
        <v>44673.211805535801</v>
      </c>
      <c r="M6115" s="15"/>
    </row>
    <row r="6116" spans="12:13">
      <c r="L6116" s="3">
        <v>44673.21527775802</v>
      </c>
      <c r="M6116" s="15"/>
    </row>
    <row r="6117" spans="12:13">
      <c r="L6117" s="3">
        <v>44673.218749980238</v>
      </c>
      <c r="M6117" s="15"/>
    </row>
    <row r="6118" spans="12:13">
      <c r="L6118" s="3">
        <v>44673.222222202457</v>
      </c>
      <c r="M6118" s="15"/>
    </row>
    <row r="6119" spans="12:13">
      <c r="L6119" s="3">
        <v>44673.225694424676</v>
      </c>
      <c r="M6119" s="15"/>
    </row>
    <row r="6120" spans="12:13">
      <c r="L6120" s="3">
        <v>44673.229166646895</v>
      </c>
      <c r="M6120" s="15"/>
    </row>
    <row r="6121" spans="12:13">
      <c r="L6121" s="3">
        <v>44673.232638869114</v>
      </c>
      <c r="M6121" s="15"/>
    </row>
    <row r="6122" spans="12:13">
      <c r="L6122" s="3">
        <v>44673.236111091333</v>
      </c>
      <c r="M6122" s="15"/>
    </row>
    <row r="6123" spans="12:13">
      <c r="L6123" s="3">
        <v>44673.239583313552</v>
      </c>
      <c r="M6123" s="15"/>
    </row>
    <row r="6124" spans="12:13">
      <c r="L6124" s="3">
        <v>44673.243055535771</v>
      </c>
      <c r="M6124" s="15"/>
    </row>
    <row r="6125" spans="12:13">
      <c r="L6125" s="3">
        <v>44673.24652775799</v>
      </c>
      <c r="M6125" s="15"/>
    </row>
    <row r="6126" spans="12:13">
      <c r="L6126" s="3">
        <v>44673.249999980209</v>
      </c>
      <c r="M6126" s="15"/>
    </row>
    <row r="6127" spans="12:13">
      <c r="L6127" s="3">
        <v>44673.253472202428</v>
      </c>
      <c r="M6127" s="15"/>
    </row>
    <row r="6128" spans="12:13">
      <c r="L6128" s="3">
        <v>44673.256944424647</v>
      </c>
      <c r="M6128" s="15"/>
    </row>
    <row r="6129" spans="12:13">
      <c r="L6129" s="3">
        <v>44673.260416646866</v>
      </c>
      <c r="M6129" s="15"/>
    </row>
    <row r="6130" spans="12:13">
      <c r="L6130" s="3">
        <v>44673.263888869085</v>
      </c>
      <c r="M6130" s="15"/>
    </row>
    <row r="6131" spans="12:13">
      <c r="L6131" s="3">
        <v>44673.267361091304</v>
      </c>
      <c r="M6131" s="15"/>
    </row>
    <row r="6132" spans="12:13">
      <c r="L6132" s="3">
        <v>44673.270833313523</v>
      </c>
      <c r="M6132" s="15"/>
    </row>
    <row r="6133" spans="12:13">
      <c r="L6133" s="3">
        <v>44673.274305535742</v>
      </c>
      <c r="M6133" s="15"/>
    </row>
    <row r="6134" spans="12:13">
      <c r="L6134" s="3">
        <v>44673.277777757961</v>
      </c>
      <c r="M6134" s="15"/>
    </row>
    <row r="6135" spans="12:13">
      <c r="L6135" s="3">
        <v>44673.28124998018</v>
      </c>
      <c r="M6135" s="15"/>
    </row>
    <row r="6136" spans="12:13">
      <c r="L6136" s="3">
        <v>44673.284722202399</v>
      </c>
      <c r="M6136" s="15"/>
    </row>
    <row r="6137" spans="12:13">
      <c r="L6137" s="3">
        <v>44673.288194424618</v>
      </c>
      <c r="M6137" s="15"/>
    </row>
    <row r="6138" spans="12:13">
      <c r="L6138" s="3">
        <v>44673.291666646837</v>
      </c>
      <c r="M6138" s="15"/>
    </row>
    <row r="6139" spans="12:13">
      <c r="L6139" s="3">
        <v>44673.295138869056</v>
      </c>
      <c r="M6139" s="15"/>
    </row>
    <row r="6140" spans="12:13">
      <c r="L6140" s="3">
        <v>44673.298611091275</v>
      </c>
      <c r="M6140" s="15"/>
    </row>
    <row r="6141" spans="12:13">
      <c r="L6141" s="3">
        <v>44673.302083313494</v>
      </c>
      <c r="M6141" s="15"/>
    </row>
    <row r="6142" spans="12:13">
      <c r="L6142" s="3">
        <v>44673.305555535713</v>
      </c>
      <c r="M6142" s="15"/>
    </row>
    <row r="6143" spans="12:13">
      <c r="L6143" s="3">
        <v>44673.309027757932</v>
      </c>
      <c r="M6143" s="15"/>
    </row>
    <row r="6144" spans="12:13">
      <c r="L6144" s="3">
        <v>44673.312499980151</v>
      </c>
      <c r="M6144" s="15"/>
    </row>
    <row r="6145" spans="12:13">
      <c r="L6145" s="3">
        <v>44673.31597220237</v>
      </c>
      <c r="M6145" s="15"/>
    </row>
    <row r="6146" spans="12:13">
      <c r="L6146" s="3">
        <v>44673.319444424589</v>
      </c>
      <c r="M6146" s="15"/>
    </row>
    <row r="6147" spans="12:13">
      <c r="L6147" s="3">
        <v>44673.322916646808</v>
      </c>
      <c r="M6147" s="15"/>
    </row>
    <row r="6148" spans="12:13">
      <c r="L6148" s="3">
        <v>44673.326388869027</v>
      </c>
      <c r="M6148" s="15"/>
    </row>
    <row r="6149" spans="12:13">
      <c r="L6149" s="3">
        <v>44673.329861091246</v>
      </c>
      <c r="M6149" s="15"/>
    </row>
    <row r="6150" spans="12:13">
      <c r="L6150" s="3">
        <v>44673.333333313465</v>
      </c>
      <c r="M6150" s="15"/>
    </row>
    <row r="6151" spans="12:13">
      <c r="L6151" s="3">
        <v>44673.336805535684</v>
      </c>
      <c r="M6151" s="15"/>
    </row>
    <row r="6152" spans="12:13">
      <c r="L6152" s="3">
        <v>44673.340277757903</v>
      </c>
      <c r="M6152" s="15"/>
    </row>
    <row r="6153" spans="12:13">
      <c r="L6153" s="3">
        <v>44673.343749980122</v>
      </c>
      <c r="M6153" s="15"/>
    </row>
    <row r="6154" spans="12:13">
      <c r="L6154" s="3">
        <v>44673.347222202341</v>
      </c>
      <c r="M6154" s="15"/>
    </row>
    <row r="6155" spans="12:13">
      <c r="L6155" s="3">
        <v>44673.35069442456</v>
      </c>
      <c r="M6155" s="15"/>
    </row>
    <row r="6156" spans="12:13">
      <c r="L6156" s="3">
        <v>44673.354166646779</v>
      </c>
      <c r="M6156" s="15"/>
    </row>
    <row r="6157" spans="12:13">
      <c r="L6157" s="3">
        <v>44673.357638868998</v>
      </c>
      <c r="M6157" s="15"/>
    </row>
    <row r="6158" spans="12:13">
      <c r="L6158" s="3">
        <v>44673.361111091217</v>
      </c>
      <c r="M6158" s="15"/>
    </row>
    <row r="6159" spans="12:13">
      <c r="L6159" s="3">
        <v>44673.364583313436</v>
      </c>
      <c r="M6159" s="15"/>
    </row>
    <row r="6160" spans="12:13">
      <c r="L6160" s="3">
        <v>44673.368055535655</v>
      </c>
      <c r="M6160" s="15"/>
    </row>
    <row r="6161" spans="12:13">
      <c r="L6161" s="3">
        <v>44673.371527757874</v>
      </c>
      <c r="M6161" s="15"/>
    </row>
    <row r="6162" spans="12:13">
      <c r="L6162" s="3">
        <v>44673.374999980093</v>
      </c>
      <c r="M6162" s="15"/>
    </row>
    <row r="6163" spans="12:13">
      <c r="L6163" s="3">
        <v>44673.378472202312</v>
      </c>
      <c r="M6163" s="15"/>
    </row>
    <row r="6164" spans="12:13">
      <c r="L6164" s="3">
        <v>44673.381944424531</v>
      </c>
      <c r="M6164" s="15"/>
    </row>
    <row r="6165" spans="12:13">
      <c r="L6165" s="3">
        <v>44673.38541664675</v>
      </c>
      <c r="M6165" s="15"/>
    </row>
    <row r="6166" spans="12:13">
      <c r="L6166" s="3">
        <v>44673.388888868969</v>
      </c>
      <c r="M6166" s="15"/>
    </row>
    <row r="6167" spans="12:13">
      <c r="L6167" s="3">
        <v>44673.392361091188</v>
      </c>
      <c r="M6167" s="15"/>
    </row>
    <row r="6168" spans="12:13">
      <c r="L6168" s="3">
        <v>44673.395833313407</v>
      </c>
      <c r="M6168" s="15"/>
    </row>
    <row r="6169" spans="12:13">
      <c r="L6169" s="3">
        <v>44673.399305535626</v>
      </c>
      <c r="M6169" s="15"/>
    </row>
    <row r="6170" spans="12:13">
      <c r="L6170" s="3">
        <v>44673.402777757845</v>
      </c>
      <c r="M6170" s="15"/>
    </row>
    <row r="6171" spans="12:13">
      <c r="L6171" s="3">
        <v>44673.406249980064</v>
      </c>
      <c r="M6171" s="15"/>
    </row>
    <row r="6172" spans="12:13">
      <c r="L6172" s="3">
        <v>44673.409722202283</v>
      </c>
      <c r="M6172" s="15"/>
    </row>
    <row r="6173" spans="12:13">
      <c r="L6173" s="3">
        <v>44673.413194424502</v>
      </c>
      <c r="M6173" s="15"/>
    </row>
    <row r="6174" spans="12:13">
      <c r="L6174" s="3">
        <v>44673.416666646721</v>
      </c>
      <c r="M6174" s="15"/>
    </row>
    <row r="6175" spans="12:13">
      <c r="L6175" s="3">
        <v>44673.42013886894</v>
      </c>
      <c r="M6175" s="15"/>
    </row>
    <row r="6176" spans="12:13">
      <c r="L6176" s="3">
        <v>44673.423611091159</v>
      </c>
      <c r="M6176" s="15"/>
    </row>
    <row r="6177" spans="12:13">
      <c r="L6177" s="3">
        <v>44673.427083313378</v>
      </c>
      <c r="M6177" s="15"/>
    </row>
    <row r="6178" spans="12:13">
      <c r="L6178" s="3">
        <v>44673.430555535597</v>
      </c>
      <c r="M6178" s="15"/>
    </row>
    <row r="6179" spans="12:13">
      <c r="L6179" s="3">
        <v>44673.434027757816</v>
      </c>
      <c r="M6179" s="15"/>
    </row>
    <row r="6180" spans="12:13">
      <c r="L6180" s="3">
        <v>44673.437499980035</v>
      </c>
      <c r="M6180" s="15"/>
    </row>
    <row r="6181" spans="12:13">
      <c r="L6181" s="3">
        <v>44673.440972202254</v>
      </c>
      <c r="M6181" s="15"/>
    </row>
    <row r="6182" spans="12:13">
      <c r="L6182" s="3">
        <v>44673.444444424473</v>
      </c>
      <c r="M6182" s="15"/>
    </row>
    <row r="6183" spans="12:13">
      <c r="L6183" s="3">
        <v>44673.447916646692</v>
      </c>
      <c r="M6183" s="15"/>
    </row>
    <row r="6184" spans="12:13">
      <c r="L6184" s="3">
        <v>44673.451388868911</v>
      </c>
      <c r="M6184" s="15"/>
    </row>
    <row r="6185" spans="12:13">
      <c r="L6185" s="3">
        <v>44673.45486109113</v>
      </c>
      <c r="M6185" s="15"/>
    </row>
    <row r="6186" spans="12:13">
      <c r="L6186" s="3">
        <v>44673.458333313349</v>
      </c>
      <c r="M6186" s="15"/>
    </row>
    <row r="6187" spans="12:13">
      <c r="L6187" s="3">
        <v>44673.461805535568</v>
      </c>
      <c r="M6187" s="15"/>
    </row>
    <row r="6188" spans="12:13">
      <c r="L6188" s="3">
        <v>44673.465277757787</v>
      </c>
      <c r="M6188" s="15"/>
    </row>
    <row r="6189" spans="12:13">
      <c r="L6189" s="3">
        <v>44673.468749980006</v>
      </c>
      <c r="M6189" s="15"/>
    </row>
    <row r="6190" spans="12:13">
      <c r="L6190" s="3">
        <v>44673.472222202225</v>
      </c>
      <c r="M6190" s="15"/>
    </row>
    <row r="6191" spans="12:13">
      <c r="L6191" s="3">
        <v>44673.475694424444</v>
      </c>
      <c r="M6191" s="15"/>
    </row>
    <row r="6192" spans="12:13">
      <c r="L6192" s="3">
        <v>44673.479166646663</v>
      </c>
      <c r="M6192" s="15"/>
    </row>
    <row r="6193" spans="12:13">
      <c r="L6193" s="3">
        <v>44673.482638868882</v>
      </c>
      <c r="M6193" s="15"/>
    </row>
    <row r="6194" spans="12:13">
      <c r="L6194" s="3">
        <v>44673.486111091101</v>
      </c>
      <c r="M6194" s="15"/>
    </row>
    <row r="6195" spans="12:13">
      <c r="L6195" s="3">
        <v>44673.48958331332</v>
      </c>
      <c r="M6195" s="15"/>
    </row>
    <row r="6196" spans="12:13">
      <c r="L6196" s="3">
        <v>44673.493055535539</v>
      </c>
      <c r="M6196" s="15"/>
    </row>
    <row r="6197" spans="12:13">
      <c r="L6197" s="3">
        <v>44673.496527757758</v>
      </c>
      <c r="M6197" s="15"/>
    </row>
    <row r="6198" spans="12:13">
      <c r="L6198" s="3">
        <v>44673.499999979977</v>
      </c>
      <c r="M6198" s="15"/>
    </row>
    <row r="6199" spans="12:13">
      <c r="L6199" s="3">
        <v>44673.503472202196</v>
      </c>
      <c r="M6199" s="15"/>
    </row>
    <row r="6200" spans="12:13">
      <c r="L6200" s="3">
        <v>44673.506944424415</v>
      </c>
      <c r="M6200" s="15"/>
    </row>
    <row r="6201" spans="12:13">
      <c r="L6201" s="3">
        <v>44673.510416646634</v>
      </c>
      <c r="M6201" s="15"/>
    </row>
    <row r="6202" spans="12:13">
      <c r="L6202" s="3">
        <v>44673.513888868853</v>
      </c>
      <c r="M6202" s="15"/>
    </row>
    <row r="6203" spans="12:13">
      <c r="L6203" s="3">
        <v>44673.517361091072</v>
      </c>
      <c r="M6203" s="15"/>
    </row>
    <row r="6204" spans="12:13">
      <c r="L6204" s="3">
        <v>44673.52083331329</v>
      </c>
      <c r="M6204" s="15"/>
    </row>
    <row r="6205" spans="12:13">
      <c r="L6205" s="3">
        <v>44673.524305535509</v>
      </c>
      <c r="M6205" s="15"/>
    </row>
    <row r="6206" spans="12:13">
      <c r="L6206" s="3">
        <v>44673.527777757728</v>
      </c>
      <c r="M6206" s="15"/>
    </row>
    <row r="6207" spans="12:13">
      <c r="L6207" s="3">
        <v>44673.531249979947</v>
      </c>
      <c r="M6207" s="15"/>
    </row>
    <row r="6208" spans="12:13">
      <c r="L6208" s="3">
        <v>44673.534722202166</v>
      </c>
      <c r="M6208" s="15"/>
    </row>
    <row r="6209" spans="12:13">
      <c r="L6209" s="3">
        <v>44673.538194424385</v>
      </c>
      <c r="M6209" s="15"/>
    </row>
    <row r="6210" spans="12:13">
      <c r="L6210" s="3">
        <v>44673.541666646604</v>
      </c>
      <c r="M6210" s="15"/>
    </row>
    <row r="6211" spans="12:13">
      <c r="L6211" s="3">
        <v>44673.545138868823</v>
      </c>
      <c r="M6211" s="15"/>
    </row>
    <row r="6212" spans="12:13">
      <c r="L6212" s="3">
        <v>44673.548611091042</v>
      </c>
      <c r="M6212" s="15"/>
    </row>
    <row r="6213" spans="12:13">
      <c r="L6213" s="3">
        <v>44673.552083313261</v>
      </c>
      <c r="M6213" s="15"/>
    </row>
    <row r="6214" spans="12:13">
      <c r="L6214" s="3">
        <v>44673.55555553548</v>
      </c>
      <c r="M6214" s="15"/>
    </row>
    <row r="6215" spans="12:13">
      <c r="L6215" s="3">
        <v>44673.559027757699</v>
      </c>
      <c r="M6215" s="15"/>
    </row>
    <row r="6216" spans="12:13">
      <c r="L6216" s="3">
        <v>44673.562499979918</v>
      </c>
      <c r="M6216" s="15"/>
    </row>
    <row r="6217" spans="12:13">
      <c r="L6217" s="3">
        <v>44673.565972202137</v>
      </c>
      <c r="M6217" s="15"/>
    </row>
    <row r="6218" spans="12:13">
      <c r="L6218" s="3">
        <v>44673.569444424356</v>
      </c>
      <c r="M6218" s="15"/>
    </row>
    <row r="6219" spans="12:13">
      <c r="L6219" s="3">
        <v>44673.572916646575</v>
      </c>
      <c r="M6219" s="15"/>
    </row>
    <row r="6220" spans="12:13">
      <c r="L6220" s="3">
        <v>44673.576388868794</v>
      </c>
      <c r="M6220" s="15"/>
    </row>
    <row r="6221" spans="12:13">
      <c r="L6221" s="3">
        <v>44673.579861091013</v>
      </c>
      <c r="M6221" s="15"/>
    </row>
    <row r="6222" spans="12:13">
      <c r="L6222" s="3">
        <v>44673.583333313232</v>
      </c>
      <c r="M6222" s="15"/>
    </row>
    <row r="6223" spans="12:13">
      <c r="L6223" s="3">
        <v>44673.586805535451</v>
      </c>
      <c r="M6223" s="15"/>
    </row>
    <row r="6224" spans="12:13">
      <c r="L6224" s="3">
        <v>44673.59027775767</v>
      </c>
      <c r="M6224" s="15"/>
    </row>
    <row r="6225" spans="12:13">
      <c r="L6225" s="3">
        <v>44673.593749979889</v>
      </c>
      <c r="M6225" s="15"/>
    </row>
    <row r="6226" spans="12:13">
      <c r="L6226" s="3">
        <v>44673.597222202108</v>
      </c>
      <c r="M6226" s="15"/>
    </row>
    <row r="6227" spans="12:13">
      <c r="L6227" s="3">
        <v>44673.600694424327</v>
      </c>
      <c r="M6227" s="15"/>
    </row>
    <row r="6228" spans="12:13">
      <c r="L6228" s="3">
        <v>44673.604166646546</v>
      </c>
      <c r="M6228" s="15"/>
    </row>
    <row r="6229" spans="12:13">
      <c r="L6229" s="3">
        <v>44673.607638868765</v>
      </c>
      <c r="M6229" s="15"/>
    </row>
    <row r="6230" spans="12:13">
      <c r="L6230" s="3">
        <v>44673.611111090984</v>
      </c>
      <c r="M6230" s="15"/>
    </row>
    <row r="6231" spans="12:13">
      <c r="L6231" s="3">
        <v>44673.614583313203</v>
      </c>
      <c r="M6231" s="15"/>
    </row>
    <row r="6232" spans="12:13">
      <c r="L6232" s="3">
        <v>44673.618055535422</v>
      </c>
      <c r="M6232" s="15"/>
    </row>
    <row r="6233" spans="12:13">
      <c r="L6233" s="3">
        <v>44673.621527757641</v>
      </c>
      <c r="M6233" s="15"/>
    </row>
    <row r="6234" spans="12:13">
      <c r="L6234" s="3">
        <v>44673.62499997986</v>
      </c>
      <c r="M6234" s="15"/>
    </row>
    <row r="6235" spans="12:13">
      <c r="L6235" s="3">
        <v>44673.628472202079</v>
      </c>
      <c r="M6235" s="15"/>
    </row>
    <row r="6236" spans="12:13">
      <c r="L6236" s="3">
        <v>44673.631944424298</v>
      </c>
      <c r="M6236" s="15"/>
    </row>
    <row r="6237" spans="12:13">
      <c r="L6237" s="3">
        <v>44673.635416646517</v>
      </c>
      <c r="M6237" s="15"/>
    </row>
    <row r="6238" spans="12:13">
      <c r="L6238" s="3">
        <v>44673.638888868736</v>
      </c>
      <c r="M6238" s="15"/>
    </row>
    <row r="6239" spans="12:13">
      <c r="L6239" s="3">
        <v>44673.642361090955</v>
      </c>
      <c r="M6239" s="15"/>
    </row>
    <row r="6240" spans="12:13">
      <c r="L6240" s="3">
        <v>44673.645833313174</v>
      </c>
      <c r="M6240" s="15"/>
    </row>
    <row r="6241" spans="12:13">
      <c r="L6241" s="3">
        <v>44673.649305535393</v>
      </c>
      <c r="M6241" s="15"/>
    </row>
    <row r="6242" spans="12:13">
      <c r="L6242" s="3">
        <v>44673.652777757612</v>
      </c>
      <c r="M6242" s="15"/>
    </row>
    <row r="6243" spans="12:13">
      <c r="L6243" s="3">
        <v>44673.656249979831</v>
      </c>
      <c r="M6243" s="15"/>
    </row>
    <row r="6244" spans="12:13">
      <c r="L6244" s="3">
        <v>44673.65972220205</v>
      </c>
      <c r="M6244" s="15"/>
    </row>
    <row r="6245" spans="12:13">
      <c r="L6245" s="3">
        <v>44673.663194424269</v>
      </c>
      <c r="M6245" s="15"/>
    </row>
    <row r="6246" spans="12:13">
      <c r="L6246" s="3">
        <v>44673.666666646488</v>
      </c>
      <c r="M6246" s="15"/>
    </row>
    <row r="6247" spans="12:13">
      <c r="L6247" s="3">
        <v>44673.670138868707</v>
      </c>
      <c r="M6247" s="15"/>
    </row>
    <row r="6248" spans="12:13">
      <c r="L6248" s="3">
        <v>44673.673611090926</v>
      </c>
      <c r="M6248" s="15"/>
    </row>
    <row r="6249" spans="12:13">
      <c r="L6249" s="3">
        <v>44673.677083313145</v>
      </c>
      <c r="M6249" s="15"/>
    </row>
    <row r="6250" spans="12:13">
      <c r="L6250" s="3">
        <v>44673.680555535364</v>
      </c>
      <c r="M6250" s="15"/>
    </row>
    <row r="6251" spans="12:13">
      <c r="L6251" s="3">
        <v>44673.684027757583</v>
      </c>
      <c r="M6251" s="15"/>
    </row>
    <row r="6252" spans="12:13">
      <c r="L6252" s="3">
        <v>44673.687499979802</v>
      </c>
      <c r="M6252" s="15"/>
    </row>
    <row r="6253" spans="12:13">
      <c r="L6253" s="3">
        <v>44673.690972202021</v>
      </c>
      <c r="M6253" s="15"/>
    </row>
    <row r="6254" spans="12:13">
      <c r="L6254" s="3">
        <v>44673.69444442424</v>
      </c>
      <c r="M6254" s="15"/>
    </row>
    <row r="6255" spans="12:13">
      <c r="L6255" s="3">
        <v>44673.697916646459</v>
      </c>
      <c r="M6255" s="15"/>
    </row>
    <row r="6256" spans="12:13">
      <c r="L6256" s="3">
        <v>44673.701388868678</v>
      </c>
      <c r="M6256" s="15"/>
    </row>
    <row r="6257" spans="12:13">
      <c r="L6257" s="3">
        <v>44673.704861090897</v>
      </c>
      <c r="M6257" s="15"/>
    </row>
    <row r="6258" spans="12:13">
      <c r="L6258" s="3">
        <v>44673.708333313116</v>
      </c>
      <c r="M6258" s="15"/>
    </row>
    <row r="6259" spans="12:13">
      <c r="L6259" s="3">
        <v>44673.711805535335</v>
      </c>
      <c r="M6259" s="15"/>
    </row>
    <row r="6260" spans="12:13">
      <c r="L6260" s="3">
        <v>44673.715277757554</v>
      </c>
      <c r="M6260" s="15"/>
    </row>
    <row r="6261" spans="12:13">
      <c r="L6261" s="3">
        <v>44673.718749979773</v>
      </c>
      <c r="M6261" s="15"/>
    </row>
    <row r="6262" spans="12:13">
      <c r="L6262" s="3">
        <v>44673.722222201992</v>
      </c>
      <c r="M6262" s="15"/>
    </row>
    <row r="6263" spans="12:13">
      <c r="L6263" s="3">
        <v>44673.725694424211</v>
      </c>
      <c r="M6263" s="15"/>
    </row>
    <row r="6264" spans="12:13">
      <c r="L6264" s="3">
        <v>44673.72916664643</v>
      </c>
      <c r="M6264" s="15"/>
    </row>
    <row r="6265" spans="12:13">
      <c r="L6265" s="3">
        <v>44673.732638868649</v>
      </c>
      <c r="M6265" s="15"/>
    </row>
    <row r="6266" spans="12:13">
      <c r="L6266" s="3">
        <v>44673.736111090868</v>
      </c>
      <c r="M6266" s="15"/>
    </row>
    <row r="6267" spans="12:13">
      <c r="L6267" s="3">
        <v>44673.739583313087</v>
      </c>
      <c r="M6267" s="15"/>
    </row>
    <row r="6268" spans="12:13">
      <c r="L6268" s="3">
        <v>44673.743055535306</v>
      </c>
      <c r="M6268" s="15"/>
    </row>
    <row r="6269" spans="12:13">
      <c r="L6269" s="3">
        <v>44673.746527757525</v>
      </c>
      <c r="M6269" s="15"/>
    </row>
    <row r="6270" spans="12:13">
      <c r="L6270" s="3">
        <v>44673.749999979744</v>
      </c>
      <c r="M6270" s="15"/>
    </row>
    <row r="6271" spans="12:13">
      <c r="L6271" s="3">
        <v>44673.753472201963</v>
      </c>
      <c r="M6271" s="15"/>
    </row>
    <row r="6272" spans="12:13">
      <c r="L6272" s="3">
        <v>44673.756944424182</v>
      </c>
      <c r="M6272" s="15"/>
    </row>
    <row r="6273" spans="12:13">
      <c r="L6273" s="3">
        <v>44673.760416646401</v>
      </c>
      <c r="M6273" s="15"/>
    </row>
    <row r="6274" spans="12:13">
      <c r="L6274" s="3">
        <v>44673.76388886862</v>
      </c>
      <c r="M6274" s="15"/>
    </row>
    <row r="6275" spans="12:13">
      <c r="L6275" s="3">
        <v>44673.767361090839</v>
      </c>
      <c r="M6275" s="15"/>
    </row>
    <row r="6276" spans="12:13">
      <c r="L6276" s="3">
        <v>44673.770833313058</v>
      </c>
      <c r="M6276" s="15"/>
    </row>
    <row r="6277" spans="12:13">
      <c r="L6277" s="3">
        <v>44673.774305535277</v>
      </c>
      <c r="M6277" s="15"/>
    </row>
    <row r="6278" spans="12:13">
      <c r="L6278" s="3">
        <v>44673.777777757496</v>
      </c>
      <c r="M6278" s="15"/>
    </row>
    <row r="6279" spans="12:13">
      <c r="L6279" s="3">
        <v>44673.781249979715</v>
      </c>
      <c r="M6279" s="15"/>
    </row>
    <row r="6280" spans="12:13">
      <c r="L6280" s="3">
        <v>44673.784722201934</v>
      </c>
      <c r="M6280" s="15"/>
    </row>
    <row r="6281" spans="12:13">
      <c r="L6281" s="3">
        <v>44673.788194424153</v>
      </c>
      <c r="M6281" s="15"/>
    </row>
    <row r="6282" spans="12:13">
      <c r="L6282" s="3">
        <v>44673.791666646372</v>
      </c>
      <c r="M6282" s="15"/>
    </row>
    <row r="6283" spans="12:13">
      <c r="L6283" s="3">
        <v>44673.795138868591</v>
      </c>
      <c r="M6283" s="15"/>
    </row>
    <row r="6284" spans="12:13">
      <c r="L6284" s="3">
        <v>44673.79861109081</v>
      </c>
      <c r="M6284" s="15"/>
    </row>
    <row r="6285" spans="12:13">
      <c r="L6285" s="3">
        <v>44673.802083313029</v>
      </c>
      <c r="M6285" s="15"/>
    </row>
    <row r="6286" spans="12:13">
      <c r="L6286" s="3">
        <v>44673.805555535248</v>
      </c>
      <c r="M6286" s="15"/>
    </row>
    <row r="6287" spans="12:13">
      <c r="L6287" s="3">
        <v>44673.809027757467</v>
      </c>
      <c r="M6287" s="15"/>
    </row>
    <row r="6288" spans="12:13">
      <c r="L6288" s="3">
        <v>44673.812499979686</v>
      </c>
      <c r="M6288" s="15"/>
    </row>
    <row r="6289" spans="12:13">
      <c r="L6289" s="3">
        <v>44673.815972201905</v>
      </c>
      <c r="M6289" s="15"/>
    </row>
    <row r="6290" spans="12:13">
      <c r="L6290" s="3">
        <v>44673.819444424124</v>
      </c>
      <c r="M6290" s="15"/>
    </row>
    <row r="6291" spans="12:13">
      <c r="L6291" s="3">
        <v>44673.822916646342</v>
      </c>
      <c r="M6291" s="15"/>
    </row>
    <row r="6292" spans="12:13">
      <c r="L6292" s="3">
        <v>44673.826388868561</v>
      </c>
      <c r="M6292" s="15"/>
    </row>
    <row r="6293" spans="12:13">
      <c r="L6293" s="3">
        <v>44673.82986109078</v>
      </c>
      <c r="M6293" s="15"/>
    </row>
    <row r="6294" spans="12:13">
      <c r="L6294" s="3">
        <v>44673.833333312999</v>
      </c>
      <c r="M6294" s="15"/>
    </row>
    <row r="6295" spans="12:13">
      <c r="L6295" s="3">
        <v>44673.836805535218</v>
      </c>
      <c r="M6295" s="15"/>
    </row>
    <row r="6296" spans="12:13">
      <c r="L6296" s="3">
        <v>44673.840277757437</v>
      </c>
      <c r="M6296" s="15"/>
    </row>
    <row r="6297" spans="12:13">
      <c r="L6297" s="3">
        <v>44673.843749979656</v>
      </c>
      <c r="M6297" s="15"/>
    </row>
    <row r="6298" spans="12:13">
      <c r="L6298" s="3">
        <v>44673.847222201875</v>
      </c>
      <c r="M6298" s="15"/>
    </row>
    <row r="6299" spans="12:13">
      <c r="L6299" s="3">
        <v>44673.850694424094</v>
      </c>
      <c r="M6299" s="15"/>
    </row>
    <row r="6300" spans="12:13">
      <c r="L6300" s="3">
        <v>44673.854166646313</v>
      </c>
      <c r="M6300" s="15"/>
    </row>
    <row r="6301" spans="12:13">
      <c r="L6301" s="3">
        <v>44673.857638868532</v>
      </c>
      <c r="M6301" s="15"/>
    </row>
    <row r="6302" spans="12:13">
      <c r="L6302" s="3">
        <v>44673.861111090751</v>
      </c>
      <c r="M6302" s="15"/>
    </row>
    <row r="6303" spans="12:13">
      <c r="L6303" s="3">
        <v>44673.86458331297</v>
      </c>
      <c r="M6303" s="15"/>
    </row>
    <row r="6304" spans="12:13">
      <c r="L6304" s="3">
        <v>44673.868055535189</v>
      </c>
      <c r="M6304" s="15"/>
    </row>
    <row r="6305" spans="12:13">
      <c r="L6305" s="3">
        <v>44673.871527757408</v>
      </c>
      <c r="M6305" s="15"/>
    </row>
    <row r="6306" spans="12:13">
      <c r="L6306" s="3">
        <v>44673.874999979627</v>
      </c>
      <c r="M6306" s="15"/>
    </row>
    <row r="6307" spans="12:13">
      <c r="L6307" s="3">
        <v>44673.878472201846</v>
      </c>
      <c r="M6307" s="15"/>
    </row>
    <row r="6308" spans="12:13">
      <c r="L6308" s="3">
        <v>44673.881944424065</v>
      </c>
      <c r="M6308" s="15"/>
    </row>
    <row r="6309" spans="12:13">
      <c r="L6309" s="3">
        <v>44673.885416646284</v>
      </c>
      <c r="M6309" s="15"/>
    </row>
    <row r="6310" spans="12:13">
      <c r="L6310" s="3">
        <v>44673.888888868503</v>
      </c>
      <c r="M6310" s="15"/>
    </row>
    <row r="6311" spans="12:13">
      <c r="L6311" s="3">
        <v>44673.892361090722</v>
      </c>
      <c r="M6311" s="15"/>
    </row>
    <row r="6312" spans="12:13">
      <c r="L6312" s="3">
        <v>44673.895833312941</v>
      </c>
      <c r="M6312" s="15"/>
    </row>
    <row r="6313" spans="12:13">
      <c r="L6313" s="3">
        <v>44673.89930553516</v>
      </c>
      <c r="M6313" s="15"/>
    </row>
    <row r="6314" spans="12:13">
      <c r="L6314" s="3">
        <v>44673.902777757379</v>
      </c>
      <c r="M6314" s="15"/>
    </row>
    <row r="6315" spans="12:13">
      <c r="L6315" s="3">
        <v>44673.906249979598</v>
      </c>
      <c r="M6315" s="15"/>
    </row>
    <row r="6316" spans="12:13">
      <c r="L6316" s="3">
        <v>44673.909722201817</v>
      </c>
      <c r="M6316" s="15"/>
    </row>
    <row r="6317" spans="12:13">
      <c r="L6317" s="3">
        <v>44673.913194424036</v>
      </c>
      <c r="M6317" s="15"/>
    </row>
    <row r="6318" spans="12:13">
      <c r="L6318" s="3">
        <v>44673.916666646255</v>
      </c>
      <c r="M6318" s="15"/>
    </row>
    <row r="6319" spans="12:13">
      <c r="L6319" s="3">
        <v>44673.920138868474</v>
      </c>
      <c r="M6319" s="15"/>
    </row>
    <row r="6320" spans="12:13">
      <c r="L6320" s="3">
        <v>44673.923611090693</v>
      </c>
      <c r="M6320" s="15"/>
    </row>
    <row r="6321" spans="12:13">
      <c r="L6321" s="3">
        <v>44673.927083312912</v>
      </c>
      <c r="M6321" s="15"/>
    </row>
    <row r="6322" spans="12:13">
      <c r="L6322" s="3">
        <v>44673.930555535131</v>
      </c>
      <c r="M6322" s="15"/>
    </row>
    <row r="6323" spans="12:13">
      <c r="L6323" s="3">
        <v>44673.93402775735</v>
      </c>
      <c r="M6323" s="15"/>
    </row>
    <row r="6324" spans="12:13">
      <c r="L6324" s="3">
        <v>44673.937499979569</v>
      </c>
      <c r="M6324" s="15"/>
    </row>
    <row r="6325" spans="12:13">
      <c r="L6325" s="3">
        <v>44673.940972201788</v>
      </c>
      <c r="M6325" s="15"/>
    </row>
    <row r="6326" spans="12:13">
      <c r="L6326" s="3">
        <v>44673.944444424007</v>
      </c>
      <c r="M6326" s="15"/>
    </row>
    <row r="6327" spans="12:13">
      <c r="L6327" s="3">
        <v>44673.947916646226</v>
      </c>
      <c r="M6327" s="15"/>
    </row>
    <row r="6328" spans="12:13">
      <c r="L6328" s="3">
        <v>44673.951388868445</v>
      </c>
      <c r="M6328" s="15"/>
    </row>
    <row r="6329" spans="12:13">
      <c r="L6329" s="3">
        <v>44673.954861090664</v>
      </c>
      <c r="M6329" s="15"/>
    </row>
    <row r="6330" spans="12:13">
      <c r="L6330" s="3">
        <v>44673.958333312883</v>
      </c>
      <c r="M6330" s="15"/>
    </row>
    <row r="6331" spans="12:13">
      <c r="L6331" s="3">
        <v>44673.961805535102</v>
      </c>
      <c r="M6331" s="15"/>
    </row>
    <row r="6332" spans="12:13">
      <c r="L6332" s="3">
        <v>44673.965277757321</v>
      </c>
      <c r="M6332" s="15"/>
    </row>
    <row r="6333" spans="12:13">
      <c r="L6333" s="3">
        <v>44673.96874997954</v>
      </c>
      <c r="M6333" s="15"/>
    </row>
    <row r="6334" spans="12:13">
      <c r="L6334" s="3">
        <v>44673.972222201759</v>
      </c>
      <c r="M6334" s="15"/>
    </row>
    <row r="6335" spans="12:13">
      <c r="L6335" s="3">
        <v>44673.975694423978</v>
      </c>
      <c r="M6335" s="15"/>
    </row>
    <row r="6336" spans="12:13">
      <c r="L6336" s="3">
        <v>44673.979166646197</v>
      </c>
      <c r="M6336" s="15"/>
    </row>
    <row r="6337" spans="12:13">
      <c r="L6337" s="3">
        <v>44673.982638868416</v>
      </c>
      <c r="M6337" s="15"/>
    </row>
    <row r="6338" spans="12:13">
      <c r="L6338" s="3">
        <v>44673.986111090635</v>
      </c>
      <c r="M6338" s="15"/>
    </row>
    <row r="6339" spans="12:13">
      <c r="L6339" s="3">
        <v>44673.989583312854</v>
      </c>
      <c r="M6339" s="15"/>
    </row>
    <row r="6340" spans="12:13">
      <c r="L6340" s="3">
        <v>44673.993055535073</v>
      </c>
      <c r="M6340" s="15"/>
    </row>
    <row r="6341" spans="12:13">
      <c r="L6341" s="3">
        <v>44673.996527757292</v>
      </c>
      <c r="M6341" s="15"/>
    </row>
    <row r="6342" spans="12:13">
      <c r="L6342" s="3">
        <v>44673.999999979511</v>
      </c>
      <c r="M6342" s="15"/>
    </row>
    <row r="6343" spans="12:13">
      <c r="L6343" s="3">
        <v>44674.00347220173</v>
      </c>
      <c r="M6343" s="15"/>
    </row>
    <row r="6344" spans="12:13">
      <c r="L6344" s="3">
        <v>44674.006944423949</v>
      </c>
      <c r="M6344" s="15"/>
    </row>
    <row r="6345" spans="12:13">
      <c r="L6345" s="3">
        <v>44674.010416646168</v>
      </c>
      <c r="M6345" s="15"/>
    </row>
    <row r="6346" spans="12:13">
      <c r="L6346" s="3">
        <v>44674.013888868387</v>
      </c>
      <c r="M6346" s="15"/>
    </row>
    <row r="6347" spans="12:13">
      <c r="L6347" s="3">
        <v>44674.017361090606</v>
      </c>
      <c r="M6347" s="15"/>
    </row>
    <row r="6348" spans="12:13">
      <c r="L6348" s="3">
        <v>44674.020833312825</v>
      </c>
      <c r="M6348" s="15"/>
    </row>
    <row r="6349" spans="12:13">
      <c r="L6349" s="3">
        <v>44674.024305535044</v>
      </c>
      <c r="M6349" s="15"/>
    </row>
    <row r="6350" spans="12:13">
      <c r="L6350" s="3">
        <v>44674.027777757263</v>
      </c>
      <c r="M6350" s="15"/>
    </row>
    <row r="6351" spans="12:13">
      <c r="L6351" s="3">
        <v>44674.031249979482</v>
      </c>
      <c r="M6351" s="15"/>
    </row>
    <row r="6352" spans="12:13">
      <c r="L6352" s="3">
        <v>44674.034722201701</v>
      </c>
      <c r="M6352" s="15"/>
    </row>
    <row r="6353" spans="12:13">
      <c r="L6353" s="3">
        <v>44674.03819442392</v>
      </c>
      <c r="M6353" s="15"/>
    </row>
    <row r="6354" spans="12:13">
      <c r="L6354" s="3">
        <v>44674.041666646139</v>
      </c>
      <c r="M6354" s="15"/>
    </row>
    <row r="6355" spans="12:13">
      <c r="L6355" s="3">
        <v>44674.045138868358</v>
      </c>
      <c r="M6355" s="15"/>
    </row>
    <row r="6356" spans="12:13">
      <c r="L6356" s="3">
        <v>44674.048611090577</v>
      </c>
      <c r="M6356" s="15"/>
    </row>
    <row r="6357" spans="12:13">
      <c r="L6357" s="3">
        <v>44674.052083312796</v>
      </c>
      <c r="M6357" s="15"/>
    </row>
    <row r="6358" spans="12:13">
      <c r="L6358" s="3">
        <v>44674.055555535015</v>
      </c>
      <c r="M6358" s="15"/>
    </row>
    <row r="6359" spans="12:13">
      <c r="L6359" s="3">
        <v>44674.059027757234</v>
      </c>
      <c r="M6359" s="15"/>
    </row>
    <row r="6360" spans="12:13">
      <c r="L6360" s="3">
        <v>44674.062499979453</v>
      </c>
      <c r="M6360" s="15"/>
    </row>
    <row r="6361" spans="12:13">
      <c r="L6361" s="3">
        <v>44674.065972201672</v>
      </c>
      <c r="M6361" s="15"/>
    </row>
    <row r="6362" spans="12:13">
      <c r="L6362" s="3">
        <v>44674.069444423891</v>
      </c>
      <c r="M6362" s="15"/>
    </row>
    <row r="6363" spans="12:13">
      <c r="L6363" s="3">
        <v>44674.07291664611</v>
      </c>
      <c r="M6363" s="15"/>
    </row>
    <row r="6364" spans="12:13">
      <c r="L6364" s="3">
        <v>44674.076388868329</v>
      </c>
      <c r="M6364" s="15"/>
    </row>
    <row r="6365" spans="12:13">
      <c r="L6365" s="3">
        <v>44674.079861090548</v>
      </c>
      <c r="M6365" s="15"/>
    </row>
    <row r="6366" spans="12:13">
      <c r="L6366" s="3">
        <v>44674.083333312767</v>
      </c>
      <c r="M6366" s="15"/>
    </row>
    <row r="6367" spans="12:13">
      <c r="L6367" s="3">
        <v>44674.086805534986</v>
      </c>
      <c r="M6367" s="15"/>
    </row>
    <row r="6368" spans="12:13">
      <c r="L6368" s="3">
        <v>44674.090277757205</v>
      </c>
      <c r="M6368" s="15"/>
    </row>
    <row r="6369" spans="12:13">
      <c r="L6369" s="3">
        <v>44674.093749979424</v>
      </c>
      <c r="M6369" s="15"/>
    </row>
    <row r="6370" spans="12:13">
      <c r="L6370" s="3">
        <v>44674.097222201643</v>
      </c>
      <c r="M6370" s="15"/>
    </row>
    <row r="6371" spans="12:13">
      <c r="L6371" s="3">
        <v>44674.100694423862</v>
      </c>
      <c r="M6371" s="15"/>
    </row>
    <row r="6372" spans="12:13">
      <c r="L6372" s="3">
        <v>44674.104166646081</v>
      </c>
      <c r="M6372" s="15"/>
    </row>
    <row r="6373" spans="12:13">
      <c r="L6373" s="3">
        <v>44674.1076388683</v>
      </c>
      <c r="M6373" s="15"/>
    </row>
    <row r="6374" spans="12:13">
      <c r="L6374" s="3">
        <v>44674.111111090519</v>
      </c>
      <c r="M6374" s="15"/>
    </row>
    <row r="6375" spans="12:13">
      <c r="L6375" s="3">
        <v>44674.114583312738</v>
      </c>
      <c r="M6375" s="15"/>
    </row>
    <row r="6376" spans="12:13">
      <c r="L6376" s="3">
        <v>44674.118055534957</v>
      </c>
      <c r="M6376" s="15"/>
    </row>
    <row r="6377" spans="12:13">
      <c r="L6377" s="3">
        <v>44674.121527757175</v>
      </c>
      <c r="M6377" s="15"/>
    </row>
    <row r="6378" spans="12:13">
      <c r="L6378" s="3">
        <v>44674.124999979394</v>
      </c>
      <c r="M6378" s="15"/>
    </row>
    <row r="6379" spans="12:13">
      <c r="L6379" s="3">
        <v>44674.128472201613</v>
      </c>
      <c r="M6379" s="15"/>
    </row>
    <row r="6380" spans="12:13">
      <c r="L6380" s="3">
        <v>44674.131944423832</v>
      </c>
      <c r="M6380" s="15"/>
    </row>
    <row r="6381" spans="12:13">
      <c r="L6381" s="3">
        <v>44674.135416646051</v>
      </c>
      <c r="M6381" s="15"/>
    </row>
    <row r="6382" spans="12:13">
      <c r="L6382" s="3">
        <v>44674.13888886827</v>
      </c>
      <c r="M6382" s="15"/>
    </row>
    <row r="6383" spans="12:13">
      <c r="L6383" s="3">
        <v>44674.142361090489</v>
      </c>
      <c r="M6383" s="15"/>
    </row>
    <row r="6384" spans="12:13">
      <c r="L6384" s="3">
        <v>44674.145833312708</v>
      </c>
      <c r="M6384" s="15"/>
    </row>
    <row r="6385" spans="12:13">
      <c r="L6385" s="3">
        <v>44674.149305534927</v>
      </c>
      <c r="M6385" s="15"/>
    </row>
    <row r="6386" spans="12:13">
      <c r="L6386" s="3">
        <v>44674.152777757146</v>
      </c>
      <c r="M6386" s="15"/>
    </row>
    <row r="6387" spans="12:13">
      <c r="L6387" s="3">
        <v>44674.156249979365</v>
      </c>
      <c r="M6387" s="15"/>
    </row>
    <row r="6388" spans="12:13">
      <c r="L6388" s="3">
        <v>44674.159722201584</v>
      </c>
      <c r="M6388" s="15"/>
    </row>
    <row r="6389" spans="12:13">
      <c r="L6389" s="3">
        <v>44674.163194423803</v>
      </c>
      <c r="M6389" s="15"/>
    </row>
    <row r="6390" spans="12:13">
      <c r="L6390" s="3">
        <v>44674.166666646022</v>
      </c>
      <c r="M6390" s="15"/>
    </row>
    <row r="6391" spans="12:13">
      <c r="L6391" s="3">
        <v>44674.170138868241</v>
      </c>
      <c r="M6391" s="15"/>
    </row>
    <row r="6392" spans="12:13">
      <c r="L6392" s="3">
        <v>44674.17361109046</v>
      </c>
      <c r="M6392" s="15"/>
    </row>
    <row r="6393" spans="12:13">
      <c r="L6393" s="3">
        <v>44674.177083312679</v>
      </c>
      <c r="M6393" s="15"/>
    </row>
    <row r="6394" spans="12:13">
      <c r="L6394" s="3">
        <v>44674.180555534898</v>
      </c>
      <c r="M6394" s="15"/>
    </row>
    <row r="6395" spans="12:13">
      <c r="L6395" s="3">
        <v>44674.184027757117</v>
      </c>
      <c r="M6395" s="15"/>
    </row>
    <row r="6396" spans="12:13">
      <c r="L6396" s="3">
        <v>44674.187499979336</v>
      </c>
      <c r="M6396" s="15"/>
    </row>
    <row r="6397" spans="12:13">
      <c r="L6397" s="3">
        <v>44674.190972201555</v>
      </c>
      <c r="M6397" s="15"/>
    </row>
    <row r="6398" spans="12:13">
      <c r="L6398" s="3">
        <v>44674.194444423774</v>
      </c>
      <c r="M6398" s="15"/>
    </row>
    <row r="6399" spans="12:13">
      <c r="L6399" s="3">
        <v>44674.197916645993</v>
      </c>
      <c r="M6399" s="15"/>
    </row>
    <row r="6400" spans="12:13">
      <c r="L6400" s="3">
        <v>44674.201388868212</v>
      </c>
      <c r="M6400" s="15"/>
    </row>
    <row r="6401" spans="12:13">
      <c r="L6401" s="3">
        <v>44674.204861090431</v>
      </c>
      <c r="M6401" s="15"/>
    </row>
    <row r="6402" spans="12:13">
      <c r="L6402" s="3">
        <v>44674.20833331265</v>
      </c>
      <c r="M6402" s="15"/>
    </row>
    <row r="6403" spans="12:13">
      <c r="L6403" s="3">
        <v>44674.211805534869</v>
      </c>
      <c r="M6403" s="15"/>
    </row>
    <row r="6404" spans="12:13">
      <c r="L6404" s="3">
        <v>44674.215277757088</v>
      </c>
      <c r="M6404" s="15"/>
    </row>
    <row r="6405" spans="12:13">
      <c r="L6405" s="3">
        <v>44674.218749979307</v>
      </c>
      <c r="M6405" s="15"/>
    </row>
    <row r="6406" spans="12:13">
      <c r="L6406" s="3">
        <v>44674.222222201526</v>
      </c>
      <c r="M6406" s="15"/>
    </row>
    <row r="6407" spans="12:13">
      <c r="L6407" s="3">
        <v>44674.225694423745</v>
      </c>
      <c r="M6407" s="15"/>
    </row>
    <row r="6408" spans="12:13">
      <c r="L6408" s="3">
        <v>44674.229166645964</v>
      </c>
      <c r="M6408" s="15"/>
    </row>
    <row r="6409" spans="12:13">
      <c r="L6409" s="3">
        <v>44674.232638868183</v>
      </c>
      <c r="M6409" s="15"/>
    </row>
    <row r="6410" spans="12:13">
      <c r="L6410" s="3">
        <v>44674.236111090402</v>
      </c>
      <c r="M6410" s="15"/>
    </row>
    <row r="6411" spans="12:13">
      <c r="L6411" s="3">
        <v>44674.239583312621</v>
      </c>
      <c r="M6411" s="15"/>
    </row>
    <row r="6412" spans="12:13">
      <c r="L6412" s="3">
        <v>44674.24305553484</v>
      </c>
      <c r="M6412" s="15"/>
    </row>
    <row r="6413" spans="12:13">
      <c r="L6413" s="3">
        <v>44674.246527757059</v>
      </c>
      <c r="M6413" s="15"/>
    </row>
    <row r="6414" spans="12:13">
      <c r="L6414" s="3">
        <v>44674.249999979278</v>
      </c>
      <c r="M6414" s="15"/>
    </row>
    <row r="6415" spans="12:13">
      <c r="L6415" s="3">
        <v>44674.253472201497</v>
      </c>
      <c r="M6415" s="15"/>
    </row>
    <row r="6416" spans="12:13">
      <c r="L6416" s="3">
        <v>44674.256944423716</v>
      </c>
      <c r="M6416" s="15"/>
    </row>
    <row r="6417" spans="12:13">
      <c r="L6417" s="3">
        <v>44674.260416645935</v>
      </c>
      <c r="M6417" s="15"/>
    </row>
    <row r="6418" spans="12:13">
      <c r="L6418" s="3">
        <v>44674.263888868154</v>
      </c>
      <c r="M6418" s="15"/>
    </row>
    <row r="6419" spans="12:13">
      <c r="L6419" s="3">
        <v>44674.267361090373</v>
      </c>
      <c r="M6419" s="15"/>
    </row>
    <row r="6420" spans="12:13">
      <c r="L6420" s="3">
        <v>44674.270833312592</v>
      </c>
      <c r="M6420" s="15"/>
    </row>
    <row r="6421" spans="12:13">
      <c r="L6421" s="3">
        <v>44674.274305534811</v>
      </c>
      <c r="M6421" s="15"/>
    </row>
    <row r="6422" spans="12:13">
      <c r="L6422" s="3">
        <v>44674.27777775703</v>
      </c>
      <c r="M6422" s="15"/>
    </row>
    <row r="6423" spans="12:13">
      <c r="L6423" s="3">
        <v>44674.281249979249</v>
      </c>
      <c r="M6423" s="15"/>
    </row>
    <row r="6424" spans="12:13">
      <c r="L6424" s="3">
        <v>44674.284722201468</v>
      </c>
      <c r="M6424" s="15"/>
    </row>
    <row r="6425" spans="12:13">
      <c r="L6425" s="3">
        <v>44674.288194423687</v>
      </c>
      <c r="M6425" s="15"/>
    </row>
    <row r="6426" spans="12:13">
      <c r="L6426" s="3">
        <v>44674.291666645906</v>
      </c>
      <c r="M6426" s="15"/>
    </row>
    <row r="6427" spans="12:13">
      <c r="L6427" s="3">
        <v>44674.295138868125</v>
      </c>
      <c r="M6427" s="15"/>
    </row>
    <row r="6428" spans="12:13">
      <c r="L6428" s="3">
        <v>44674.298611090344</v>
      </c>
      <c r="M6428" s="15"/>
    </row>
    <row r="6429" spans="12:13">
      <c r="L6429" s="3">
        <v>44674.302083312563</v>
      </c>
      <c r="M6429" s="15"/>
    </row>
    <row r="6430" spans="12:13">
      <c r="L6430" s="3">
        <v>44674.305555534782</v>
      </c>
      <c r="M6430" s="15"/>
    </row>
    <row r="6431" spans="12:13">
      <c r="L6431" s="3">
        <v>44674.309027757001</v>
      </c>
      <c r="M6431" s="15"/>
    </row>
    <row r="6432" spans="12:13">
      <c r="L6432" s="3">
        <v>44674.31249997922</v>
      </c>
      <c r="M6432" s="15"/>
    </row>
    <row r="6433" spans="12:13">
      <c r="L6433" s="3">
        <v>44674.315972201439</v>
      </c>
      <c r="M6433" s="15"/>
    </row>
    <row r="6434" spans="12:13">
      <c r="L6434" s="3">
        <v>44674.319444423658</v>
      </c>
      <c r="M6434" s="15"/>
    </row>
    <row r="6435" spans="12:13">
      <c r="L6435" s="3">
        <v>44674.322916645877</v>
      </c>
      <c r="M6435" s="15"/>
    </row>
    <row r="6436" spans="12:13">
      <c r="L6436" s="3">
        <v>44674.326388868096</v>
      </c>
      <c r="M6436" s="15"/>
    </row>
    <row r="6437" spans="12:13">
      <c r="L6437" s="3">
        <v>44674.329861090315</v>
      </c>
      <c r="M6437" s="15"/>
    </row>
    <row r="6438" spans="12:13">
      <c r="L6438" s="3">
        <v>44674.333333312534</v>
      </c>
      <c r="M6438" s="15"/>
    </row>
    <row r="6439" spans="12:13">
      <c r="L6439" s="3">
        <v>44674.336805534753</v>
      </c>
      <c r="M6439" s="15"/>
    </row>
    <row r="6440" spans="12:13">
      <c r="L6440" s="3">
        <v>44674.340277756972</v>
      </c>
      <c r="M6440" s="15"/>
    </row>
    <row r="6441" spans="12:13">
      <c r="L6441" s="3">
        <v>44674.343749979191</v>
      </c>
      <c r="M6441" s="15"/>
    </row>
    <row r="6442" spans="12:13">
      <c r="L6442" s="3">
        <v>44674.34722220141</v>
      </c>
      <c r="M6442" s="15"/>
    </row>
    <row r="6443" spans="12:13">
      <c r="L6443" s="3">
        <v>44674.350694423629</v>
      </c>
      <c r="M6443" s="15"/>
    </row>
    <row r="6444" spans="12:13">
      <c r="L6444" s="3">
        <v>44674.354166645848</v>
      </c>
      <c r="M6444" s="15"/>
    </row>
    <row r="6445" spans="12:13">
      <c r="L6445" s="3">
        <v>44674.357638868067</v>
      </c>
      <c r="M6445" s="15"/>
    </row>
    <row r="6446" spans="12:13">
      <c r="L6446" s="3">
        <v>44674.361111090286</v>
      </c>
      <c r="M6446" s="15"/>
    </row>
    <row r="6447" spans="12:13">
      <c r="L6447" s="3">
        <v>44674.364583312505</v>
      </c>
      <c r="M6447" s="15"/>
    </row>
    <row r="6448" spans="12:13">
      <c r="L6448" s="3">
        <v>44674.368055534724</v>
      </c>
      <c r="M6448" s="15"/>
    </row>
    <row r="6449" spans="12:13">
      <c r="L6449" s="3">
        <v>44674.371527756943</v>
      </c>
      <c r="M6449" s="15"/>
    </row>
    <row r="6450" spans="12:13">
      <c r="L6450" s="3">
        <v>44674.374999979162</v>
      </c>
      <c r="M6450" s="15"/>
    </row>
    <row r="6451" spans="12:13">
      <c r="L6451" s="3">
        <v>44674.378472201381</v>
      </c>
      <c r="M6451" s="15"/>
    </row>
    <row r="6452" spans="12:13">
      <c r="L6452" s="3">
        <v>44674.3819444236</v>
      </c>
      <c r="M6452" s="15"/>
    </row>
    <row r="6453" spans="12:13">
      <c r="L6453" s="3">
        <v>44674.385416645819</v>
      </c>
      <c r="M6453" s="15"/>
    </row>
    <row r="6454" spans="12:13">
      <c r="L6454" s="3">
        <v>44674.388888868038</v>
      </c>
      <c r="M6454" s="15"/>
    </row>
    <row r="6455" spans="12:13">
      <c r="L6455" s="3">
        <v>44674.392361090257</v>
      </c>
      <c r="M6455" s="15"/>
    </row>
    <row r="6456" spans="12:13">
      <c r="L6456" s="3">
        <v>44674.395833312476</v>
      </c>
      <c r="M6456" s="15"/>
    </row>
    <row r="6457" spans="12:13">
      <c r="L6457" s="3">
        <v>44674.399305534695</v>
      </c>
      <c r="M6457" s="15"/>
    </row>
    <row r="6458" spans="12:13">
      <c r="L6458" s="3">
        <v>44674.402777756914</v>
      </c>
      <c r="M6458" s="15"/>
    </row>
    <row r="6459" spans="12:13">
      <c r="L6459" s="3">
        <v>44674.406249979133</v>
      </c>
      <c r="M6459" s="15"/>
    </row>
    <row r="6460" spans="12:13">
      <c r="L6460" s="3">
        <v>44674.409722201352</v>
      </c>
      <c r="M6460" s="15"/>
    </row>
    <row r="6461" spans="12:13">
      <c r="L6461" s="3">
        <v>44674.413194423571</v>
      </c>
      <c r="M6461" s="15"/>
    </row>
    <row r="6462" spans="12:13">
      <c r="L6462" s="3">
        <v>44674.41666664579</v>
      </c>
      <c r="M6462" s="15"/>
    </row>
    <row r="6463" spans="12:13">
      <c r="L6463" s="3">
        <v>44674.420138868009</v>
      </c>
      <c r="M6463" s="15"/>
    </row>
    <row r="6464" spans="12:13">
      <c r="L6464" s="3">
        <v>44674.423611090227</v>
      </c>
      <c r="M6464" s="15"/>
    </row>
    <row r="6465" spans="12:13">
      <c r="L6465" s="3">
        <v>44674.427083312446</v>
      </c>
      <c r="M6465" s="15"/>
    </row>
    <row r="6466" spans="12:13">
      <c r="L6466" s="3">
        <v>44674.430555534665</v>
      </c>
      <c r="M6466" s="15"/>
    </row>
    <row r="6467" spans="12:13">
      <c r="L6467" s="3">
        <v>44674.434027756884</v>
      </c>
      <c r="M6467" s="15"/>
    </row>
    <row r="6468" spans="12:13">
      <c r="L6468" s="3">
        <v>44674.437499979103</v>
      </c>
      <c r="M6468" s="15"/>
    </row>
    <row r="6469" spans="12:13">
      <c r="L6469" s="3">
        <v>44674.440972201322</v>
      </c>
      <c r="M6469" s="15"/>
    </row>
    <row r="6470" spans="12:13">
      <c r="L6470" s="3">
        <v>44674.444444423541</v>
      </c>
      <c r="M6470" s="15"/>
    </row>
    <row r="6471" spans="12:13">
      <c r="L6471" s="3">
        <v>44674.44791664576</v>
      </c>
      <c r="M6471" s="15"/>
    </row>
    <row r="6472" spans="12:13">
      <c r="L6472" s="3">
        <v>44674.451388867979</v>
      </c>
      <c r="M6472" s="15"/>
    </row>
    <row r="6473" spans="12:13">
      <c r="L6473" s="3">
        <v>44674.454861090198</v>
      </c>
      <c r="M6473" s="15"/>
    </row>
    <row r="6474" spans="12:13">
      <c r="L6474" s="3">
        <v>44674.458333312417</v>
      </c>
      <c r="M6474" s="15"/>
    </row>
    <row r="6475" spans="12:13">
      <c r="L6475" s="3">
        <v>44674.461805534636</v>
      </c>
      <c r="M6475" s="15"/>
    </row>
    <row r="6476" spans="12:13">
      <c r="L6476" s="3">
        <v>44674.465277756855</v>
      </c>
      <c r="M6476" s="15"/>
    </row>
    <row r="6477" spans="12:13">
      <c r="L6477" s="3">
        <v>44674.468749979074</v>
      </c>
      <c r="M6477" s="15"/>
    </row>
    <row r="6478" spans="12:13">
      <c r="L6478" s="3">
        <v>44674.472222201293</v>
      </c>
      <c r="M6478" s="15"/>
    </row>
    <row r="6479" spans="12:13">
      <c r="L6479" s="3">
        <v>44674.475694423512</v>
      </c>
      <c r="M6479" s="15"/>
    </row>
    <row r="6480" spans="12:13">
      <c r="L6480" s="3">
        <v>44674.479166645731</v>
      </c>
      <c r="M6480" s="15"/>
    </row>
    <row r="6481" spans="12:13">
      <c r="L6481" s="3">
        <v>44674.48263886795</v>
      </c>
      <c r="M6481" s="15"/>
    </row>
    <row r="6482" spans="12:13">
      <c r="L6482" s="3">
        <v>44674.486111090169</v>
      </c>
      <c r="M6482" s="15"/>
    </row>
    <row r="6483" spans="12:13">
      <c r="L6483" s="3">
        <v>44674.489583312388</v>
      </c>
      <c r="M6483" s="15"/>
    </row>
    <row r="6484" spans="12:13">
      <c r="L6484" s="3">
        <v>44674.493055534607</v>
      </c>
      <c r="M6484" s="15"/>
    </row>
    <row r="6485" spans="12:13">
      <c r="L6485" s="3">
        <v>44674.496527756826</v>
      </c>
      <c r="M6485" s="15"/>
    </row>
    <row r="6486" spans="12:13">
      <c r="L6486" s="3">
        <v>44674.499999979045</v>
      </c>
      <c r="M6486" s="15"/>
    </row>
    <row r="6487" spans="12:13">
      <c r="L6487" s="3">
        <v>44674.503472201264</v>
      </c>
      <c r="M6487" s="15"/>
    </row>
    <row r="6488" spans="12:13">
      <c r="L6488" s="3">
        <v>44674.506944423483</v>
      </c>
      <c r="M6488" s="15"/>
    </row>
    <row r="6489" spans="12:13">
      <c r="L6489" s="3">
        <v>44674.510416645702</v>
      </c>
      <c r="M6489" s="15"/>
    </row>
    <row r="6490" spans="12:13">
      <c r="L6490" s="3">
        <v>44674.513888867921</v>
      </c>
      <c r="M6490" s="15"/>
    </row>
    <row r="6491" spans="12:13">
      <c r="L6491" s="3">
        <v>44674.51736109014</v>
      </c>
      <c r="M6491" s="15"/>
    </row>
    <row r="6492" spans="12:13">
      <c r="L6492" s="3">
        <v>44674.520833312359</v>
      </c>
      <c r="M6492" s="15"/>
    </row>
    <row r="6493" spans="12:13">
      <c r="L6493" s="3">
        <v>44674.524305534578</v>
      </c>
      <c r="M6493" s="15"/>
    </row>
    <row r="6494" spans="12:13">
      <c r="L6494" s="3">
        <v>44674.527777756797</v>
      </c>
      <c r="M6494" s="15"/>
    </row>
    <row r="6495" spans="12:13">
      <c r="L6495" s="3">
        <v>44674.531249979016</v>
      </c>
      <c r="M6495" s="15"/>
    </row>
    <row r="6496" spans="12:13">
      <c r="L6496" s="3">
        <v>44674.534722201235</v>
      </c>
      <c r="M6496" s="15"/>
    </row>
    <row r="6497" spans="12:13">
      <c r="L6497" s="3">
        <v>44674.538194423454</v>
      </c>
      <c r="M6497" s="15"/>
    </row>
    <row r="6498" spans="12:13">
      <c r="L6498" s="3">
        <v>44674.541666645673</v>
      </c>
      <c r="M6498" s="15"/>
    </row>
    <row r="6499" spans="12:13">
      <c r="L6499" s="3">
        <v>44674.545138867892</v>
      </c>
      <c r="M6499" s="15"/>
    </row>
    <row r="6500" spans="12:13">
      <c r="L6500" s="3">
        <v>44674.548611090111</v>
      </c>
      <c r="M6500" s="15"/>
    </row>
    <row r="6501" spans="12:13">
      <c r="L6501" s="3">
        <v>44674.55208331233</v>
      </c>
      <c r="M6501" s="15"/>
    </row>
    <row r="6502" spans="12:13">
      <c r="L6502" s="3">
        <v>44674.555555534549</v>
      </c>
      <c r="M6502" s="15"/>
    </row>
    <row r="6503" spans="12:13">
      <c r="L6503" s="3">
        <v>44674.559027756768</v>
      </c>
      <c r="M6503" s="15"/>
    </row>
    <row r="6504" spans="12:13">
      <c r="L6504" s="3">
        <v>44674.562499978987</v>
      </c>
      <c r="M6504" s="15"/>
    </row>
    <row r="6505" spans="12:13">
      <c r="L6505" s="3">
        <v>44674.565972201206</v>
      </c>
      <c r="M6505" s="15"/>
    </row>
    <row r="6506" spans="12:13">
      <c r="L6506" s="3">
        <v>44674.569444423425</v>
      </c>
      <c r="M6506" s="15"/>
    </row>
    <row r="6507" spans="12:13">
      <c r="L6507" s="3">
        <v>44674.572916645644</v>
      </c>
      <c r="M6507" s="15"/>
    </row>
    <row r="6508" spans="12:13">
      <c r="L6508" s="3">
        <v>44674.576388867863</v>
      </c>
      <c r="M6508" s="15"/>
    </row>
    <row r="6509" spans="12:13">
      <c r="L6509" s="3">
        <v>44674.579861090082</v>
      </c>
      <c r="M6509" s="15"/>
    </row>
    <row r="6510" spans="12:13">
      <c r="L6510" s="3">
        <v>44674.583333312301</v>
      </c>
      <c r="M6510" s="15"/>
    </row>
    <row r="6511" spans="12:13">
      <c r="L6511" s="3">
        <v>44674.58680553452</v>
      </c>
      <c r="M6511" s="15"/>
    </row>
    <row r="6512" spans="12:13">
      <c r="L6512" s="3">
        <v>44674.590277756739</v>
      </c>
      <c r="M6512" s="15"/>
    </row>
    <row r="6513" spans="12:13">
      <c r="L6513" s="3">
        <v>44674.593749978958</v>
      </c>
      <c r="M6513" s="15"/>
    </row>
    <row r="6514" spans="12:13">
      <c r="L6514" s="3">
        <v>44674.597222201177</v>
      </c>
      <c r="M6514" s="15"/>
    </row>
    <row r="6515" spans="12:13">
      <c r="L6515" s="3">
        <v>44674.600694423396</v>
      </c>
      <c r="M6515" s="15"/>
    </row>
    <row r="6516" spans="12:13">
      <c r="L6516" s="3">
        <v>44674.604166645615</v>
      </c>
      <c r="M6516" s="15"/>
    </row>
    <row r="6517" spans="12:13">
      <c r="L6517" s="3">
        <v>44674.607638867834</v>
      </c>
      <c r="M6517" s="15"/>
    </row>
    <row r="6518" spans="12:13">
      <c r="L6518" s="3">
        <v>44674.611111090053</v>
      </c>
      <c r="M6518" s="15"/>
    </row>
    <row r="6519" spans="12:13">
      <c r="L6519" s="3">
        <v>44674.614583312272</v>
      </c>
      <c r="M6519" s="15"/>
    </row>
    <row r="6520" spans="12:13">
      <c r="L6520" s="3">
        <v>44674.618055534491</v>
      </c>
      <c r="M6520" s="15"/>
    </row>
    <row r="6521" spans="12:13">
      <c r="L6521" s="3">
        <v>44674.62152775671</v>
      </c>
      <c r="M6521" s="15"/>
    </row>
    <row r="6522" spans="12:13">
      <c r="L6522" s="3">
        <v>44674.624999978929</v>
      </c>
      <c r="M6522" s="15"/>
    </row>
    <row r="6523" spans="12:13">
      <c r="L6523" s="3">
        <v>44674.628472201148</v>
      </c>
      <c r="M6523" s="15"/>
    </row>
    <row r="6524" spans="12:13">
      <c r="L6524" s="3">
        <v>44674.631944423367</v>
      </c>
      <c r="M6524" s="15"/>
    </row>
    <row r="6525" spans="12:13">
      <c r="L6525" s="3">
        <v>44674.635416645586</v>
      </c>
      <c r="M6525" s="15"/>
    </row>
    <row r="6526" spans="12:13">
      <c r="L6526" s="3">
        <v>44674.638888867805</v>
      </c>
      <c r="M6526" s="15"/>
    </row>
    <row r="6527" spans="12:13">
      <c r="L6527" s="3">
        <v>44674.642361090024</v>
      </c>
      <c r="M6527" s="15"/>
    </row>
    <row r="6528" spans="12:13">
      <c r="L6528" s="3">
        <v>44674.645833312243</v>
      </c>
      <c r="M6528" s="15"/>
    </row>
    <row r="6529" spans="12:13">
      <c r="L6529" s="3">
        <v>44674.649305534462</v>
      </c>
      <c r="M6529" s="15"/>
    </row>
    <row r="6530" spans="12:13">
      <c r="L6530" s="3">
        <v>44674.652777756681</v>
      </c>
      <c r="M6530" s="15"/>
    </row>
    <row r="6531" spans="12:13">
      <c r="L6531" s="3">
        <v>44674.6562499789</v>
      </c>
      <c r="M6531" s="15"/>
    </row>
    <row r="6532" spans="12:13">
      <c r="L6532" s="3">
        <v>44674.659722201119</v>
      </c>
      <c r="M6532" s="15"/>
    </row>
    <row r="6533" spans="12:13">
      <c r="L6533" s="3">
        <v>44674.663194423338</v>
      </c>
      <c r="M6533" s="15"/>
    </row>
    <row r="6534" spans="12:13">
      <c r="L6534" s="3">
        <v>44674.666666645557</v>
      </c>
      <c r="M6534" s="15"/>
    </row>
    <row r="6535" spans="12:13">
      <c r="L6535" s="3">
        <v>44674.670138867776</v>
      </c>
      <c r="M6535" s="15"/>
    </row>
    <row r="6536" spans="12:13">
      <c r="L6536" s="3">
        <v>44674.673611089995</v>
      </c>
      <c r="M6536" s="15"/>
    </row>
    <row r="6537" spans="12:13">
      <c r="L6537" s="3">
        <v>44674.677083312214</v>
      </c>
      <c r="M6537" s="15"/>
    </row>
    <row r="6538" spans="12:13">
      <c r="L6538" s="3">
        <v>44674.680555534433</v>
      </c>
      <c r="M6538" s="15"/>
    </row>
    <row r="6539" spans="12:13">
      <c r="L6539" s="3">
        <v>44674.684027756652</v>
      </c>
      <c r="M6539" s="15"/>
    </row>
    <row r="6540" spans="12:13">
      <c r="L6540" s="3">
        <v>44674.687499978871</v>
      </c>
      <c r="M6540" s="15"/>
    </row>
    <row r="6541" spans="12:13">
      <c r="L6541" s="3">
        <v>44674.69097220109</v>
      </c>
      <c r="M6541" s="15"/>
    </row>
    <row r="6542" spans="12:13">
      <c r="L6542" s="3">
        <v>44674.694444423309</v>
      </c>
      <c r="M6542" s="15"/>
    </row>
    <row r="6543" spans="12:13">
      <c r="L6543" s="3">
        <v>44674.697916645528</v>
      </c>
      <c r="M6543" s="15"/>
    </row>
    <row r="6544" spans="12:13">
      <c r="L6544" s="3">
        <v>44674.701388867747</v>
      </c>
      <c r="M6544" s="15"/>
    </row>
    <row r="6545" spans="12:13">
      <c r="L6545" s="3">
        <v>44674.704861089966</v>
      </c>
      <c r="M6545" s="15"/>
    </row>
    <row r="6546" spans="12:13">
      <c r="L6546" s="3">
        <v>44674.708333312185</v>
      </c>
      <c r="M6546" s="15"/>
    </row>
    <row r="6547" spans="12:13">
      <c r="L6547" s="3">
        <v>44674.711805534404</v>
      </c>
      <c r="M6547" s="15"/>
    </row>
    <row r="6548" spans="12:13">
      <c r="L6548" s="3">
        <v>44674.715277756623</v>
      </c>
      <c r="M6548" s="15"/>
    </row>
    <row r="6549" spans="12:13">
      <c r="L6549" s="3">
        <v>44674.718749978842</v>
      </c>
      <c r="M6549" s="15"/>
    </row>
    <row r="6550" spans="12:13">
      <c r="L6550" s="3">
        <v>44674.722222201061</v>
      </c>
      <c r="M6550" s="15"/>
    </row>
    <row r="6551" spans="12:13">
      <c r="L6551" s="3">
        <v>44674.725694423279</v>
      </c>
      <c r="M6551" s="15"/>
    </row>
    <row r="6552" spans="12:13">
      <c r="L6552" s="3">
        <v>44674.729166645498</v>
      </c>
      <c r="M6552" s="15"/>
    </row>
    <row r="6553" spans="12:13">
      <c r="L6553" s="3">
        <v>44674.732638867717</v>
      </c>
      <c r="M6553" s="15"/>
    </row>
    <row r="6554" spans="12:13">
      <c r="L6554" s="3">
        <v>44674.736111089936</v>
      </c>
      <c r="M6554" s="15"/>
    </row>
    <row r="6555" spans="12:13">
      <c r="L6555" s="3">
        <v>44674.739583312155</v>
      </c>
      <c r="M6555" s="15"/>
    </row>
    <row r="6556" spans="12:13">
      <c r="L6556" s="3">
        <v>44674.743055534374</v>
      </c>
      <c r="M6556" s="15"/>
    </row>
    <row r="6557" spans="12:13">
      <c r="L6557" s="3">
        <v>44674.746527756593</v>
      </c>
      <c r="M6557" s="15"/>
    </row>
    <row r="6558" spans="12:13">
      <c r="L6558" s="3">
        <v>44674.749999978812</v>
      </c>
      <c r="M6558" s="15"/>
    </row>
    <row r="6559" spans="12:13">
      <c r="L6559" s="3">
        <v>44674.753472201031</v>
      </c>
      <c r="M6559" s="15"/>
    </row>
    <row r="6560" spans="12:13">
      <c r="L6560" s="3">
        <v>44674.75694442325</v>
      </c>
      <c r="M6560" s="15"/>
    </row>
    <row r="6561" spans="12:13">
      <c r="L6561" s="3">
        <v>44674.760416645469</v>
      </c>
      <c r="M6561" s="15"/>
    </row>
    <row r="6562" spans="12:13">
      <c r="L6562" s="3">
        <v>44674.763888867688</v>
      </c>
      <c r="M6562" s="15"/>
    </row>
    <row r="6563" spans="12:13">
      <c r="L6563" s="3">
        <v>44674.767361089907</v>
      </c>
      <c r="M6563" s="15"/>
    </row>
    <row r="6564" spans="12:13">
      <c r="L6564" s="3">
        <v>44674.770833312126</v>
      </c>
      <c r="M6564" s="15"/>
    </row>
    <row r="6565" spans="12:13">
      <c r="L6565" s="3">
        <v>44674.774305534345</v>
      </c>
      <c r="M6565" s="15"/>
    </row>
    <row r="6566" spans="12:13">
      <c r="L6566" s="3">
        <v>44674.777777756564</v>
      </c>
      <c r="M6566" s="15"/>
    </row>
    <row r="6567" spans="12:13">
      <c r="L6567" s="3">
        <v>44674.781249978783</v>
      </c>
      <c r="M6567" s="15"/>
    </row>
    <row r="6568" spans="12:13">
      <c r="L6568" s="3">
        <v>44674.784722201002</v>
      </c>
      <c r="M6568" s="15"/>
    </row>
    <row r="6569" spans="12:13">
      <c r="L6569" s="3">
        <v>44674.788194423221</v>
      </c>
      <c r="M6569" s="15"/>
    </row>
    <row r="6570" spans="12:13">
      <c r="L6570" s="3">
        <v>44674.79166664544</v>
      </c>
      <c r="M6570" s="15"/>
    </row>
    <row r="6571" spans="12:13">
      <c r="L6571" s="3">
        <v>44674.795138867659</v>
      </c>
      <c r="M6571" s="15"/>
    </row>
    <row r="6572" spans="12:13">
      <c r="L6572" s="3">
        <v>44674.798611089878</v>
      </c>
      <c r="M6572" s="15"/>
    </row>
    <row r="6573" spans="12:13">
      <c r="L6573" s="3">
        <v>44674.802083312097</v>
      </c>
      <c r="M6573" s="15"/>
    </row>
    <row r="6574" spans="12:13">
      <c r="L6574" s="3">
        <v>44674.805555534316</v>
      </c>
      <c r="M6574" s="15"/>
    </row>
    <row r="6575" spans="12:13">
      <c r="L6575" s="3">
        <v>44674.809027756535</v>
      </c>
      <c r="M6575" s="15"/>
    </row>
    <row r="6576" spans="12:13">
      <c r="L6576" s="3">
        <v>44674.812499978754</v>
      </c>
      <c r="M6576" s="15"/>
    </row>
    <row r="6577" spans="12:13">
      <c r="L6577" s="3">
        <v>44674.815972200973</v>
      </c>
      <c r="M6577" s="15"/>
    </row>
    <row r="6578" spans="12:13">
      <c r="L6578" s="3">
        <v>44674.819444423192</v>
      </c>
      <c r="M6578" s="15"/>
    </row>
    <row r="6579" spans="12:13">
      <c r="L6579" s="3">
        <v>44674.822916645411</v>
      </c>
      <c r="M6579" s="15"/>
    </row>
    <row r="6580" spans="12:13">
      <c r="L6580" s="3">
        <v>44674.82638886763</v>
      </c>
      <c r="M6580" s="15"/>
    </row>
    <row r="6581" spans="12:13">
      <c r="L6581" s="3">
        <v>44674.829861089849</v>
      </c>
      <c r="M6581" s="15"/>
    </row>
    <row r="6582" spans="12:13">
      <c r="L6582" s="3">
        <v>44674.833333312068</v>
      </c>
      <c r="M6582" s="15"/>
    </row>
    <row r="6583" spans="12:13">
      <c r="L6583" s="3">
        <v>44674.836805534287</v>
      </c>
      <c r="M6583" s="15"/>
    </row>
    <row r="6584" spans="12:13">
      <c r="L6584" s="3">
        <v>44674.840277756506</v>
      </c>
      <c r="M6584" s="15"/>
    </row>
    <row r="6585" spans="12:13">
      <c r="L6585" s="3">
        <v>44674.843749978725</v>
      </c>
      <c r="M6585" s="15"/>
    </row>
    <row r="6586" spans="12:13">
      <c r="L6586" s="3">
        <v>44674.847222200944</v>
      </c>
      <c r="M6586" s="15"/>
    </row>
    <row r="6587" spans="12:13">
      <c r="L6587" s="3">
        <v>44674.850694423163</v>
      </c>
      <c r="M6587" s="15"/>
    </row>
    <row r="6588" spans="12:13">
      <c r="L6588" s="3">
        <v>44674.854166645382</v>
      </c>
      <c r="M6588" s="15"/>
    </row>
    <row r="6589" spans="12:13">
      <c r="L6589" s="3">
        <v>44674.857638867601</v>
      </c>
      <c r="M6589" s="15"/>
    </row>
    <row r="6590" spans="12:13">
      <c r="L6590" s="3">
        <v>44674.86111108982</v>
      </c>
      <c r="M6590" s="15"/>
    </row>
    <row r="6591" spans="12:13">
      <c r="L6591" s="3">
        <v>44674.864583312039</v>
      </c>
      <c r="M6591" s="15"/>
    </row>
    <row r="6592" spans="12:13">
      <c r="L6592" s="3">
        <v>44674.868055534258</v>
      </c>
      <c r="M6592" s="15"/>
    </row>
    <row r="6593" spans="12:13">
      <c r="L6593" s="3">
        <v>44674.871527756477</v>
      </c>
      <c r="M6593" s="15"/>
    </row>
    <row r="6594" spans="12:13">
      <c r="L6594" s="3">
        <v>44674.874999978696</v>
      </c>
      <c r="M6594" s="15"/>
    </row>
    <row r="6595" spans="12:13">
      <c r="L6595" s="3">
        <v>44674.878472200915</v>
      </c>
      <c r="M6595" s="15"/>
    </row>
    <row r="6596" spans="12:13">
      <c r="L6596" s="3">
        <v>44674.881944423134</v>
      </c>
      <c r="M6596" s="15"/>
    </row>
    <row r="6597" spans="12:13">
      <c r="L6597" s="3">
        <v>44674.885416645353</v>
      </c>
      <c r="M6597" s="15"/>
    </row>
    <row r="6598" spans="12:13">
      <c r="L6598" s="3">
        <v>44674.888888867572</v>
      </c>
      <c r="M6598" s="15"/>
    </row>
    <row r="6599" spans="12:13">
      <c r="L6599" s="3">
        <v>44674.892361089791</v>
      </c>
      <c r="M6599" s="15"/>
    </row>
    <row r="6600" spans="12:13">
      <c r="L6600" s="3">
        <v>44674.89583331201</v>
      </c>
      <c r="M6600" s="15"/>
    </row>
    <row r="6601" spans="12:13">
      <c r="L6601" s="3">
        <v>44674.899305534229</v>
      </c>
      <c r="M6601" s="15"/>
    </row>
    <row r="6602" spans="12:13">
      <c r="L6602" s="3">
        <v>44674.902777756448</v>
      </c>
      <c r="M6602" s="15"/>
    </row>
    <row r="6603" spans="12:13">
      <c r="L6603" s="3">
        <v>44674.906249978667</v>
      </c>
      <c r="M6603" s="15"/>
    </row>
    <row r="6604" spans="12:13">
      <c r="L6604" s="3">
        <v>44674.909722200886</v>
      </c>
      <c r="M6604" s="15"/>
    </row>
    <row r="6605" spans="12:13">
      <c r="L6605" s="3">
        <v>44674.913194423105</v>
      </c>
      <c r="M6605" s="15"/>
    </row>
    <row r="6606" spans="12:13">
      <c r="L6606" s="3">
        <v>44674.916666645324</v>
      </c>
      <c r="M6606" s="15"/>
    </row>
    <row r="6607" spans="12:13">
      <c r="L6607" s="3">
        <v>44674.920138867543</v>
      </c>
      <c r="M6607" s="15"/>
    </row>
    <row r="6608" spans="12:13">
      <c r="L6608" s="3">
        <v>44674.923611089762</v>
      </c>
      <c r="M6608" s="15"/>
    </row>
    <row r="6609" spans="12:13">
      <c r="L6609" s="3">
        <v>44674.927083311981</v>
      </c>
      <c r="M6609" s="15"/>
    </row>
    <row r="6610" spans="12:13">
      <c r="L6610" s="3">
        <v>44674.9305555342</v>
      </c>
      <c r="M6610" s="15"/>
    </row>
    <row r="6611" spans="12:13">
      <c r="L6611" s="3">
        <v>44674.934027756419</v>
      </c>
      <c r="M6611" s="15"/>
    </row>
    <row r="6612" spans="12:13">
      <c r="L6612" s="3">
        <v>44674.937499978638</v>
      </c>
      <c r="M6612" s="15"/>
    </row>
    <row r="6613" spans="12:13">
      <c r="L6613" s="3">
        <v>44674.940972200857</v>
      </c>
      <c r="M6613" s="15"/>
    </row>
    <row r="6614" spans="12:13">
      <c r="L6614" s="3">
        <v>44674.944444423076</v>
      </c>
      <c r="M6614" s="15"/>
    </row>
    <row r="6615" spans="12:13">
      <c r="L6615" s="3">
        <v>44674.947916645295</v>
      </c>
      <c r="M6615" s="15"/>
    </row>
    <row r="6616" spans="12:13">
      <c r="L6616" s="3">
        <v>44674.951388867514</v>
      </c>
      <c r="M6616" s="15"/>
    </row>
    <row r="6617" spans="12:13">
      <c r="L6617" s="3">
        <v>44674.954861089733</v>
      </c>
      <c r="M6617" s="15"/>
    </row>
    <row r="6618" spans="12:13">
      <c r="L6618" s="3">
        <v>44674.958333311952</v>
      </c>
      <c r="M6618" s="15"/>
    </row>
    <row r="6619" spans="12:13">
      <c r="L6619" s="3">
        <v>44674.961805534171</v>
      </c>
      <c r="M6619" s="15"/>
    </row>
    <row r="6620" spans="12:13">
      <c r="L6620" s="3">
        <v>44674.96527775639</v>
      </c>
      <c r="M6620" s="15"/>
    </row>
    <row r="6621" spans="12:13">
      <c r="L6621" s="3">
        <v>44674.968749978609</v>
      </c>
      <c r="M6621" s="15"/>
    </row>
    <row r="6622" spans="12:13">
      <c r="L6622" s="3">
        <v>44674.972222200828</v>
      </c>
      <c r="M6622" s="15"/>
    </row>
    <row r="6623" spans="12:13">
      <c r="L6623" s="3">
        <v>44674.975694423047</v>
      </c>
      <c r="M6623" s="15"/>
    </row>
    <row r="6624" spans="12:13">
      <c r="L6624" s="3">
        <v>44674.979166645266</v>
      </c>
      <c r="M6624" s="15"/>
    </row>
    <row r="6625" spans="12:13">
      <c r="L6625" s="3">
        <v>44674.982638867485</v>
      </c>
      <c r="M6625" s="15"/>
    </row>
    <row r="6626" spans="12:13">
      <c r="L6626" s="3">
        <v>44674.986111089704</v>
      </c>
      <c r="M6626" s="15"/>
    </row>
    <row r="6627" spans="12:13">
      <c r="L6627" s="3">
        <v>44674.989583311923</v>
      </c>
      <c r="M6627" s="15"/>
    </row>
    <row r="6628" spans="12:13">
      <c r="L6628" s="3">
        <v>44674.993055534142</v>
      </c>
      <c r="M6628" s="15"/>
    </row>
    <row r="6629" spans="12:13">
      <c r="L6629" s="3">
        <v>44674.996527756361</v>
      </c>
      <c r="M6629" s="15"/>
    </row>
    <row r="6630" spans="12:13">
      <c r="L6630" s="3">
        <v>44674.99999997858</v>
      </c>
      <c r="M6630" s="15"/>
    </row>
    <row r="6631" spans="12:13">
      <c r="L6631" s="3">
        <v>44675.003472200799</v>
      </c>
      <c r="M6631" s="15"/>
    </row>
    <row r="6632" spans="12:13">
      <c r="L6632" s="3">
        <v>44675.006944423018</v>
      </c>
      <c r="M6632" s="15"/>
    </row>
    <row r="6633" spans="12:13">
      <c r="L6633" s="3">
        <v>44675.010416645237</v>
      </c>
      <c r="M6633" s="15"/>
    </row>
    <row r="6634" spans="12:13">
      <c r="L6634" s="3">
        <v>44675.013888867456</v>
      </c>
      <c r="M6634" s="15"/>
    </row>
    <row r="6635" spans="12:13">
      <c r="L6635" s="3">
        <v>44675.017361089675</v>
      </c>
      <c r="M6635" s="15"/>
    </row>
    <row r="6636" spans="12:13">
      <c r="L6636" s="3">
        <v>44675.020833311894</v>
      </c>
      <c r="M6636" s="15"/>
    </row>
    <row r="6637" spans="12:13">
      <c r="L6637" s="3">
        <v>44675.024305534113</v>
      </c>
      <c r="M6637" s="15"/>
    </row>
    <row r="6638" spans="12:13">
      <c r="L6638" s="3">
        <v>44675.027777756331</v>
      </c>
      <c r="M6638" s="15"/>
    </row>
    <row r="6639" spans="12:13">
      <c r="L6639" s="3">
        <v>44675.03124997855</v>
      </c>
      <c r="M6639" s="15"/>
    </row>
    <row r="6640" spans="12:13">
      <c r="L6640" s="3">
        <v>44675.034722200769</v>
      </c>
      <c r="M6640" s="15"/>
    </row>
    <row r="6641" spans="12:13">
      <c r="L6641" s="3">
        <v>44675.038194422988</v>
      </c>
      <c r="M6641" s="15"/>
    </row>
    <row r="6642" spans="12:13">
      <c r="L6642" s="3">
        <v>44675.041666645207</v>
      </c>
      <c r="M6642" s="15"/>
    </row>
    <row r="6643" spans="12:13">
      <c r="L6643" s="3">
        <v>44675.045138867426</v>
      </c>
      <c r="M6643" s="15"/>
    </row>
    <row r="6644" spans="12:13">
      <c r="L6644" s="3">
        <v>44675.048611089645</v>
      </c>
      <c r="M6644" s="15"/>
    </row>
    <row r="6645" spans="12:13">
      <c r="L6645" s="3">
        <v>44675.052083311864</v>
      </c>
      <c r="M6645" s="15"/>
    </row>
    <row r="6646" spans="12:13">
      <c r="L6646" s="3">
        <v>44675.055555534083</v>
      </c>
      <c r="M6646" s="15"/>
    </row>
    <row r="6647" spans="12:13">
      <c r="L6647" s="3">
        <v>44675.059027756302</v>
      </c>
      <c r="M6647" s="15"/>
    </row>
    <row r="6648" spans="12:13">
      <c r="L6648" s="3">
        <v>44675.062499978521</v>
      </c>
      <c r="M6648" s="15"/>
    </row>
    <row r="6649" spans="12:13">
      <c r="L6649" s="3">
        <v>44675.06597220074</v>
      </c>
      <c r="M6649" s="15"/>
    </row>
    <row r="6650" spans="12:13">
      <c r="L6650" s="3">
        <v>44675.069444422959</v>
      </c>
      <c r="M6650" s="15"/>
    </row>
    <row r="6651" spans="12:13">
      <c r="L6651" s="3">
        <v>44675.072916645178</v>
      </c>
      <c r="M6651" s="15"/>
    </row>
    <row r="6652" spans="12:13">
      <c r="L6652" s="3">
        <v>44675.076388867397</v>
      </c>
      <c r="M6652" s="15"/>
    </row>
    <row r="6653" spans="12:13">
      <c r="L6653" s="3">
        <v>44675.079861089616</v>
      </c>
      <c r="M6653" s="15"/>
    </row>
    <row r="6654" spans="12:13">
      <c r="L6654" s="3">
        <v>44675.083333311835</v>
      </c>
      <c r="M6654" s="15"/>
    </row>
    <row r="6655" spans="12:13">
      <c r="L6655" s="3">
        <v>44675.086805534054</v>
      </c>
      <c r="M6655" s="15"/>
    </row>
    <row r="6656" spans="12:13">
      <c r="L6656" s="3">
        <v>44675.090277756273</v>
      </c>
      <c r="M6656" s="15"/>
    </row>
    <row r="6657" spans="12:13">
      <c r="L6657" s="3">
        <v>44675.093749978492</v>
      </c>
      <c r="M6657" s="15"/>
    </row>
    <row r="6658" spans="12:13">
      <c r="L6658" s="3">
        <v>44675.097222200711</v>
      </c>
      <c r="M6658" s="15"/>
    </row>
    <row r="6659" spans="12:13">
      <c r="L6659" s="3">
        <v>44675.10069442293</v>
      </c>
      <c r="M6659" s="15"/>
    </row>
    <row r="6660" spans="12:13">
      <c r="L6660" s="3">
        <v>44675.104166645149</v>
      </c>
      <c r="M6660" s="15"/>
    </row>
    <row r="6661" spans="12:13">
      <c r="L6661" s="3">
        <v>44675.107638867368</v>
      </c>
      <c r="M6661" s="15"/>
    </row>
    <row r="6662" spans="12:13">
      <c r="L6662" s="3">
        <v>44675.111111089587</v>
      </c>
      <c r="M6662" s="15"/>
    </row>
    <row r="6663" spans="12:13">
      <c r="L6663" s="3">
        <v>44675.114583311806</v>
      </c>
      <c r="M6663" s="15"/>
    </row>
    <row r="6664" spans="12:13">
      <c r="L6664" s="3">
        <v>44675.118055534025</v>
      </c>
      <c r="M6664" s="15"/>
    </row>
    <row r="6665" spans="12:13">
      <c r="L6665" s="3">
        <v>44675.121527756244</v>
      </c>
      <c r="M6665" s="15"/>
    </row>
    <row r="6666" spans="12:13">
      <c r="L6666" s="3">
        <v>44675.124999978463</v>
      </c>
      <c r="M6666" s="15"/>
    </row>
    <row r="6667" spans="12:13">
      <c r="L6667" s="3">
        <v>44675.128472200682</v>
      </c>
      <c r="M6667" s="15"/>
    </row>
    <row r="6668" spans="12:13">
      <c r="L6668" s="3">
        <v>44675.131944422901</v>
      </c>
      <c r="M6668" s="15"/>
    </row>
    <row r="6669" spans="12:13">
      <c r="L6669" s="3">
        <v>44675.13541664512</v>
      </c>
      <c r="M6669" s="15"/>
    </row>
    <row r="6670" spans="12:13">
      <c r="L6670" s="3">
        <v>44675.138888867339</v>
      </c>
      <c r="M6670" s="15"/>
    </row>
    <row r="6671" spans="12:13">
      <c r="L6671" s="3">
        <v>44675.142361089558</v>
      </c>
      <c r="M6671" s="15"/>
    </row>
    <row r="6672" spans="12:13">
      <c r="L6672" s="3">
        <v>44675.145833311777</v>
      </c>
      <c r="M6672" s="15"/>
    </row>
    <row r="6673" spans="12:13">
      <c r="L6673" s="3">
        <v>44675.149305533996</v>
      </c>
      <c r="M6673" s="15"/>
    </row>
    <row r="6674" spans="12:13">
      <c r="L6674" s="3">
        <v>44675.152777756215</v>
      </c>
      <c r="M6674" s="15"/>
    </row>
    <row r="6675" spans="12:13">
      <c r="L6675" s="3">
        <v>44675.156249978434</v>
      </c>
      <c r="M6675" s="15"/>
    </row>
    <row r="6676" spans="12:13">
      <c r="L6676" s="3">
        <v>44675.159722200653</v>
      </c>
      <c r="M6676" s="15"/>
    </row>
    <row r="6677" spans="12:13">
      <c r="L6677" s="3">
        <v>44675.163194422872</v>
      </c>
      <c r="M6677" s="15"/>
    </row>
    <row r="6678" spans="12:13">
      <c r="L6678" s="3">
        <v>44675.166666645091</v>
      </c>
      <c r="M6678" s="15"/>
    </row>
    <row r="6679" spans="12:13">
      <c r="L6679" s="3">
        <v>44675.17013886731</v>
      </c>
      <c r="M6679" s="15"/>
    </row>
    <row r="6680" spans="12:13">
      <c r="L6680" s="3">
        <v>44675.173611089529</v>
      </c>
      <c r="M6680" s="15"/>
    </row>
    <row r="6681" spans="12:13">
      <c r="L6681" s="3">
        <v>44675.177083311748</v>
      </c>
      <c r="M6681" s="15"/>
    </row>
    <row r="6682" spans="12:13">
      <c r="L6682" s="3">
        <v>44675.180555533967</v>
      </c>
      <c r="M6682" s="15"/>
    </row>
    <row r="6683" spans="12:13">
      <c r="L6683" s="3">
        <v>44675.184027756186</v>
      </c>
      <c r="M6683" s="15"/>
    </row>
    <row r="6684" spans="12:13">
      <c r="L6684" s="3">
        <v>44675.187499978405</v>
      </c>
      <c r="M6684" s="15"/>
    </row>
    <row r="6685" spans="12:13">
      <c r="L6685" s="3">
        <v>44675.190972200624</v>
      </c>
      <c r="M6685" s="15"/>
    </row>
    <row r="6686" spans="12:13">
      <c r="L6686" s="3">
        <v>44675.194444422843</v>
      </c>
      <c r="M6686" s="15"/>
    </row>
    <row r="6687" spans="12:13">
      <c r="L6687" s="3">
        <v>44675.197916645062</v>
      </c>
      <c r="M6687" s="15"/>
    </row>
    <row r="6688" spans="12:13">
      <c r="L6688" s="3">
        <v>44675.201388867281</v>
      </c>
      <c r="M6688" s="15"/>
    </row>
    <row r="6689" spans="12:13">
      <c r="L6689" s="3">
        <v>44675.2048610895</v>
      </c>
      <c r="M6689" s="15"/>
    </row>
    <row r="6690" spans="12:13">
      <c r="L6690" s="3">
        <v>44675.208333311719</v>
      </c>
      <c r="M6690" s="15"/>
    </row>
    <row r="6691" spans="12:13">
      <c r="L6691" s="3">
        <v>44675.211805533938</v>
      </c>
      <c r="M6691" s="15"/>
    </row>
    <row r="6692" spans="12:13">
      <c r="L6692" s="3">
        <v>44675.215277756157</v>
      </c>
      <c r="M6692" s="15"/>
    </row>
    <row r="6693" spans="12:13">
      <c r="L6693" s="3">
        <v>44675.218749978376</v>
      </c>
      <c r="M6693" s="15"/>
    </row>
    <row r="6694" spans="12:13">
      <c r="L6694" s="3">
        <v>44675.222222200595</v>
      </c>
      <c r="M6694" s="15"/>
    </row>
    <row r="6695" spans="12:13">
      <c r="L6695" s="3">
        <v>44675.225694422814</v>
      </c>
      <c r="M6695" s="15"/>
    </row>
    <row r="6696" spans="12:13">
      <c r="L6696" s="3">
        <v>44675.229166645033</v>
      </c>
      <c r="M6696" s="15"/>
    </row>
    <row r="6697" spans="12:13">
      <c r="L6697" s="3">
        <v>44675.232638867252</v>
      </c>
      <c r="M6697" s="15"/>
    </row>
    <row r="6698" spans="12:13">
      <c r="L6698" s="3">
        <v>44675.236111089471</v>
      </c>
      <c r="M6698" s="15"/>
    </row>
    <row r="6699" spans="12:13">
      <c r="L6699" s="3">
        <v>44675.23958331169</v>
      </c>
      <c r="M6699" s="15"/>
    </row>
    <row r="6700" spans="12:13">
      <c r="L6700" s="3">
        <v>44675.243055533909</v>
      </c>
      <c r="M6700" s="15"/>
    </row>
    <row r="6701" spans="12:13">
      <c r="L6701" s="3">
        <v>44675.246527756128</v>
      </c>
      <c r="M6701" s="15"/>
    </row>
    <row r="6702" spans="12:13">
      <c r="L6702" s="3">
        <v>44675.249999978347</v>
      </c>
      <c r="M6702" s="15"/>
    </row>
    <row r="6703" spans="12:13">
      <c r="L6703" s="3">
        <v>44675.253472200566</v>
      </c>
      <c r="M6703" s="15"/>
    </row>
    <row r="6704" spans="12:13">
      <c r="L6704" s="3">
        <v>44675.256944422785</v>
      </c>
      <c r="M6704" s="15"/>
    </row>
    <row r="6705" spans="12:13">
      <c r="L6705" s="3">
        <v>44675.260416645004</v>
      </c>
      <c r="M6705" s="15"/>
    </row>
    <row r="6706" spans="12:13">
      <c r="L6706" s="3">
        <v>44675.263888867223</v>
      </c>
      <c r="M6706" s="15"/>
    </row>
    <row r="6707" spans="12:13">
      <c r="L6707" s="3">
        <v>44675.267361089442</v>
      </c>
      <c r="M6707" s="15"/>
    </row>
    <row r="6708" spans="12:13">
      <c r="L6708" s="3">
        <v>44675.270833311661</v>
      </c>
      <c r="M6708" s="15"/>
    </row>
    <row r="6709" spans="12:13">
      <c r="L6709" s="3">
        <v>44675.27430553388</v>
      </c>
      <c r="M6709" s="15"/>
    </row>
    <row r="6710" spans="12:13">
      <c r="L6710" s="3">
        <v>44675.277777756099</v>
      </c>
      <c r="M6710" s="15"/>
    </row>
    <row r="6711" spans="12:13">
      <c r="L6711" s="3">
        <v>44675.281249978318</v>
      </c>
      <c r="M6711" s="15"/>
    </row>
    <row r="6712" spans="12:13">
      <c r="L6712" s="3">
        <v>44675.284722200537</v>
      </c>
      <c r="M6712" s="15"/>
    </row>
    <row r="6713" spans="12:13">
      <c r="L6713" s="3">
        <v>44675.288194422756</v>
      </c>
      <c r="M6713" s="15"/>
    </row>
    <row r="6714" spans="12:13">
      <c r="L6714" s="3">
        <v>44675.291666644975</v>
      </c>
      <c r="M6714" s="15"/>
    </row>
    <row r="6715" spans="12:13">
      <c r="L6715" s="3">
        <v>44675.295138867194</v>
      </c>
      <c r="M6715" s="15"/>
    </row>
    <row r="6716" spans="12:13">
      <c r="L6716" s="3">
        <v>44675.298611089413</v>
      </c>
      <c r="M6716" s="15"/>
    </row>
    <row r="6717" spans="12:13">
      <c r="L6717" s="3">
        <v>44675.302083311632</v>
      </c>
      <c r="M6717" s="15"/>
    </row>
    <row r="6718" spans="12:13">
      <c r="L6718" s="3">
        <v>44675.305555533851</v>
      </c>
      <c r="M6718" s="15"/>
    </row>
    <row r="6719" spans="12:13">
      <c r="L6719" s="3">
        <v>44675.30902775607</v>
      </c>
      <c r="M6719" s="15"/>
    </row>
    <row r="6720" spans="12:13">
      <c r="L6720" s="3">
        <v>44675.312499978289</v>
      </c>
      <c r="M6720" s="15"/>
    </row>
    <row r="6721" spans="12:13">
      <c r="L6721" s="3">
        <v>44675.315972200508</v>
      </c>
      <c r="M6721" s="15"/>
    </row>
    <row r="6722" spans="12:13">
      <c r="L6722" s="3">
        <v>44675.319444422727</v>
      </c>
      <c r="M6722" s="15"/>
    </row>
    <row r="6723" spans="12:13">
      <c r="L6723" s="3">
        <v>44675.322916644946</v>
      </c>
      <c r="M6723" s="15"/>
    </row>
    <row r="6724" spans="12:13">
      <c r="L6724" s="3">
        <v>44675.326388867164</v>
      </c>
      <c r="M6724" s="15"/>
    </row>
    <row r="6725" spans="12:13">
      <c r="L6725" s="3">
        <v>44675.329861089383</v>
      </c>
      <c r="M6725" s="15"/>
    </row>
    <row r="6726" spans="12:13">
      <c r="L6726" s="3">
        <v>44675.333333311602</v>
      </c>
      <c r="M6726" s="15"/>
    </row>
    <row r="6727" spans="12:13">
      <c r="L6727" s="3">
        <v>44675.336805533821</v>
      </c>
      <c r="M6727" s="15"/>
    </row>
    <row r="6728" spans="12:13">
      <c r="L6728" s="3">
        <v>44675.34027775604</v>
      </c>
      <c r="M6728" s="15"/>
    </row>
    <row r="6729" spans="12:13">
      <c r="L6729" s="3">
        <v>44675.343749978259</v>
      </c>
      <c r="M6729" s="15"/>
    </row>
    <row r="6730" spans="12:13">
      <c r="L6730" s="3">
        <v>44675.347222200478</v>
      </c>
      <c r="M6730" s="15"/>
    </row>
    <row r="6731" spans="12:13">
      <c r="L6731" s="3">
        <v>44675.350694422697</v>
      </c>
      <c r="M6731" s="15"/>
    </row>
    <row r="6732" spans="12:13">
      <c r="L6732" s="3">
        <v>44675.354166644916</v>
      </c>
      <c r="M6732" s="15"/>
    </row>
    <row r="6733" spans="12:13">
      <c r="L6733" s="3">
        <v>44675.357638867135</v>
      </c>
      <c r="M6733" s="15"/>
    </row>
    <row r="6734" spans="12:13">
      <c r="L6734" s="3">
        <v>44675.361111089354</v>
      </c>
      <c r="M6734" s="15"/>
    </row>
    <row r="6735" spans="12:13">
      <c r="L6735" s="3">
        <v>44675.364583311573</v>
      </c>
      <c r="M6735" s="15"/>
    </row>
    <row r="6736" spans="12:13">
      <c r="L6736" s="3">
        <v>44675.368055533792</v>
      </c>
      <c r="M6736" s="15"/>
    </row>
    <row r="6737" spans="12:13">
      <c r="L6737" s="3">
        <v>44675.371527756011</v>
      </c>
      <c r="M6737" s="15"/>
    </row>
    <row r="6738" spans="12:13">
      <c r="L6738" s="3">
        <v>44675.37499997823</v>
      </c>
      <c r="M6738" s="15"/>
    </row>
    <row r="6739" spans="12:13">
      <c r="L6739" s="3">
        <v>44675.378472200449</v>
      </c>
      <c r="M6739" s="15"/>
    </row>
    <row r="6740" spans="12:13">
      <c r="L6740" s="3">
        <v>44675.381944422668</v>
      </c>
      <c r="M6740" s="15"/>
    </row>
    <row r="6741" spans="12:13">
      <c r="L6741" s="3">
        <v>44675.385416644887</v>
      </c>
      <c r="M6741" s="15"/>
    </row>
    <row r="6742" spans="12:13">
      <c r="L6742" s="3">
        <v>44675.388888867106</v>
      </c>
      <c r="M6742" s="15"/>
    </row>
    <row r="6743" spans="12:13">
      <c r="L6743" s="3">
        <v>44675.392361089325</v>
      </c>
      <c r="M6743" s="15"/>
    </row>
    <row r="6744" spans="12:13">
      <c r="L6744" s="3">
        <v>44675.395833311544</v>
      </c>
      <c r="M6744" s="15"/>
    </row>
    <row r="6745" spans="12:13">
      <c r="L6745" s="3">
        <v>44675.399305533763</v>
      </c>
      <c r="M6745" s="15"/>
    </row>
    <row r="6746" spans="12:13">
      <c r="L6746" s="3">
        <v>44675.402777755982</v>
      </c>
      <c r="M6746" s="15"/>
    </row>
    <row r="6747" spans="12:13">
      <c r="L6747" s="3">
        <v>44675.406249978201</v>
      </c>
      <c r="M6747" s="15"/>
    </row>
    <row r="6748" spans="12:13">
      <c r="L6748" s="3">
        <v>44675.40972220042</v>
      </c>
      <c r="M6748" s="15"/>
    </row>
    <row r="6749" spans="12:13">
      <c r="L6749" s="3">
        <v>44675.413194422639</v>
      </c>
      <c r="M6749" s="15"/>
    </row>
    <row r="6750" spans="12:13">
      <c r="L6750" s="3">
        <v>44675.416666644858</v>
      </c>
      <c r="M6750" s="15"/>
    </row>
    <row r="6751" spans="12:13">
      <c r="L6751" s="3">
        <v>44675.420138867077</v>
      </c>
      <c r="M6751" s="15"/>
    </row>
    <row r="6752" spans="12:13">
      <c r="L6752" s="3">
        <v>44675.423611089296</v>
      </c>
      <c r="M6752" s="15"/>
    </row>
    <row r="6753" spans="12:13">
      <c r="L6753" s="3">
        <v>44675.427083311515</v>
      </c>
      <c r="M6753" s="15"/>
    </row>
    <row r="6754" spans="12:13">
      <c r="L6754" s="3">
        <v>44675.430555533734</v>
      </c>
      <c r="M6754" s="15"/>
    </row>
    <row r="6755" spans="12:13">
      <c r="L6755" s="3">
        <v>44675.434027755953</v>
      </c>
      <c r="M6755" s="15"/>
    </row>
    <row r="6756" spans="12:13">
      <c r="L6756" s="3">
        <v>44675.437499978172</v>
      </c>
      <c r="M6756" s="15"/>
    </row>
    <row r="6757" spans="12:13">
      <c r="L6757" s="3">
        <v>44675.440972200391</v>
      </c>
      <c r="M6757" s="15"/>
    </row>
    <row r="6758" spans="12:13">
      <c r="L6758" s="3">
        <v>44675.44444442261</v>
      </c>
      <c r="M6758" s="15"/>
    </row>
    <row r="6759" spans="12:13">
      <c r="L6759" s="3">
        <v>44675.447916644829</v>
      </c>
      <c r="M6759" s="15"/>
    </row>
    <row r="6760" spans="12:13">
      <c r="L6760" s="3">
        <v>44675.451388867048</v>
      </c>
      <c r="M6760" s="15"/>
    </row>
    <row r="6761" spans="12:13">
      <c r="L6761" s="3">
        <v>44675.454861089267</v>
      </c>
      <c r="M6761" s="15"/>
    </row>
    <row r="6762" spans="12:13">
      <c r="L6762" s="3">
        <v>44675.458333311486</v>
      </c>
      <c r="M6762" s="15"/>
    </row>
    <row r="6763" spans="12:13">
      <c r="L6763" s="3">
        <v>44675.461805533705</v>
      </c>
      <c r="M6763" s="15"/>
    </row>
    <row r="6764" spans="12:13">
      <c r="L6764" s="3">
        <v>44675.465277755924</v>
      </c>
      <c r="M6764" s="15"/>
    </row>
    <row r="6765" spans="12:13">
      <c r="L6765" s="3">
        <v>44675.468749978143</v>
      </c>
      <c r="M6765" s="15"/>
    </row>
    <row r="6766" spans="12:13">
      <c r="L6766" s="3">
        <v>44675.472222200362</v>
      </c>
      <c r="M6766" s="15"/>
    </row>
    <row r="6767" spans="12:13">
      <c r="L6767" s="3">
        <v>44675.475694422581</v>
      </c>
      <c r="M6767" s="15"/>
    </row>
    <row r="6768" spans="12:13">
      <c r="L6768" s="3">
        <v>44675.4791666448</v>
      </c>
      <c r="M6768" s="15"/>
    </row>
    <row r="6769" spans="12:13">
      <c r="L6769" s="3">
        <v>44675.482638867019</v>
      </c>
      <c r="M6769" s="15"/>
    </row>
    <row r="6770" spans="12:13">
      <c r="L6770" s="3">
        <v>44675.486111089238</v>
      </c>
      <c r="M6770" s="15"/>
    </row>
    <row r="6771" spans="12:13">
      <c r="L6771" s="3">
        <v>44675.489583311457</v>
      </c>
      <c r="M6771" s="15"/>
    </row>
    <row r="6772" spans="12:13">
      <c r="L6772" s="3">
        <v>44675.493055533676</v>
      </c>
      <c r="M6772" s="15"/>
    </row>
    <row r="6773" spans="12:13">
      <c r="L6773" s="3">
        <v>44675.496527755895</v>
      </c>
      <c r="M6773" s="15"/>
    </row>
    <row r="6774" spans="12:13">
      <c r="L6774" s="3">
        <v>44675.499999978114</v>
      </c>
      <c r="M6774" s="15"/>
    </row>
    <row r="6775" spans="12:13">
      <c r="L6775" s="3">
        <v>44675.503472200333</v>
      </c>
      <c r="M6775" s="15"/>
    </row>
    <row r="6776" spans="12:13">
      <c r="L6776" s="3">
        <v>44675.506944422552</v>
      </c>
      <c r="M6776" s="15"/>
    </row>
    <row r="6777" spans="12:13">
      <c r="L6777" s="3">
        <v>44675.510416644771</v>
      </c>
      <c r="M6777" s="15"/>
    </row>
    <row r="6778" spans="12:13">
      <c r="L6778" s="3">
        <v>44675.51388886699</v>
      </c>
      <c r="M6778" s="15"/>
    </row>
    <row r="6779" spans="12:13">
      <c r="L6779" s="3">
        <v>44675.517361089209</v>
      </c>
      <c r="M6779" s="15"/>
    </row>
    <row r="6780" spans="12:13">
      <c r="L6780" s="3">
        <v>44675.520833311428</v>
      </c>
      <c r="M6780" s="15"/>
    </row>
    <row r="6781" spans="12:13">
      <c r="L6781" s="3">
        <v>44675.524305533647</v>
      </c>
      <c r="M6781" s="15"/>
    </row>
    <row r="6782" spans="12:13">
      <c r="L6782" s="3">
        <v>44675.527777755866</v>
      </c>
      <c r="M6782" s="15"/>
    </row>
    <row r="6783" spans="12:13">
      <c r="L6783" s="3">
        <v>44675.531249978085</v>
      </c>
      <c r="M6783" s="15"/>
    </row>
    <row r="6784" spans="12:13">
      <c r="L6784" s="3">
        <v>44675.534722200304</v>
      </c>
      <c r="M6784" s="15"/>
    </row>
    <row r="6785" spans="12:13">
      <c r="L6785" s="3">
        <v>44675.538194422523</v>
      </c>
      <c r="M6785" s="15"/>
    </row>
    <row r="6786" spans="12:13">
      <c r="L6786" s="3">
        <v>44675.541666644742</v>
      </c>
      <c r="M6786" s="15"/>
    </row>
    <row r="6787" spans="12:13">
      <c r="L6787" s="3">
        <v>44675.545138866961</v>
      </c>
      <c r="M6787" s="15"/>
    </row>
    <row r="6788" spans="12:13">
      <c r="L6788" s="3">
        <v>44675.54861108918</v>
      </c>
      <c r="M6788" s="15"/>
    </row>
    <row r="6789" spans="12:13">
      <c r="L6789" s="3">
        <v>44675.552083311399</v>
      </c>
      <c r="M6789" s="15"/>
    </row>
    <row r="6790" spans="12:13">
      <c r="L6790" s="3">
        <v>44675.555555533618</v>
      </c>
      <c r="M6790" s="15"/>
    </row>
    <row r="6791" spans="12:13">
      <c r="L6791" s="3">
        <v>44675.559027755837</v>
      </c>
      <c r="M6791" s="15"/>
    </row>
    <row r="6792" spans="12:13">
      <c r="L6792" s="3">
        <v>44675.562499978056</v>
      </c>
      <c r="M6792" s="15"/>
    </row>
    <row r="6793" spans="12:13">
      <c r="L6793" s="3">
        <v>44675.565972200275</v>
      </c>
      <c r="M6793" s="15"/>
    </row>
    <row r="6794" spans="12:13">
      <c r="L6794" s="3">
        <v>44675.569444422494</v>
      </c>
      <c r="M6794" s="15"/>
    </row>
    <row r="6795" spans="12:13">
      <c r="L6795" s="3">
        <v>44675.572916644713</v>
      </c>
      <c r="M6795" s="15"/>
    </row>
    <row r="6796" spans="12:13">
      <c r="L6796" s="3">
        <v>44675.576388866932</v>
      </c>
      <c r="M6796" s="15"/>
    </row>
    <row r="6797" spans="12:13">
      <c r="L6797" s="3">
        <v>44675.579861089151</v>
      </c>
      <c r="M6797" s="15"/>
    </row>
    <row r="6798" spans="12:13">
      <c r="L6798" s="3">
        <v>44675.58333331137</v>
      </c>
      <c r="M6798" s="15"/>
    </row>
    <row r="6799" spans="12:13">
      <c r="L6799" s="3">
        <v>44675.586805533589</v>
      </c>
      <c r="M6799" s="15"/>
    </row>
    <row r="6800" spans="12:13">
      <c r="L6800" s="3">
        <v>44675.590277755808</v>
      </c>
      <c r="M6800" s="15"/>
    </row>
    <row r="6801" spans="12:13">
      <c r="L6801" s="3">
        <v>44675.593749978027</v>
      </c>
      <c r="M6801" s="15"/>
    </row>
    <row r="6802" spans="12:13">
      <c r="L6802" s="3">
        <v>44675.597222200246</v>
      </c>
      <c r="M6802" s="15"/>
    </row>
    <row r="6803" spans="12:13">
      <c r="L6803" s="3">
        <v>44675.600694422465</v>
      </c>
      <c r="M6803" s="15"/>
    </row>
    <row r="6804" spans="12:13">
      <c r="L6804" s="3">
        <v>44675.604166644684</v>
      </c>
      <c r="M6804" s="15"/>
    </row>
    <row r="6805" spans="12:13">
      <c r="L6805" s="3">
        <v>44675.607638866903</v>
      </c>
      <c r="M6805" s="15"/>
    </row>
    <row r="6806" spans="12:13">
      <c r="L6806" s="3">
        <v>44675.611111089122</v>
      </c>
      <c r="M6806" s="15"/>
    </row>
    <row r="6807" spans="12:13">
      <c r="L6807" s="3">
        <v>44675.614583311341</v>
      </c>
      <c r="M6807" s="15"/>
    </row>
    <row r="6808" spans="12:13">
      <c r="L6808" s="3">
        <v>44675.61805553356</v>
      </c>
      <c r="M6808" s="15"/>
    </row>
    <row r="6809" spans="12:13">
      <c r="L6809" s="3">
        <v>44675.621527755779</v>
      </c>
      <c r="M6809" s="15"/>
    </row>
    <row r="6810" spans="12:13">
      <c r="L6810" s="3">
        <v>44675.624999977998</v>
      </c>
      <c r="M6810" s="15"/>
    </row>
    <row r="6811" spans="12:13">
      <c r="L6811" s="3">
        <v>44675.628472200216</v>
      </c>
      <c r="M6811" s="15"/>
    </row>
    <row r="6812" spans="12:13">
      <c r="L6812" s="3">
        <v>44675.631944422435</v>
      </c>
      <c r="M6812" s="15"/>
    </row>
    <row r="6813" spans="12:13">
      <c r="L6813" s="3">
        <v>44675.635416644654</v>
      </c>
      <c r="M6813" s="15"/>
    </row>
    <row r="6814" spans="12:13">
      <c r="L6814" s="3">
        <v>44675.638888866873</v>
      </c>
      <c r="M6814" s="15"/>
    </row>
    <row r="6815" spans="12:13">
      <c r="L6815" s="3">
        <v>44675.642361089092</v>
      </c>
      <c r="M6815" s="15"/>
    </row>
    <row r="6816" spans="12:13">
      <c r="L6816" s="3">
        <v>44675.645833311311</v>
      </c>
      <c r="M6816" s="15"/>
    </row>
    <row r="6817" spans="12:13">
      <c r="L6817" s="3">
        <v>44675.64930553353</v>
      </c>
      <c r="M6817" s="15"/>
    </row>
    <row r="6818" spans="12:13">
      <c r="L6818" s="3">
        <v>44675.652777755749</v>
      </c>
      <c r="M6818" s="15"/>
    </row>
    <row r="6819" spans="12:13">
      <c r="L6819" s="3">
        <v>44675.656249977968</v>
      </c>
      <c r="M6819" s="15"/>
    </row>
    <row r="6820" spans="12:13">
      <c r="L6820" s="3">
        <v>44675.659722200187</v>
      </c>
      <c r="M6820" s="15"/>
    </row>
    <row r="6821" spans="12:13">
      <c r="L6821" s="3">
        <v>44675.663194422406</v>
      </c>
      <c r="M6821" s="15"/>
    </row>
    <row r="6822" spans="12:13">
      <c r="L6822" s="3">
        <v>44675.666666644625</v>
      </c>
      <c r="M6822" s="15"/>
    </row>
    <row r="6823" spans="12:13">
      <c r="L6823" s="3">
        <v>44675.670138866844</v>
      </c>
      <c r="M6823" s="15"/>
    </row>
    <row r="6824" spans="12:13">
      <c r="L6824" s="3">
        <v>44675.673611089063</v>
      </c>
      <c r="M6824" s="15"/>
    </row>
    <row r="6825" spans="12:13">
      <c r="L6825" s="3">
        <v>44675.677083311282</v>
      </c>
      <c r="M6825" s="15"/>
    </row>
    <row r="6826" spans="12:13">
      <c r="L6826" s="3">
        <v>44675.680555533501</v>
      </c>
      <c r="M6826" s="15"/>
    </row>
    <row r="6827" spans="12:13">
      <c r="L6827" s="3">
        <v>44675.68402775572</v>
      </c>
      <c r="M6827" s="15"/>
    </row>
    <row r="6828" spans="12:13">
      <c r="L6828" s="3">
        <v>44675.687499977939</v>
      </c>
      <c r="M6828" s="15"/>
    </row>
    <row r="6829" spans="12:13">
      <c r="L6829" s="3">
        <v>44675.690972200158</v>
      </c>
      <c r="M6829" s="15"/>
    </row>
    <row r="6830" spans="12:13">
      <c r="L6830" s="3">
        <v>44675.694444422377</v>
      </c>
      <c r="M6830" s="15"/>
    </row>
    <row r="6831" spans="12:13">
      <c r="L6831" s="3">
        <v>44675.697916644596</v>
      </c>
      <c r="M6831" s="15"/>
    </row>
    <row r="6832" spans="12:13">
      <c r="L6832" s="3">
        <v>44675.701388866815</v>
      </c>
      <c r="M6832" s="15"/>
    </row>
    <row r="6833" spans="12:13">
      <c r="L6833" s="3">
        <v>44675.704861089034</v>
      </c>
      <c r="M6833" s="15"/>
    </row>
    <row r="6834" spans="12:13">
      <c r="L6834" s="3">
        <v>44675.708333311253</v>
      </c>
      <c r="M6834" s="15"/>
    </row>
    <row r="6835" spans="12:13">
      <c r="L6835" s="3">
        <v>44675.711805533472</v>
      </c>
      <c r="M6835" s="15"/>
    </row>
    <row r="6836" spans="12:13">
      <c r="L6836" s="3">
        <v>44675.715277755691</v>
      </c>
      <c r="M6836" s="15"/>
    </row>
    <row r="6837" spans="12:13">
      <c r="L6837" s="3">
        <v>44675.71874997791</v>
      </c>
      <c r="M6837" s="15"/>
    </row>
    <row r="6838" spans="12:13">
      <c r="L6838" s="3">
        <v>44675.722222200129</v>
      </c>
      <c r="M6838" s="15"/>
    </row>
    <row r="6839" spans="12:13">
      <c r="L6839" s="3">
        <v>44675.725694422348</v>
      </c>
      <c r="M6839" s="15"/>
    </row>
    <row r="6840" spans="12:13">
      <c r="L6840" s="3">
        <v>44675.729166644567</v>
      </c>
      <c r="M6840" s="15"/>
    </row>
    <row r="6841" spans="12:13">
      <c r="L6841" s="3">
        <v>44675.732638866786</v>
      </c>
      <c r="M6841" s="15"/>
    </row>
    <row r="6842" spans="12:13">
      <c r="L6842" s="3">
        <v>44675.736111089005</v>
      </c>
      <c r="M6842" s="15"/>
    </row>
    <row r="6843" spans="12:13">
      <c r="L6843" s="3">
        <v>44675.739583311224</v>
      </c>
      <c r="M6843" s="15"/>
    </row>
    <row r="6844" spans="12:13">
      <c r="L6844" s="3">
        <v>44675.743055533443</v>
      </c>
      <c r="M6844" s="15"/>
    </row>
    <row r="6845" spans="12:13">
      <c r="L6845" s="3">
        <v>44675.746527755662</v>
      </c>
      <c r="M6845" s="15"/>
    </row>
    <row r="6846" spans="12:13">
      <c r="L6846" s="3">
        <v>44675.749999977881</v>
      </c>
      <c r="M6846" s="15"/>
    </row>
    <row r="6847" spans="12:13">
      <c r="L6847" s="3">
        <v>44675.7534722001</v>
      </c>
      <c r="M6847" s="15"/>
    </row>
    <row r="6848" spans="12:13">
      <c r="L6848" s="3">
        <v>44675.756944422319</v>
      </c>
      <c r="M6848" s="15"/>
    </row>
    <row r="6849" spans="12:13">
      <c r="L6849" s="3">
        <v>44675.760416644538</v>
      </c>
      <c r="M6849" s="15"/>
    </row>
    <row r="6850" spans="12:13">
      <c r="L6850" s="3">
        <v>44675.763888866757</v>
      </c>
      <c r="M6850" s="15"/>
    </row>
    <row r="6851" spans="12:13">
      <c r="L6851" s="3">
        <v>44675.767361088976</v>
      </c>
      <c r="M6851" s="15"/>
    </row>
    <row r="6852" spans="12:13">
      <c r="L6852" s="3">
        <v>44675.770833311195</v>
      </c>
      <c r="M6852" s="15"/>
    </row>
    <row r="6853" spans="12:13">
      <c r="L6853" s="3">
        <v>44675.774305533414</v>
      </c>
      <c r="M6853" s="15"/>
    </row>
    <row r="6854" spans="12:13">
      <c r="L6854" s="3">
        <v>44675.777777755633</v>
      </c>
      <c r="M6854" s="15"/>
    </row>
    <row r="6855" spans="12:13">
      <c r="L6855" s="3">
        <v>44675.781249977852</v>
      </c>
      <c r="M6855" s="15"/>
    </row>
    <row r="6856" spans="12:13">
      <c r="L6856" s="3">
        <v>44675.784722200071</v>
      </c>
      <c r="M6856" s="15"/>
    </row>
    <row r="6857" spans="12:13">
      <c r="L6857" s="3">
        <v>44675.78819442229</v>
      </c>
      <c r="M6857" s="15"/>
    </row>
    <row r="6858" spans="12:13">
      <c r="L6858" s="3">
        <v>44675.791666644509</v>
      </c>
      <c r="M6858" s="15"/>
    </row>
    <row r="6859" spans="12:13">
      <c r="L6859" s="3">
        <v>44675.795138866728</v>
      </c>
      <c r="M6859" s="15"/>
    </row>
    <row r="6860" spans="12:13">
      <c r="L6860" s="3">
        <v>44675.798611088947</v>
      </c>
      <c r="M6860" s="15"/>
    </row>
    <row r="6861" spans="12:13">
      <c r="L6861" s="3">
        <v>44675.802083311166</v>
      </c>
      <c r="M6861" s="15"/>
    </row>
    <row r="6862" spans="12:13">
      <c r="L6862" s="3">
        <v>44675.805555533385</v>
      </c>
      <c r="M6862" s="15"/>
    </row>
    <row r="6863" spans="12:13">
      <c r="L6863" s="3">
        <v>44675.809027755604</v>
      </c>
      <c r="M6863" s="15"/>
    </row>
    <row r="6864" spans="12:13">
      <c r="L6864" s="3">
        <v>44675.812499977823</v>
      </c>
      <c r="M6864" s="15"/>
    </row>
    <row r="6865" spans="12:13">
      <c r="L6865" s="3">
        <v>44675.815972200042</v>
      </c>
      <c r="M6865" s="15"/>
    </row>
    <row r="6866" spans="12:13">
      <c r="L6866" s="3">
        <v>44675.819444422261</v>
      </c>
      <c r="M6866" s="15"/>
    </row>
    <row r="6867" spans="12:13">
      <c r="L6867" s="3">
        <v>44675.82291664448</v>
      </c>
      <c r="M6867" s="15"/>
    </row>
    <row r="6868" spans="12:13">
      <c r="L6868" s="3">
        <v>44675.826388866699</v>
      </c>
      <c r="M6868" s="15"/>
    </row>
    <row r="6869" spans="12:13">
      <c r="L6869" s="3">
        <v>44675.829861088918</v>
      </c>
      <c r="M6869" s="15"/>
    </row>
    <row r="6870" spans="12:13">
      <c r="L6870" s="3">
        <v>44675.833333311137</v>
      </c>
      <c r="M6870" s="15"/>
    </row>
    <row r="6871" spans="12:13">
      <c r="L6871" s="3">
        <v>44675.836805533356</v>
      </c>
      <c r="M6871" s="15"/>
    </row>
    <row r="6872" spans="12:13">
      <c r="L6872" s="3">
        <v>44675.840277755575</v>
      </c>
      <c r="M6872" s="15"/>
    </row>
    <row r="6873" spans="12:13">
      <c r="L6873" s="3">
        <v>44675.843749977794</v>
      </c>
      <c r="M6873" s="15"/>
    </row>
    <row r="6874" spans="12:13">
      <c r="L6874" s="3">
        <v>44675.847222200013</v>
      </c>
      <c r="M6874" s="15"/>
    </row>
    <row r="6875" spans="12:13">
      <c r="L6875" s="3">
        <v>44675.850694422232</v>
      </c>
      <c r="M6875" s="15"/>
    </row>
    <row r="6876" spans="12:13">
      <c r="L6876" s="3">
        <v>44675.854166644451</v>
      </c>
      <c r="M6876" s="15"/>
    </row>
    <row r="6877" spans="12:13">
      <c r="L6877" s="3">
        <v>44675.85763886667</v>
      </c>
      <c r="M6877" s="15"/>
    </row>
    <row r="6878" spans="12:13">
      <c r="L6878" s="3">
        <v>44675.861111088889</v>
      </c>
      <c r="M6878" s="15"/>
    </row>
    <row r="6879" spans="12:13">
      <c r="L6879" s="3">
        <v>44675.864583311108</v>
      </c>
      <c r="M6879" s="15"/>
    </row>
    <row r="6880" spans="12:13">
      <c r="L6880" s="3">
        <v>44675.868055533327</v>
      </c>
      <c r="M6880" s="15"/>
    </row>
    <row r="6881" spans="12:13">
      <c r="L6881" s="3">
        <v>44675.871527755546</v>
      </c>
      <c r="M6881" s="15"/>
    </row>
    <row r="6882" spans="12:13">
      <c r="L6882" s="3">
        <v>44675.874999977765</v>
      </c>
      <c r="M6882" s="15"/>
    </row>
    <row r="6883" spans="12:13">
      <c r="L6883" s="3">
        <v>44675.878472199984</v>
      </c>
      <c r="M6883" s="15"/>
    </row>
    <row r="6884" spans="12:13">
      <c r="L6884" s="3">
        <v>44675.881944422203</v>
      </c>
      <c r="M6884" s="15"/>
    </row>
    <row r="6885" spans="12:13">
      <c r="L6885" s="3">
        <v>44675.885416644422</v>
      </c>
      <c r="M6885" s="15"/>
    </row>
    <row r="6886" spans="12:13">
      <c r="L6886" s="3">
        <v>44675.888888866641</v>
      </c>
      <c r="M6886" s="15"/>
    </row>
    <row r="6887" spans="12:13">
      <c r="L6887" s="3">
        <v>44675.89236108886</v>
      </c>
      <c r="M6887" s="15"/>
    </row>
    <row r="6888" spans="12:13">
      <c r="L6888" s="3">
        <v>44675.895833311079</v>
      </c>
      <c r="M6888" s="15"/>
    </row>
    <row r="6889" spans="12:13">
      <c r="L6889" s="3">
        <v>44675.899305533298</v>
      </c>
      <c r="M6889" s="15"/>
    </row>
    <row r="6890" spans="12:13">
      <c r="L6890" s="3">
        <v>44675.902777755517</v>
      </c>
      <c r="M6890" s="15"/>
    </row>
    <row r="6891" spans="12:13">
      <c r="L6891" s="3">
        <v>44675.906249977736</v>
      </c>
      <c r="M6891" s="15"/>
    </row>
    <row r="6892" spans="12:13">
      <c r="L6892" s="3">
        <v>44675.909722199955</v>
      </c>
      <c r="M6892" s="15"/>
    </row>
    <row r="6893" spans="12:13">
      <c r="L6893" s="3">
        <v>44675.913194422174</v>
      </c>
      <c r="M6893" s="15"/>
    </row>
    <row r="6894" spans="12:13">
      <c r="L6894" s="3">
        <v>44675.916666644393</v>
      </c>
      <c r="M6894" s="15"/>
    </row>
    <row r="6895" spans="12:13">
      <c r="L6895" s="3">
        <v>44675.920138866612</v>
      </c>
      <c r="M6895" s="15"/>
    </row>
    <row r="6896" spans="12:13">
      <c r="L6896" s="3">
        <v>44675.923611088831</v>
      </c>
      <c r="M6896" s="15"/>
    </row>
    <row r="6897" spans="12:13">
      <c r="L6897" s="3">
        <v>44675.92708331105</v>
      </c>
      <c r="M6897" s="15"/>
    </row>
    <row r="6898" spans="12:13">
      <c r="L6898" s="3">
        <v>44675.930555533268</v>
      </c>
      <c r="M6898" s="15"/>
    </row>
    <row r="6899" spans="12:13">
      <c r="L6899" s="3">
        <v>44675.934027755487</v>
      </c>
      <c r="M6899" s="15"/>
    </row>
    <row r="6900" spans="12:13">
      <c r="L6900" s="3">
        <v>44675.937499977706</v>
      </c>
      <c r="M6900" s="15"/>
    </row>
    <row r="6901" spans="12:13">
      <c r="L6901" s="3">
        <v>44675.940972199925</v>
      </c>
      <c r="M6901" s="15"/>
    </row>
    <row r="6902" spans="12:13">
      <c r="L6902" s="3">
        <v>44675.944444422144</v>
      </c>
      <c r="M6902" s="15"/>
    </row>
    <row r="6903" spans="12:13">
      <c r="L6903" s="3">
        <v>44675.947916644363</v>
      </c>
      <c r="M6903" s="15"/>
    </row>
    <row r="6904" spans="12:13">
      <c r="L6904" s="3">
        <v>44675.951388866582</v>
      </c>
      <c r="M6904" s="15"/>
    </row>
    <row r="6905" spans="12:13">
      <c r="L6905" s="3">
        <v>44675.954861088801</v>
      </c>
      <c r="M6905" s="15"/>
    </row>
    <row r="6906" spans="12:13">
      <c r="L6906" s="3">
        <v>44675.95833331102</v>
      </c>
      <c r="M6906" s="15"/>
    </row>
    <row r="6907" spans="12:13">
      <c r="L6907" s="3">
        <v>44675.961805533239</v>
      </c>
      <c r="M6907" s="15"/>
    </row>
    <row r="6908" spans="12:13">
      <c r="L6908" s="3">
        <v>44675.965277755458</v>
      </c>
      <c r="M6908" s="15"/>
    </row>
    <row r="6909" spans="12:13">
      <c r="L6909" s="3">
        <v>44675.968749977677</v>
      </c>
      <c r="M6909" s="15"/>
    </row>
    <row r="6910" spans="12:13">
      <c r="L6910" s="3">
        <v>44675.972222199896</v>
      </c>
      <c r="M6910" s="15"/>
    </row>
    <row r="6911" spans="12:13">
      <c r="L6911" s="3">
        <v>44675.975694422115</v>
      </c>
      <c r="M6911" s="15"/>
    </row>
    <row r="6912" spans="12:13">
      <c r="L6912" s="3">
        <v>44675.979166644334</v>
      </c>
      <c r="M6912" s="15"/>
    </row>
    <row r="6913" spans="12:13">
      <c r="L6913" s="3">
        <v>44675.982638866553</v>
      </c>
      <c r="M6913" s="15"/>
    </row>
    <row r="6914" spans="12:13">
      <c r="L6914" s="3">
        <v>44675.986111088772</v>
      </c>
      <c r="M6914" s="15"/>
    </row>
    <row r="6915" spans="12:13">
      <c r="L6915" s="3">
        <v>44675.989583310991</v>
      </c>
      <c r="M6915" s="15"/>
    </row>
    <row r="6916" spans="12:13">
      <c r="L6916" s="3">
        <v>44675.99305553321</v>
      </c>
      <c r="M6916" s="15"/>
    </row>
    <row r="6917" spans="12:13">
      <c r="L6917" s="3">
        <v>44675.996527755429</v>
      </c>
      <c r="M6917" s="15"/>
    </row>
    <row r="6918" spans="12:13">
      <c r="L6918" s="3">
        <v>44675.999999977648</v>
      </c>
      <c r="M6918" s="15"/>
    </row>
    <row r="6919" spans="12:13">
      <c r="L6919" s="3">
        <v>44676.003472199867</v>
      </c>
      <c r="M6919" s="15"/>
    </row>
    <row r="6920" spans="12:13">
      <c r="L6920" s="3">
        <v>44676.006944422086</v>
      </c>
      <c r="M6920" s="15"/>
    </row>
    <row r="6921" spans="12:13">
      <c r="L6921" s="3">
        <v>44676.010416644305</v>
      </c>
      <c r="M6921" s="15"/>
    </row>
    <row r="6922" spans="12:13">
      <c r="L6922" s="3">
        <v>44676.013888866524</v>
      </c>
      <c r="M6922" s="15"/>
    </row>
    <row r="6923" spans="12:13">
      <c r="L6923" s="3">
        <v>44676.017361088743</v>
      </c>
      <c r="M6923" s="15"/>
    </row>
    <row r="6924" spans="12:13">
      <c r="L6924" s="3">
        <v>44676.020833310962</v>
      </c>
      <c r="M6924" s="15"/>
    </row>
    <row r="6925" spans="12:13">
      <c r="L6925" s="3">
        <v>44676.024305533181</v>
      </c>
      <c r="M6925" s="15"/>
    </row>
    <row r="6926" spans="12:13">
      <c r="L6926" s="3">
        <v>44676.0277777554</v>
      </c>
      <c r="M6926" s="15"/>
    </row>
    <row r="6927" spans="12:13">
      <c r="L6927" s="3">
        <v>44676.031249977619</v>
      </c>
      <c r="M6927" s="15"/>
    </row>
    <row r="6928" spans="12:13">
      <c r="L6928" s="3">
        <v>44676.034722199838</v>
      </c>
      <c r="M6928" s="15"/>
    </row>
    <row r="6929" spans="12:13">
      <c r="L6929" s="3">
        <v>44676.038194422057</v>
      </c>
      <c r="M6929" s="15"/>
    </row>
    <row r="6930" spans="12:13">
      <c r="L6930" s="3">
        <v>44676.041666644276</v>
      </c>
      <c r="M6930" s="15"/>
    </row>
    <row r="6931" spans="12:13">
      <c r="L6931" s="3">
        <v>44676.045138866495</v>
      </c>
      <c r="M6931" s="15"/>
    </row>
    <row r="6932" spans="12:13">
      <c r="L6932" s="3">
        <v>44676.048611088714</v>
      </c>
      <c r="M6932" s="15"/>
    </row>
    <row r="6933" spans="12:13">
      <c r="L6933" s="3">
        <v>44676.052083310933</v>
      </c>
      <c r="M6933" s="15"/>
    </row>
    <row r="6934" spans="12:13">
      <c r="L6934" s="3">
        <v>44676.055555533152</v>
      </c>
      <c r="M6934" s="15"/>
    </row>
    <row r="6935" spans="12:13">
      <c r="L6935" s="3">
        <v>44676.059027755371</v>
      </c>
      <c r="M6935" s="15"/>
    </row>
    <row r="6936" spans="12:13">
      <c r="L6936" s="3">
        <v>44676.06249997759</v>
      </c>
      <c r="M6936" s="15"/>
    </row>
    <row r="6937" spans="12:13">
      <c r="L6937" s="3">
        <v>44676.065972199809</v>
      </c>
      <c r="M6937" s="15"/>
    </row>
    <row r="6938" spans="12:13">
      <c r="L6938" s="3">
        <v>44676.069444422028</v>
      </c>
      <c r="M6938" s="15"/>
    </row>
    <row r="6939" spans="12:13">
      <c r="L6939" s="3">
        <v>44676.072916644247</v>
      </c>
      <c r="M6939" s="15"/>
    </row>
    <row r="6940" spans="12:13">
      <c r="L6940" s="3">
        <v>44676.076388866466</v>
      </c>
      <c r="M6940" s="15"/>
    </row>
    <row r="6941" spans="12:13">
      <c r="L6941" s="3">
        <v>44676.079861088685</v>
      </c>
      <c r="M6941" s="15"/>
    </row>
    <row r="6942" spans="12:13">
      <c r="L6942" s="3">
        <v>44676.083333310904</v>
      </c>
      <c r="M6942" s="15"/>
    </row>
    <row r="6943" spans="12:13">
      <c r="L6943" s="3">
        <v>44676.086805533123</v>
      </c>
      <c r="M6943" s="15"/>
    </row>
    <row r="6944" spans="12:13">
      <c r="L6944" s="3">
        <v>44676.090277755342</v>
      </c>
      <c r="M6944" s="15"/>
    </row>
    <row r="6945" spans="12:13">
      <c r="L6945" s="3">
        <v>44676.093749977561</v>
      </c>
      <c r="M6945" s="15"/>
    </row>
    <row r="6946" spans="12:13">
      <c r="L6946" s="3">
        <v>44676.09722219978</v>
      </c>
      <c r="M6946" s="15"/>
    </row>
    <row r="6947" spans="12:13">
      <c r="L6947" s="3">
        <v>44676.100694421999</v>
      </c>
      <c r="M6947" s="15"/>
    </row>
    <row r="6948" spans="12:13">
      <c r="L6948" s="3">
        <v>44676.104166644218</v>
      </c>
      <c r="M6948" s="15"/>
    </row>
    <row r="6949" spans="12:13">
      <c r="L6949" s="3">
        <v>44676.107638866437</v>
      </c>
      <c r="M6949" s="15"/>
    </row>
    <row r="6950" spans="12:13">
      <c r="L6950" s="3">
        <v>44676.111111088656</v>
      </c>
      <c r="M6950" s="15"/>
    </row>
    <row r="6951" spans="12:13">
      <c r="L6951" s="3">
        <v>44676.114583310875</v>
      </c>
      <c r="M6951" s="15"/>
    </row>
    <row r="6952" spans="12:13">
      <c r="L6952" s="3">
        <v>44676.118055533094</v>
      </c>
      <c r="M6952" s="15"/>
    </row>
    <row r="6953" spans="12:13">
      <c r="L6953" s="3">
        <v>44676.121527755313</v>
      </c>
      <c r="M6953" s="15"/>
    </row>
    <row r="6954" spans="12:13">
      <c r="L6954" s="3">
        <v>44676.124999977532</v>
      </c>
      <c r="M6954" s="15"/>
    </row>
    <row r="6955" spans="12:13">
      <c r="L6955" s="3">
        <v>44676.128472199751</v>
      </c>
      <c r="M6955" s="15"/>
    </row>
    <row r="6956" spans="12:13">
      <c r="L6956" s="3">
        <v>44676.13194442197</v>
      </c>
      <c r="M6956" s="15"/>
    </row>
    <row r="6957" spans="12:13">
      <c r="L6957" s="3">
        <v>44676.135416644189</v>
      </c>
      <c r="M6957" s="15"/>
    </row>
    <row r="6958" spans="12:13">
      <c r="L6958" s="3">
        <v>44676.138888866408</v>
      </c>
      <c r="M6958" s="15"/>
    </row>
    <row r="6959" spans="12:13">
      <c r="L6959" s="3">
        <v>44676.142361088627</v>
      </c>
      <c r="M6959" s="15"/>
    </row>
    <row r="6960" spans="12:13">
      <c r="L6960" s="3">
        <v>44676.145833310846</v>
      </c>
      <c r="M6960" s="15"/>
    </row>
    <row r="6961" spans="12:13">
      <c r="L6961" s="3">
        <v>44676.149305533065</v>
      </c>
      <c r="M6961" s="15"/>
    </row>
    <row r="6962" spans="12:13">
      <c r="L6962" s="3">
        <v>44676.152777755284</v>
      </c>
      <c r="M6962" s="15"/>
    </row>
    <row r="6963" spans="12:13">
      <c r="L6963" s="3">
        <v>44676.156249977503</v>
      </c>
      <c r="M6963" s="15"/>
    </row>
    <row r="6964" spans="12:13">
      <c r="L6964" s="3">
        <v>44676.159722199722</v>
      </c>
      <c r="M6964" s="15"/>
    </row>
    <row r="6965" spans="12:13">
      <c r="L6965" s="3">
        <v>44676.163194421941</v>
      </c>
      <c r="M6965" s="15"/>
    </row>
    <row r="6966" spans="12:13">
      <c r="L6966" s="3">
        <v>44676.16666664416</v>
      </c>
      <c r="M6966" s="15"/>
    </row>
    <row r="6967" spans="12:13">
      <c r="L6967" s="3">
        <v>44676.170138866379</v>
      </c>
      <c r="M6967" s="15"/>
    </row>
    <row r="6968" spans="12:13">
      <c r="L6968" s="3">
        <v>44676.173611088598</v>
      </c>
      <c r="M6968" s="15"/>
    </row>
    <row r="6969" spans="12:13">
      <c r="L6969" s="3">
        <v>44676.177083310817</v>
      </c>
      <c r="M6969" s="15"/>
    </row>
    <row r="6970" spans="12:13">
      <c r="L6970" s="3">
        <v>44676.180555533036</v>
      </c>
      <c r="M6970" s="15"/>
    </row>
    <row r="6971" spans="12:13">
      <c r="L6971" s="3">
        <v>44676.184027755255</v>
      </c>
      <c r="M6971" s="15"/>
    </row>
    <row r="6972" spans="12:13">
      <c r="L6972" s="3">
        <v>44676.187499977474</v>
      </c>
      <c r="M6972" s="15"/>
    </row>
    <row r="6973" spans="12:13">
      <c r="L6973" s="3">
        <v>44676.190972199693</v>
      </c>
      <c r="M6973" s="15"/>
    </row>
    <row r="6974" spans="12:13">
      <c r="L6974" s="3">
        <v>44676.194444421912</v>
      </c>
      <c r="M6974" s="15"/>
    </row>
    <row r="6975" spans="12:13">
      <c r="L6975" s="3">
        <v>44676.197916644131</v>
      </c>
      <c r="M6975" s="15"/>
    </row>
    <row r="6976" spans="12:13">
      <c r="L6976" s="3">
        <v>44676.20138886635</v>
      </c>
      <c r="M6976" s="15"/>
    </row>
    <row r="6977" spans="12:13">
      <c r="L6977" s="3">
        <v>44676.204861088569</v>
      </c>
      <c r="M6977" s="15"/>
    </row>
    <row r="6978" spans="12:13">
      <c r="L6978" s="3">
        <v>44676.208333310788</v>
      </c>
      <c r="M6978" s="15"/>
    </row>
    <row r="6979" spans="12:13">
      <c r="L6979" s="3">
        <v>44676.211805533007</v>
      </c>
      <c r="M6979" s="15"/>
    </row>
    <row r="6980" spans="12:13">
      <c r="L6980" s="3">
        <v>44676.215277755226</v>
      </c>
      <c r="M6980" s="15"/>
    </row>
    <row r="6981" spans="12:13">
      <c r="L6981" s="3">
        <v>44676.218749977445</v>
      </c>
      <c r="M6981" s="15"/>
    </row>
    <row r="6982" spans="12:13">
      <c r="L6982" s="3">
        <v>44676.222222199664</v>
      </c>
      <c r="M6982" s="15"/>
    </row>
    <row r="6983" spans="12:13">
      <c r="L6983" s="3">
        <v>44676.225694421883</v>
      </c>
      <c r="M6983" s="15"/>
    </row>
    <row r="6984" spans="12:13">
      <c r="L6984" s="3">
        <v>44676.229166644101</v>
      </c>
      <c r="M6984" s="15"/>
    </row>
    <row r="6985" spans="12:13">
      <c r="L6985" s="3">
        <v>44676.23263886632</v>
      </c>
      <c r="M6985" s="15"/>
    </row>
    <row r="6986" spans="12:13">
      <c r="L6986" s="3">
        <v>44676.236111088539</v>
      </c>
      <c r="M6986" s="15"/>
    </row>
    <row r="6987" spans="12:13">
      <c r="L6987" s="3">
        <v>44676.239583310758</v>
      </c>
      <c r="M6987" s="15"/>
    </row>
    <row r="6988" spans="12:13">
      <c r="L6988" s="3">
        <v>44676.243055532977</v>
      </c>
      <c r="M6988" s="15"/>
    </row>
    <row r="6989" spans="12:13">
      <c r="L6989" s="3">
        <v>44676.246527755196</v>
      </c>
      <c r="M6989" s="15"/>
    </row>
    <row r="6990" spans="12:13">
      <c r="L6990" s="3">
        <v>44676.249999977415</v>
      </c>
      <c r="M6990" s="15"/>
    </row>
    <row r="6991" spans="12:13">
      <c r="L6991" s="3">
        <v>44676.253472199634</v>
      </c>
      <c r="M6991" s="15"/>
    </row>
    <row r="6992" spans="12:13">
      <c r="L6992" s="3">
        <v>44676.256944421853</v>
      </c>
      <c r="M6992" s="15"/>
    </row>
    <row r="6993" spans="12:13">
      <c r="L6993" s="3">
        <v>44676.260416644072</v>
      </c>
      <c r="M6993" s="15"/>
    </row>
    <row r="6994" spans="12:13">
      <c r="L6994" s="3">
        <v>44676.263888866291</v>
      </c>
      <c r="M6994" s="15"/>
    </row>
    <row r="6995" spans="12:13">
      <c r="L6995" s="3">
        <v>44676.26736108851</v>
      </c>
      <c r="M6995" s="15"/>
    </row>
    <row r="6996" spans="12:13">
      <c r="L6996" s="3">
        <v>44676.270833310729</v>
      </c>
      <c r="M6996" s="15"/>
    </row>
    <row r="6997" spans="12:13">
      <c r="L6997" s="3">
        <v>44676.274305532948</v>
      </c>
      <c r="M6997" s="15"/>
    </row>
    <row r="6998" spans="12:13">
      <c r="L6998" s="3">
        <v>44676.277777755167</v>
      </c>
      <c r="M6998" s="15"/>
    </row>
    <row r="6999" spans="12:13">
      <c r="L6999" s="3">
        <v>44676.281249977386</v>
      </c>
      <c r="M6999" s="15"/>
    </row>
    <row r="7000" spans="12:13">
      <c r="L7000" s="3">
        <v>44676.284722199605</v>
      </c>
      <c r="M7000" s="15"/>
    </row>
    <row r="7001" spans="12:13">
      <c r="L7001" s="3">
        <v>44676.288194421824</v>
      </c>
      <c r="M7001" s="15"/>
    </row>
    <row r="7002" spans="12:13">
      <c r="L7002" s="3">
        <v>44676.291666644043</v>
      </c>
      <c r="M7002" s="15"/>
    </row>
    <row r="7003" spans="12:13">
      <c r="L7003" s="3">
        <v>44676.295138866262</v>
      </c>
      <c r="M7003" s="15"/>
    </row>
    <row r="7004" spans="12:13">
      <c r="L7004" s="3">
        <v>44676.298611088481</v>
      </c>
      <c r="M7004" s="15"/>
    </row>
    <row r="7005" spans="12:13">
      <c r="L7005" s="3">
        <v>44676.3020833107</v>
      </c>
      <c r="M7005" s="15"/>
    </row>
    <row r="7006" spans="12:13">
      <c r="L7006" s="3">
        <v>44676.305555532919</v>
      </c>
      <c r="M7006" s="15"/>
    </row>
    <row r="7007" spans="12:13">
      <c r="L7007" s="3">
        <v>44676.309027755138</v>
      </c>
      <c r="M7007" s="15"/>
    </row>
    <row r="7008" spans="12:13">
      <c r="L7008" s="3">
        <v>44676.312499977357</v>
      </c>
      <c r="M7008" s="15"/>
    </row>
    <row r="7009" spans="12:13">
      <c r="L7009" s="3">
        <v>44676.315972199576</v>
      </c>
      <c r="M7009" s="15"/>
    </row>
    <row r="7010" spans="12:13">
      <c r="L7010" s="3">
        <v>44676.319444421795</v>
      </c>
      <c r="M7010" s="15"/>
    </row>
    <row r="7011" spans="12:13">
      <c r="L7011" s="3">
        <v>44676.322916644014</v>
      </c>
      <c r="M7011" s="15"/>
    </row>
    <row r="7012" spans="12:13">
      <c r="L7012" s="3">
        <v>44676.326388866233</v>
      </c>
      <c r="M7012" s="15"/>
    </row>
    <row r="7013" spans="12:13">
      <c r="L7013" s="3">
        <v>44676.329861088452</v>
      </c>
      <c r="M7013" s="15"/>
    </row>
    <row r="7014" spans="12:13">
      <c r="L7014" s="3">
        <v>44676.333333310671</v>
      </c>
      <c r="M7014" s="15"/>
    </row>
    <row r="7015" spans="12:13">
      <c r="L7015" s="3">
        <v>44676.33680553289</v>
      </c>
      <c r="M7015" s="15"/>
    </row>
    <row r="7016" spans="12:13">
      <c r="L7016" s="3">
        <v>44676.340277755109</v>
      </c>
      <c r="M7016" s="15"/>
    </row>
    <row r="7017" spans="12:13">
      <c r="L7017" s="3">
        <v>44676.343749977328</v>
      </c>
      <c r="M7017" s="15"/>
    </row>
    <row r="7018" spans="12:13">
      <c r="L7018" s="3">
        <v>44676.347222199547</v>
      </c>
      <c r="M7018" s="15"/>
    </row>
    <row r="7019" spans="12:13">
      <c r="L7019" s="3">
        <v>44676.350694421766</v>
      </c>
      <c r="M7019" s="15"/>
    </row>
    <row r="7020" spans="12:13">
      <c r="L7020" s="3">
        <v>44676.354166643985</v>
      </c>
      <c r="M7020" s="15"/>
    </row>
    <row r="7021" spans="12:13">
      <c r="L7021" s="3">
        <v>44676.357638866204</v>
      </c>
      <c r="M7021" s="15"/>
    </row>
    <row r="7022" spans="12:13">
      <c r="L7022" s="3">
        <v>44676.361111088423</v>
      </c>
      <c r="M7022" s="15"/>
    </row>
    <row r="7023" spans="12:13">
      <c r="L7023" s="3">
        <v>44676.364583310642</v>
      </c>
      <c r="M7023" s="15"/>
    </row>
    <row r="7024" spans="12:13">
      <c r="L7024" s="3">
        <v>44676.368055532861</v>
      </c>
      <c r="M7024" s="15"/>
    </row>
    <row r="7025" spans="12:13">
      <c r="L7025" s="3">
        <v>44676.37152775508</v>
      </c>
      <c r="M7025" s="15"/>
    </row>
    <row r="7026" spans="12:13">
      <c r="L7026" s="3">
        <v>44676.374999977299</v>
      </c>
      <c r="M7026" s="15"/>
    </row>
    <row r="7027" spans="12:13">
      <c r="L7027" s="3">
        <v>44676.378472199518</v>
      </c>
      <c r="M7027" s="15"/>
    </row>
    <row r="7028" spans="12:13">
      <c r="L7028" s="3">
        <v>44676.381944421737</v>
      </c>
      <c r="M7028" s="15"/>
    </row>
    <row r="7029" spans="12:13">
      <c r="L7029" s="3">
        <v>44676.385416643956</v>
      </c>
      <c r="M7029" s="15"/>
    </row>
    <row r="7030" spans="12:13">
      <c r="L7030" s="3">
        <v>44676.388888866175</v>
      </c>
      <c r="M7030" s="15"/>
    </row>
    <row r="7031" spans="12:13">
      <c r="L7031" s="3">
        <v>44676.392361088394</v>
      </c>
      <c r="M7031" s="15"/>
    </row>
    <row r="7032" spans="12:13">
      <c r="L7032" s="3">
        <v>44676.395833310613</v>
      </c>
      <c r="M7032" s="15"/>
    </row>
    <row r="7033" spans="12:13">
      <c r="L7033" s="3">
        <v>44676.399305532832</v>
      </c>
      <c r="M7033" s="15"/>
    </row>
    <row r="7034" spans="12:13">
      <c r="L7034" s="3">
        <v>44676.402777755051</v>
      </c>
      <c r="M7034" s="15"/>
    </row>
    <row r="7035" spans="12:13">
      <c r="L7035" s="3">
        <v>44676.40624997727</v>
      </c>
      <c r="M7035" s="15"/>
    </row>
    <row r="7036" spans="12:13">
      <c r="L7036" s="3">
        <v>44676.409722199489</v>
      </c>
      <c r="M7036" s="15"/>
    </row>
    <row r="7037" spans="12:13">
      <c r="L7037" s="3">
        <v>44676.413194421708</v>
      </c>
      <c r="M7037" s="15"/>
    </row>
    <row r="7038" spans="12:13">
      <c r="L7038" s="3">
        <v>44676.416666643927</v>
      </c>
      <c r="M7038" s="15"/>
    </row>
    <row r="7039" spans="12:13">
      <c r="L7039" s="3">
        <v>44676.420138866146</v>
      </c>
      <c r="M7039" s="15"/>
    </row>
    <row r="7040" spans="12:13">
      <c r="L7040" s="3">
        <v>44676.423611088365</v>
      </c>
      <c r="M7040" s="15"/>
    </row>
    <row r="7041" spans="12:13">
      <c r="L7041" s="3">
        <v>44676.427083310584</v>
      </c>
      <c r="M7041" s="15"/>
    </row>
    <row r="7042" spans="12:13">
      <c r="L7042" s="3">
        <v>44676.430555532803</v>
      </c>
      <c r="M7042" s="15"/>
    </row>
    <row r="7043" spans="12:13">
      <c r="L7043" s="3">
        <v>44676.434027755022</v>
      </c>
      <c r="M7043" s="15"/>
    </row>
    <row r="7044" spans="12:13">
      <c r="L7044" s="3">
        <v>44676.437499977241</v>
      </c>
      <c r="M7044" s="15"/>
    </row>
    <row r="7045" spans="12:13">
      <c r="L7045" s="3">
        <v>44676.44097219946</v>
      </c>
      <c r="M7045" s="15"/>
    </row>
    <row r="7046" spans="12:13">
      <c r="L7046" s="3">
        <v>44676.444444421679</v>
      </c>
      <c r="M7046" s="15"/>
    </row>
    <row r="7047" spans="12:13">
      <c r="L7047" s="3">
        <v>44676.447916643898</v>
      </c>
      <c r="M7047" s="15"/>
    </row>
    <row r="7048" spans="12:13">
      <c r="L7048" s="3">
        <v>44676.451388866117</v>
      </c>
      <c r="M7048" s="15"/>
    </row>
    <row r="7049" spans="12:13">
      <c r="L7049" s="3">
        <v>44676.454861088336</v>
      </c>
      <c r="M7049" s="15"/>
    </row>
    <row r="7050" spans="12:13">
      <c r="L7050" s="3">
        <v>44676.458333310555</v>
      </c>
      <c r="M7050" s="15"/>
    </row>
    <row r="7051" spans="12:13">
      <c r="L7051" s="3">
        <v>44676.461805532774</v>
      </c>
      <c r="M7051" s="15"/>
    </row>
    <row r="7052" spans="12:13">
      <c r="L7052" s="3">
        <v>44676.465277754993</v>
      </c>
      <c r="M7052" s="15"/>
    </row>
    <row r="7053" spans="12:13">
      <c r="L7053" s="3">
        <v>44676.468749977212</v>
      </c>
      <c r="M7053" s="15"/>
    </row>
    <row r="7054" spans="12:13">
      <c r="L7054" s="3">
        <v>44676.472222199431</v>
      </c>
      <c r="M7054" s="15"/>
    </row>
    <row r="7055" spans="12:13">
      <c r="L7055" s="3">
        <v>44676.47569442165</v>
      </c>
      <c r="M7055" s="15"/>
    </row>
    <row r="7056" spans="12:13">
      <c r="L7056" s="3">
        <v>44676.479166643869</v>
      </c>
      <c r="M7056" s="15"/>
    </row>
    <row r="7057" spans="12:13">
      <c r="L7057" s="3">
        <v>44676.482638866088</v>
      </c>
      <c r="M7057" s="15"/>
    </row>
    <row r="7058" spans="12:13">
      <c r="L7058" s="3">
        <v>44676.486111088307</v>
      </c>
      <c r="M7058" s="15"/>
    </row>
    <row r="7059" spans="12:13">
      <c r="L7059" s="3">
        <v>44676.489583310526</v>
      </c>
      <c r="M7059" s="15"/>
    </row>
    <row r="7060" spans="12:13">
      <c r="L7060" s="3">
        <v>44676.493055532745</v>
      </c>
      <c r="M7060" s="15"/>
    </row>
    <row r="7061" spans="12:13">
      <c r="L7061" s="3">
        <v>44676.496527754964</v>
      </c>
      <c r="M7061" s="15"/>
    </row>
    <row r="7062" spans="12:13">
      <c r="L7062" s="3">
        <v>44676.499999977183</v>
      </c>
      <c r="M7062" s="15"/>
    </row>
    <row r="7063" spans="12:13">
      <c r="L7063" s="3">
        <v>44676.503472199402</v>
      </c>
      <c r="M7063" s="15"/>
    </row>
    <row r="7064" spans="12:13">
      <c r="L7064" s="3">
        <v>44676.506944421621</v>
      </c>
      <c r="M7064" s="15"/>
    </row>
    <row r="7065" spans="12:13">
      <c r="L7065" s="3">
        <v>44676.51041664384</v>
      </c>
      <c r="M7065" s="15"/>
    </row>
    <row r="7066" spans="12:13">
      <c r="L7066" s="3">
        <v>44676.513888866059</v>
      </c>
      <c r="M7066" s="15"/>
    </row>
    <row r="7067" spans="12:13">
      <c r="L7067" s="3">
        <v>44676.517361088278</v>
      </c>
      <c r="M7067" s="15"/>
    </row>
    <row r="7068" spans="12:13">
      <c r="L7068" s="3">
        <v>44676.520833310497</v>
      </c>
      <c r="M7068" s="15"/>
    </row>
    <row r="7069" spans="12:13">
      <c r="L7069" s="3">
        <v>44676.524305532716</v>
      </c>
      <c r="M7069" s="15"/>
    </row>
    <row r="7070" spans="12:13">
      <c r="L7070" s="3">
        <v>44676.527777754935</v>
      </c>
      <c r="M7070" s="15"/>
    </row>
    <row r="7071" spans="12:13">
      <c r="L7071" s="3">
        <v>44676.531249977153</v>
      </c>
      <c r="M7071" s="15"/>
    </row>
    <row r="7072" spans="12:13">
      <c r="L7072" s="3">
        <v>44676.534722199372</v>
      </c>
      <c r="M7072" s="15"/>
    </row>
    <row r="7073" spans="12:13">
      <c r="L7073" s="3">
        <v>44676.538194421591</v>
      </c>
      <c r="M7073" s="15"/>
    </row>
    <row r="7074" spans="12:13">
      <c r="L7074" s="3">
        <v>44676.54166664381</v>
      </c>
      <c r="M7074" s="15"/>
    </row>
    <row r="7075" spans="12:13">
      <c r="L7075" s="3">
        <v>44676.545138866029</v>
      </c>
      <c r="M7075" s="15"/>
    </row>
    <row r="7076" spans="12:13">
      <c r="L7076" s="3">
        <v>44676.548611088248</v>
      </c>
      <c r="M7076" s="15"/>
    </row>
    <row r="7077" spans="12:13">
      <c r="L7077" s="3">
        <v>44676.552083310467</v>
      </c>
      <c r="M7077" s="15"/>
    </row>
    <row r="7078" spans="12:13">
      <c r="L7078" s="3">
        <v>44676.555555532686</v>
      </c>
      <c r="M7078" s="15"/>
    </row>
    <row r="7079" spans="12:13">
      <c r="L7079" s="3">
        <v>44676.559027754905</v>
      </c>
      <c r="M7079" s="15"/>
    </row>
    <row r="7080" spans="12:13">
      <c r="L7080" s="3">
        <v>44676.562499977124</v>
      </c>
      <c r="M7080" s="15"/>
    </row>
    <row r="7081" spans="12:13">
      <c r="L7081" s="3">
        <v>44676.565972199343</v>
      </c>
      <c r="M7081" s="15"/>
    </row>
    <row r="7082" spans="12:13">
      <c r="L7082" s="3">
        <v>44676.569444421562</v>
      </c>
      <c r="M7082" s="15"/>
    </row>
    <row r="7083" spans="12:13">
      <c r="L7083" s="3">
        <v>44676.572916643781</v>
      </c>
      <c r="M7083" s="15"/>
    </row>
    <row r="7084" spans="12:13">
      <c r="L7084" s="3">
        <v>44676.576388866</v>
      </c>
      <c r="M7084" s="15"/>
    </row>
    <row r="7085" spans="12:13">
      <c r="L7085" s="3">
        <v>44676.579861088219</v>
      </c>
      <c r="M7085" s="15"/>
    </row>
    <row r="7086" spans="12:13">
      <c r="L7086" s="3">
        <v>44676.583333310438</v>
      </c>
      <c r="M7086" s="15"/>
    </row>
    <row r="7087" spans="12:13">
      <c r="L7087" s="3">
        <v>44676.586805532657</v>
      </c>
      <c r="M7087" s="15"/>
    </row>
    <row r="7088" spans="12:13">
      <c r="L7088" s="3">
        <v>44676.590277754876</v>
      </c>
      <c r="M7088" s="15"/>
    </row>
    <row r="7089" spans="12:13">
      <c r="L7089" s="3">
        <v>44676.593749977095</v>
      </c>
      <c r="M7089" s="15"/>
    </row>
    <row r="7090" spans="12:13">
      <c r="L7090" s="3">
        <v>44676.597222199314</v>
      </c>
      <c r="M7090" s="15"/>
    </row>
    <row r="7091" spans="12:13">
      <c r="L7091" s="3">
        <v>44676.600694421533</v>
      </c>
      <c r="M7091" s="15"/>
    </row>
    <row r="7092" spans="12:13">
      <c r="L7092" s="3">
        <v>44676.604166643752</v>
      </c>
      <c r="M7092" s="15"/>
    </row>
    <row r="7093" spans="12:13">
      <c r="L7093" s="3">
        <v>44676.607638865971</v>
      </c>
      <c r="M7093" s="15"/>
    </row>
    <row r="7094" spans="12:13">
      <c r="L7094" s="3">
        <v>44676.61111108819</v>
      </c>
      <c r="M7094" s="15"/>
    </row>
    <row r="7095" spans="12:13">
      <c r="L7095" s="3">
        <v>44676.614583310409</v>
      </c>
      <c r="M7095" s="15"/>
    </row>
    <row r="7096" spans="12:13">
      <c r="L7096" s="3">
        <v>44676.618055532628</v>
      </c>
      <c r="M7096" s="15"/>
    </row>
    <row r="7097" spans="12:13">
      <c r="L7097" s="3">
        <v>44676.621527754847</v>
      </c>
      <c r="M7097" s="15"/>
    </row>
    <row r="7098" spans="12:13">
      <c r="L7098" s="3">
        <v>44676.624999977066</v>
      </c>
      <c r="M7098" s="15"/>
    </row>
    <row r="7099" spans="12:13">
      <c r="L7099" s="3">
        <v>44676.628472199285</v>
      </c>
      <c r="M7099" s="15"/>
    </row>
    <row r="7100" spans="12:13">
      <c r="L7100" s="3">
        <v>44676.631944421504</v>
      </c>
      <c r="M7100" s="15"/>
    </row>
    <row r="7101" spans="12:13">
      <c r="L7101" s="3">
        <v>44676.635416643723</v>
      </c>
      <c r="M7101" s="15"/>
    </row>
    <row r="7102" spans="12:13">
      <c r="L7102" s="3">
        <v>44676.638888865942</v>
      </c>
      <c r="M7102" s="15"/>
    </row>
    <row r="7103" spans="12:13">
      <c r="L7103" s="3">
        <v>44676.642361088161</v>
      </c>
      <c r="M7103" s="15"/>
    </row>
    <row r="7104" spans="12:13">
      <c r="L7104" s="3">
        <v>44676.64583331038</v>
      </c>
      <c r="M7104" s="15"/>
    </row>
    <row r="7105" spans="12:13">
      <c r="L7105" s="3">
        <v>44676.649305532599</v>
      </c>
      <c r="M7105" s="15"/>
    </row>
    <row r="7106" spans="12:13">
      <c r="L7106" s="3">
        <v>44676.652777754818</v>
      </c>
      <c r="M7106" s="15"/>
    </row>
    <row r="7107" spans="12:13">
      <c r="L7107" s="3">
        <v>44676.656249977037</v>
      </c>
      <c r="M7107" s="15"/>
    </row>
    <row r="7108" spans="12:13">
      <c r="L7108" s="3">
        <v>44676.659722199256</v>
      </c>
      <c r="M7108" s="15"/>
    </row>
    <row r="7109" spans="12:13">
      <c r="L7109" s="3">
        <v>44676.663194421475</v>
      </c>
      <c r="M7109" s="15"/>
    </row>
    <row r="7110" spans="12:13">
      <c r="L7110" s="3">
        <v>44676.666666643694</v>
      </c>
      <c r="M7110" s="15"/>
    </row>
    <row r="7111" spans="12:13">
      <c r="L7111" s="3">
        <v>44676.670138865913</v>
      </c>
      <c r="M7111" s="15"/>
    </row>
    <row r="7112" spans="12:13">
      <c r="L7112" s="3">
        <v>44676.673611088132</v>
      </c>
      <c r="M7112" s="15"/>
    </row>
    <row r="7113" spans="12:13">
      <c r="L7113" s="3">
        <v>44676.677083310351</v>
      </c>
      <c r="M7113" s="15"/>
    </row>
    <row r="7114" spans="12:13">
      <c r="L7114" s="3">
        <v>44676.68055553257</v>
      </c>
      <c r="M7114" s="15"/>
    </row>
    <row r="7115" spans="12:13">
      <c r="L7115" s="3">
        <v>44676.684027754789</v>
      </c>
      <c r="M7115" s="15"/>
    </row>
    <row r="7116" spans="12:13">
      <c r="L7116" s="3">
        <v>44676.687499977008</v>
      </c>
      <c r="M7116" s="15"/>
    </row>
    <row r="7117" spans="12:13">
      <c r="L7117" s="3">
        <v>44676.690972199227</v>
      </c>
      <c r="M7117" s="15"/>
    </row>
    <row r="7118" spans="12:13">
      <c r="L7118" s="3">
        <v>44676.694444421446</v>
      </c>
      <c r="M7118" s="15"/>
    </row>
    <row r="7119" spans="12:13">
      <c r="L7119" s="3">
        <v>44676.697916643665</v>
      </c>
      <c r="M7119" s="15"/>
    </row>
    <row r="7120" spans="12:13">
      <c r="L7120" s="3">
        <v>44676.701388865884</v>
      </c>
      <c r="M7120" s="15"/>
    </row>
    <row r="7121" spans="12:13">
      <c r="L7121" s="3">
        <v>44676.704861088103</v>
      </c>
      <c r="M7121" s="15"/>
    </row>
    <row r="7122" spans="12:13">
      <c r="L7122" s="3">
        <v>44676.708333310322</v>
      </c>
      <c r="M7122" s="15"/>
    </row>
    <row r="7123" spans="12:13">
      <c r="L7123" s="3">
        <v>44676.711805532541</v>
      </c>
      <c r="M7123" s="15"/>
    </row>
    <row r="7124" spans="12:13">
      <c r="L7124" s="3">
        <v>44676.71527775476</v>
      </c>
      <c r="M7124" s="15"/>
    </row>
    <row r="7125" spans="12:13">
      <c r="L7125" s="3">
        <v>44676.718749976979</v>
      </c>
      <c r="M7125" s="15"/>
    </row>
    <row r="7126" spans="12:13">
      <c r="L7126" s="3">
        <v>44676.722222199198</v>
      </c>
      <c r="M7126" s="15"/>
    </row>
    <row r="7127" spans="12:13">
      <c r="L7127" s="3">
        <v>44676.725694421417</v>
      </c>
      <c r="M7127" s="15"/>
    </row>
    <row r="7128" spans="12:13">
      <c r="L7128" s="3">
        <v>44676.729166643636</v>
      </c>
      <c r="M7128" s="15"/>
    </row>
    <row r="7129" spans="12:13">
      <c r="L7129" s="3">
        <v>44676.732638865855</v>
      </c>
      <c r="M7129" s="15"/>
    </row>
    <row r="7130" spans="12:13">
      <c r="L7130" s="3">
        <v>44676.736111088074</v>
      </c>
      <c r="M7130" s="15"/>
    </row>
    <row r="7131" spans="12:13">
      <c r="L7131" s="3">
        <v>44676.739583310293</v>
      </c>
      <c r="M7131" s="15"/>
    </row>
    <row r="7132" spans="12:13">
      <c r="L7132" s="3">
        <v>44676.743055532512</v>
      </c>
      <c r="M7132" s="15"/>
    </row>
    <row r="7133" spans="12:13">
      <c r="L7133" s="3">
        <v>44676.746527754731</v>
      </c>
      <c r="M7133" s="15"/>
    </row>
    <row r="7134" spans="12:13">
      <c r="L7134" s="3">
        <v>44676.74999997695</v>
      </c>
      <c r="M7134" s="15"/>
    </row>
    <row r="7135" spans="12:13">
      <c r="L7135" s="3">
        <v>44676.753472199169</v>
      </c>
      <c r="M7135" s="15"/>
    </row>
    <row r="7136" spans="12:13">
      <c r="L7136" s="3">
        <v>44676.756944421388</v>
      </c>
      <c r="M7136" s="15"/>
    </row>
    <row r="7137" spans="12:13">
      <c r="L7137" s="3">
        <v>44676.760416643607</v>
      </c>
      <c r="M7137" s="15"/>
    </row>
    <row r="7138" spans="12:13">
      <c r="L7138" s="3">
        <v>44676.763888865826</v>
      </c>
      <c r="M7138" s="15"/>
    </row>
    <row r="7139" spans="12:13">
      <c r="L7139" s="3">
        <v>44676.767361088045</v>
      </c>
      <c r="M7139" s="15"/>
    </row>
    <row r="7140" spans="12:13">
      <c r="L7140" s="3">
        <v>44676.770833310264</v>
      </c>
      <c r="M7140" s="15"/>
    </row>
    <row r="7141" spans="12:13">
      <c r="L7141" s="3">
        <v>44676.774305532483</v>
      </c>
      <c r="M7141" s="15"/>
    </row>
    <row r="7142" spans="12:13">
      <c r="L7142" s="3">
        <v>44676.777777754702</v>
      </c>
      <c r="M7142" s="15"/>
    </row>
    <row r="7143" spans="12:13">
      <c r="L7143" s="3">
        <v>44676.781249976921</v>
      </c>
      <c r="M7143" s="15"/>
    </row>
    <row r="7144" spans="12:13">
      <c r="L7144" s="3">
        <v>44676.78472219914</v>
      </c>
      <c r="M7144" s="15"/>
    </row>
    <row r="7145" spans="12:13">
      <c r="L7145" s="3">
        <v>44676.788194421359</v>
      </c>
      <c r="M7145" s="15"/>
    </row>
    <row r="7146" spans="12:13">
      <c r="L7146" s="3">
        <v>44676.791666643578</v>
      </c>
      <c r="M7146" s="15"/>
    </row>
    <row r="7147" spans="12:13">
      <c r="L7147" s="3">
        <v>44676.795138865797</v>
      </c>
      <c r="M7147" s="15"/>
    </row>
    <row r="7148" spans="12:13">
      <c r="L7148" s="3">
        <v>44676.798611088016</v>
      </c>
      <c r="M7148" s="15"/>
    </row>
    <row r="7149" spans="12:13">
      <c r="L7149" s="3">
        <v>44676.802083310235</v>
      </c>
      <c r="M7149" s="15"/>
    </row>
    <row r="7150" spans="12:13">
      <c r="L7150" s="3">
        <v>44676.805555532454</v>
      </c>
      <c r="M7150" s="15"/>
    </row>
    <row r="7151" spans="12:13">
      <c r="L7151" s="3">
        <v>44676.809027754673</v>
      </c>
      <c r="M7151" s="15"/>
    </row>
    <row r="7152" spans="12:13">
      <c r="L7152" s="3">
        <v>44676.812499976892</v>
      </c>
      <c r="M7152" s="15"/>
    </row>
    <row r="7153" spans="12:13">
      <c r="L7153" s="3">
        <v>44676.815972199111</v>
      </c>
      <c r="M7153" s="15"/>
    </row>
    <row r="7154" spans="12:13">
      <c r="L7154" s="3">
        <v>44676.81944442133</v>
      </c>
      <c r="M7154" s="15"/>
    </row>
    <row r="7155" spans="12:13">
      <c r="L7155" s="3">
        <v>44676.822916643549</v>
      </c>
      <c r="M7155" s="15"/>
    </row>
    <row r="7156" spans="12:13">
      <c r="L7156" s="3">
        <v>44676.826388865768</v>
      </c>
      <c r="M7156" s="15"/>
    </row>
    <row r="7157" spans="12:13">
      <c r="L7157" s="3">
        <v>44676.829861087987</v>
      </c>
      <c r="M7157" s="15"/>
    </row>
    <row r="7158" spans="12:13">
      <c r="L7158" s="3">
        <v>44676.833333310205</v>
      </c>
      <c r="M7158" s="15"/>
    </row>
    <row r="7159" spans="12:13">
      <c r="L7159" s="3">
        <v>44676.836805532424</v>
      </c>
      <c r="M7159" s="15"/>
    </row>
    <row r="7160" spans="12:13">
      <c r="L7160" s="3">
        <v>44676.840277754643</v>
      </c>
      <c r="M7160" s="15"/>
    </row>
    <row r="7161" spans="12:13">
      <c r="L7161" s="3">
        <v>44676.843749976862</v>
      </c>
      <c r="M7161" s="15"/>
    </row>
    <row r="7162" spans="12:13">
      <c r="L7162" s="3">
        <v>44676.847222199081</v>
      </c>
      <c r="M7162" s="15"/>
    </row>
    <row r="7163" spans="12:13">
      <c r="L7163" s="3">
        <v>44676.8506944213</v>
      </c>
      <c r="M7163" s="15"/>
    </row>
    <row r="7164" spans="12:13">
      <c r="L7164" s="3">
        <v>44676.854166643519</v>
      </c>
      <c r="M7164" s="15"/>
    </row>
    <row r="7165" spans="12:13">
      <c r="L7165" s="3">
        <v>44676.857638865738</v>
      </c>
      <c r="M7165" s="15"/>
    </row>
    <row r="7166" spans="12:13">
      <c r="L7166" s="3">
        <v>44676.861111087957</v>
      </c>
      <c r="M7166" s="15"/>
    </row>
    <row r="7167" spans="12:13">
      <c r="L7167" s="3">
        <v>44676.864583310176</v>
      </c>
      <c r="M7167" s="15"/>
    </row>
    <row r="7168" spans="12:13">
      <c r="L7168" s="3">
        <v>44676.868055532395</v>
      </c>
      <c r="M7168" s="15"/>
    </row>
    <row r="7169" spans="12:13">
      <c r="L7169" s="3">
        <v>44676.871527754614</v>
      </c>
      <c r="M7169" s="15"/>
    </row>
    <row r="7170" spans="12:13">
      <c r="L7170" s="3">
        <v>44676.874999976833</v>
      </c>
      <c r="M7170" s="15"/>
    </row>
    <row r="7171" spans="12:13">
      <c r="L7171" s="3">
        <v>44676.878472199052</v>
      </c>
      <c r="M7171" s="15"/>
    </row>
    <row r="7172" spans="12:13">
      <c r="L7172" s="3">
        <v>44676.881944421271</v>
      </c>
      <c r="M7172" s="15"/>
    </row>
    <row r="7173" spans="12:13">
      <c r="L7173" s="3">
        <v>44676.88541664349</v>
      </c>
      <c r="M7173" s="15"/>
    </row>
    <row r="7174" spans="12:13">
      <c r="L7174" s="3">
        <v>44676.888888865709</v>
      </c>
      <c r="M7174" s="15"/>
    </row>
    <row r="7175" spans="12:13">
      <c r="L7175" s="3">
        <v>44676.892361087928</v>
      </c>
      <c r="M7175" s="15"/>
    </row>
    <row r="7176" spans="12:13">
      <c r="L7176" s="3">
        <v>44676.895833310147</v>
      </c>
      <c r="M7176" s="15"/>
    </row>
    <row r="7177" spans="12:13">
      <c r="L7177" s="3">
        <v>44676.899305532366</v>
      </c>
      <c r="M7177" s="15"/>
    </row>
    <row r="7178" spans="12:13">
      <c r="L7178" s="3">
        <v>44676.902777754585</v>
      </c>
      <c r="M7178" s="15"/>
    </row>
    <row r="7179" spans="12:13">
      <c r="L7179" s="3">
        <v>44676.906249976804</v>
      </c>
      <c r="M7179" s="15"/>
    </row>
    <row r="7180" spans="12:13">
      <c r="L7180" s="3">
        <v>44676.909722199023</v>
      </c>
      <c r="M7180" s="15"/>
    </row>
    <row r="7181" spans="12:13">
      <c r="L7181" s="3">
        <v>44676.913194421242</v>
      </c>
      <c r="M7181" s="15"/>
    </row>
    <row r="7182" spans="12:13">
      <c r="L7182" s="3">
        <v>44676.916666643461</v>
      </c>
      <c r="M7182" s="15"/>
    </row>
    <row r="7183" spans="12:13">
      <c r="L7183" s="3">
        <v>44676.92013886568</v>
      </c>
      <c r="M7183" s="15"/>
    </row>
    <row r="7184" spans="12:13">
      <c r="L7184" s="3">
        <v>44676.923611087899</v>
      </c>
      <c r="M7184" s="15"/>
    </row>
    <row r="7185" spans="12:13">
      <c r="L7185" s="3">
        <v>44676.927083310118</v>
      </c>
      <c r="M7185" s="15"/>
    </row>
    <row r="7186" spans="12:13">
      <c r="L7186" s="3">
        <v>44676.930555532337</v>
      </c>
      <c r="M7186" s="15"/>
    </row>
    <row r="7187" spans="12:13">
      <c r="L7187" s="3">
        <v>44676.934027754556</v>
      </c>
      <c r="M7187" s="15"/>
    </row>
    <row r="7188" spans="12:13">
      <c r="L7188" s="3">
        <v>44676.937499976775</v>
      </c>
      <c r="M7188" s="15"/>
    </row>
    <row r="7189" spans="12:13">
      <c r="L7189" s="3">
        <v>44676.940972198994</v>
      </c>
      <c r="M7189" s="15"/>
    </row>
    <row r="7190" spans="12:13">
      <c r="L7190" s="3">
        <v>44676.944444421213</v>
      </c>
      <c r="M7190" s="15"/>
    </row>
    <row r="7191" spans="12:13">
      <c r="L7191" s="3">
        <v>44676.947916643432</v>
      </c>
      <c r="M7191" s="15"/>
    </row>
    <row r="7192" spans="12:13">
      <c r="L7192" s="3">
        <v>44676.951388865651</v>
      </c>
      <c r="M7192" s="15"/>
    </row>
    <row r="7193" spans="12:13">
      <c r="L7193" s="3">
        <v>44676.95486108787</v>
      </c>
      <c r="M7193" s="15"/>
    </row>
    <row r="7194" spans="12:13">
      <c r="L7194" s="3">
        <v>44676.958333310089</v>
      </c>
      <c r="M7194" s="15"/>
    </row>
    <row r="7195" spans="12:13">
      <c r="L7195" s="3">
        <v>44676.961805532308</v>
      </c>
      <c r="M7195" s="15"/>
    </row>
    <row r="7196" spans="12:13">
      <c r="L7196" s="3">
        <v>44676.965277754527</v>
      </c>
      <c r="M7196" s="15"/>
    </row>
    <row r="7197" spans="12:13">
      <c r="L7197" s="3">
        <v>44676.968749976746</v>
      </c>
      <c r="M7197" s="15"/>
    </row>
    <row r="7198" spans="12:13">
      <c r="L7198" s="3">
        <v>44676.972222198965</v>
      </c>
      <c r="M7198" s="15"/>
    </row>
    <row r="7199" spans="12:13">
      <c r="L7199" s="3">
        <v>44676.975694421184</v>
      </c>
      <c r="M7199" s="15"/>
    </row>
    <row r="7200" spans="12:13">
      <c r="L7200" s="3">
        <v>44676.979166643403</v>
      </c>
      <c r="M7200" s="15"/>
    </row>
    <row r="7201" spans="12:13">
      <c r="L7201" s="3">
        <v>44676.982638865622</v>
      </c>
      <c r="M7201" s="15"/>
    </row>
    <row r="7202" spans="12:13">
      <c r="L7202" s="3">
        <v>44676.986111087841</v>
      </c>
      <c r="M7202" s="15"/>
    </row>
    <row r="7203" spans="12:13">
      <c r="L7203" s="3">
        <v>44676.98958331006</v>
      </c>
      <c r="M7203" s="15"/>
    </row>
    <row r="7204" spans="12:13">
      <c r="L7204" s="3">
        <v>44676.993055532279</v>
      </c>
      <c r="M7204" s="15"/>
    </row>
    <row r="7205" spans="12:13">
      <c r="L7205" s="3">
        <v>44676.996527754498</v>
      </c>
      <c r="M7205" s="15"/>
    </row>
    <row r="7206" spans="12:13">
      <c r="L7206" s="3">
        <v>44676.999999976717</v>
      </c>
      <c r="M7206" s="15"/>
    </row>
    <row r="7207" spans="12:13">
      <c r="L7207" s="3">
        <v>44677.003472198936</v>
      </c>
      <c r="M7207" s="15"/>
    </row>
    <row r="7208" spans="12:13">
      <c r="L7208" s="3">
        <v>44677.006944421155</v>
      </c>
      <c r="M7208" s="15"/>
    </row>
    <row r="7209" spans="12:13">
      <c r="L7209" s="3">
        <v>44677.010416643374</v>
      </c>
      <c r="M7209" s="15"/>
    </row>
    <row r="7210" spans="12:13">
      <c r="L7210" s="3">
        <v>44677.013888865593</v>
      </c>
      <c r="M7210" s="15"/>
    </row>
    <row r="7211" spans="12:13">
      <c r="L7211" s="3">
        <v>44677.017361087812</v>
      </c>
      <c r="M7211" s="15"/>
    </row>
    <row r="7212" spans="12:13">
      <c r="L7212" s="3">
        <v>44677.020833310031</v>
      </c>
      <c r="M7212" s="15"/>
    </row>
    <row r="7213" spans="12:13">
      <c r="L7213" s="3">
        <v>44677.02430553225</v>
      </c>
      <c r="M7213" s="15"/>
    </row>
    <row r="7214" spans="12:13">
      <c r="L7214" s="3">
        <v>44677.027777754469</v>
      </c>
      <c r="M7214" s="15"/>
    </row>
    <row r="7215" spans="12:13">
      <c r="L7215" s="3">
        <v>44677.031249976688</v>
      </c>
      <c r="M7215" s="15"/>
    </row>
    <row r="7216" spans="12:13">
      <c r="L7216" s="3">
        <v>44677.034722198907</v>
      </c>
      <c r="M7216" s="15"/>
    </row>
    <row r="7217" spans="12:13">
      <c r="L7217" s="3">
        <v>44677.038194421126</v>
      </c>
      <c r="M7217" s="15"/>
    </row>
    <row r="7218" spans="12:13">
      <c r="L7218" s="3">
        <v>44677.041666643345</v>
      </c>
      <c r="M7218" s="15"/>
    </row>
    <row r="7219" spans="12:13">
      <c r="L7219" s="3">
        <v>44677.045138865564</v>
      </c>
      <c r="M7219" s="15"/>
    </row>
    <row r="7220" spans="12:13">
      <c r="L7220" s="3">
        <v>44677.048611087783</v>
      </c>
      <c r="M7220" s="15"/>
    </row>
    <row r="7221" spans="12:13">
      <c r="L7221" s="3">
        <v>44677.052083310002</v>
      </c>
      <c r="M7221" s="15"/>
    </row>
    <row r="7222" spans="12:13">
      <c r="L7222" s="3">
        <v>44677.055555532221</v>
      </c>
      <c r="M7222" s="15"/>
    </row>
    <row r="7223" spans="12:13">
      <c r="L7223" s="3">
        <v>44677.05902775444</v>
      </c>
      <c r="M7223" s="15"/>
    </row>
    <row r="7224" spans="12:13">
      <c r="L7224" s="3">
        <v>44677.062499976659</v>
      </c>
      <c r="M7224" s="15"/>
    </row>
    <row r="7225" spans="12:13">
      <c r="L7225" s="3">
        <v>44677.065972198878</v>
      </c>
      <c r="M7225" s="15"/>
    </row>
    <row r="7226" spans="12:13">
      <c r="L7226" s="3">
        <v>44677.069444421097</v>
      </c>
      <c r="M7226" s="15"/>
    </row>
    <row r="7227" spans="12:13">
      <c r="L7227" s="3">
        <v>44677.072916643316</v>
      </c>
      <c r="M7227" s="15"/>
    </row>
    <row r="7228" spans="12:13">
      <c r="L7228" s="3">
        <v>44677.076388865535</v>
      </c>
      <c r="M7228" s="15"/>
    </row>
    <row r="7229" spans="12:13">
      <c r="L7229" s="3">
        <v>44677.079861087754</v>
      </c>
      <c r="M7229" s="15"/>
    </row>
    <row r="7230" spans="12:13">
      <c r="L7230" s="3">
        <v>44677.083333309973</v>
      </c>
      <c r="M7230" s="15"/>
    </row>
    <row r="7231" spans="12:13">
      <c r="L7231" s="3">
        <v>44677.086805532192</v>
      </c>
      <c r="M7231" s="15"/>
    </row>
    <row r="7232" spans="12:13">
      <c r="L7232" s="3">
        <v>44677.090277754411</v>
      </c>
      <c r="M7232" s="15"/>
    </row>
    <row r="7233" spans="12:13">
      <c r="L7233" s="3">
        <v>44677.09374997663</v>
      </c>
      <c r="M7233" s="15"/>
    </row>
    <row r="7234" spans="12:13">
      <c r="L7234" s="3">
        <v>44677.097222198849</v>
      </c>
      <c r="M7234" s="15"/>
    </row>
    <row r="7235" spans="12:13">
      <c r="L7235" s="3">
        <v>44677.100694421068</v>
      </c>
      <c r="M7235" s="15"/>
    </row>
    <row r="7236" spans="12:13">
      <c r="L7236" s="3">
        <v>44677.104166643287</v>
      </c>
      <c r="M7236" s="15"/>
    </row>
    <row r="7237" spans="12:13">
      <c r="L7237" s="3">
        <v>44677.107638865506</v>
      </c>
      <c r="M7237" s="15"/>
    </row>
    <row r="7238" spans="12:13">
      <c r="L7238" s="3">
        <v>44677.111111087725</v>
      </c>
      <c r="M7238" s="15"/>
    </row>
    <row r="7239" spans="12:13">
      <c r="L7239" s="3">
        <v>44677.114583309944</v>
      </c>
      <c r="M7239" s="15"/>
    </row>
    <row r="7240" spans="12:13">
      <c r="L7240" s="3">
        <v>44677.118055532163</v>
      </c>
      <c r="M7240" s="15"/>
    </row>
    <row r="7241" spans="12:13">
      <c r="L7241" s="3">
        <v>44677.121527754382</v>
      </c>
      <c r="M7241" s="15"/>
    </row>
    <row r="7242" spans="12:13">
      <c r="L7242" s="3">
        <v>44677.124999976601</v>
      </c>
      <c r="M7242" s="15"/>
    </row>
    <row r="7243" spans="12:13">
      <c r="L7243" s="3">
        <v>44677.12847219882</v>
      </c>
      <c r="M7243" s="15"/>
    </row>
    <row r="7244" spans="12:13">
      <c r="L7244" s="3">
        <v>44677.131944421038</v>
      </c>
      <c r="M7244" s="15"/>
    </row>
    <row r="7245" spans="12:13">
      <c r="L7245" s="3">
        <v>44677.135416643257</v>
      </c>
      <c r="M7245" s="15"/>
    </row>
    <row r="7246" spans="12:13">
      <c r="L7246" s="3">
        <v>44677.138888865476</v>
      </c>
      <c r="M7246" s="15"/>
    </row>
    <row r="7247" spans="12:13">
      <c r="L7247" s="3">
        <v>44677.142361087695</v>
      </c>
      <c r="M7247" s="15"/>
    </row>
    <row r="7248" spans="12:13">
      <c r="L7248" s="3">
        <v>44677.145833309914</v>
      </c>
      <c r="M7248" s="15"/>
    </row>
    <row r="7249" spans="12:13">
      <c r="L7249" s="3">
        <v>44677.149305532133</v>
      </c>
      <c r="M7249" s="15"/>
    </row>
    <row r="7250" spans="12:13">
      <c r="L7250" s="3">
        <v>44677.152777754352</v>
      </c>
      <c r="M7250" s="15"/>
    </row>
    <row r="7251" spans="12:13">
      <c r="L7251" s="3">
        <v>44677.156249976571</v>
      </c>
      <c r="M7251" s="15"/>
    </row>
    <row r="7252" spans="12:13">
      <c r="L7252" s="3">
        <v>44677.15972219879</v>
      </c>
      <c r="M7252" s="15"/>
    </row>
    <row r="7253" spans="12:13">
      <c r="L7253" s="3">
        <v>44677.163194421009</v>
      </c>
      <c r="M7253" s="15"/>
    </row>
    <row r="7254" spans="12:13">
      <c r="L7254" s="3">
        <v>44677.166666643228</v>
      </c>
      <c r="M7254" s="15"/>
    </row>
    <row r="7255" spans="12:13">
      <c r="L7255" s="3">
        <v>44677.170138865447</v>
      </c>
      <c r="M7255" s="15"/>
    </row>
    <row r="7256" spans="12:13">
      <c r="L7256" s="3">
        <v>44677.173611087666</v>
      </c>
      <c r="M7256" s="15"/>
    </row>
    <row r="7257" spans="12:13">
      <c r="L7257" s="3">
        <v>44677.177083309885</v>
      </c>
      <c r="M7257" s="15"/>
    </row>
    <row r="7258" spans="12:13">
      <c r="L7258" s="3">
        <v>44677.180555532104</v>
      </c>
      <c r="M7258" s="15"/>
    </row>
    <row r="7259" spans="12:13">
      <c r="L7259" s="3">
        <v>44677.184027754323</v>
      </c>
      <c r="M7259" s="15"/>
    </row>
    <row r="7260" spans="12:13">
      <c r="L7260" s="3">
        <v>44677.187499976542</v>
      </c>
      <c r="M7260" s="15"/>
    </row>
    <row r="7261" spans="12:13">
      <c r="L7261" s="3">
        <v>44677.190972198761</v>
      </c>
      <c r="M7261" s="15"/>
    </row>
    <row r="7262" spans="12:13">
      <c r="L7262" s="3">
        <v>44677.19444442098</v>
      </c>
      <c r="M7262" s="15"/>
    </row>
    <row r="7263" spans="12:13">
      <c r="L7263" s="3">
        <v>44677.197916643199</v>
      </c>
      <c r="M7263" s="15"/>
    </row>
    <row r="7264" spans="12:13">
      <c r="L7264" s="3">
        <v>44677.201388865418</v>
      </c>
      <c r="M7264" s="15"/>
    </row>
    <row r="7265" spans="12:13">
      <c r="L7265" s="3">
        <v>44677.204861087637</v>
      </c>
      <c r="M7265" s="15"/>
    </row>
    <row r="7266" spans="12:13">
      <c r="L7266" s="3">
        <v>44677.208333309856</v>
      </c>
      <c r="M7266" s="15"/>
    </row>
    <row r="7267" spans="12:13">
      <c r="L7267" s="3">
        <v>44677.211805532075</v>
      </c>
      <c r="M7267" s="15"/>
    </row>
    <row r="7268" spans="12:13">
      <c r="L7268" s="3">
        <v>44677.215277754294</v>
      </c>
      <c r="M7268" s="15"/>
    </row>
    <row r="7269" spans="12:13">
      <c r="L7269" s="3">
        <v>44677.218749976513</v>
      </c>
      <c r="M7269" s="15"/>
    </row>
    <row r="7270" spans="12:13">
      <c r="L7270" s="3">
        <v>44677.222222198732</v>
      </c>
      <c r="M7270" s="15"/>
    </row>
    <row r="7271" spans="12:13">
      <c r="L7271" s="3">
        <v>44677.225694420951</v>
      </c>
      <c r="M7271" s="15"/>
    </row>
    <row r="7272" spans="12:13">
      <c r="L7272" s="3">
        <v>44677.22916664317</v>
      </c>
      <c r="M7272" s="15"/>
    </row>
    <row r="7273" spans="12:13">
      <c r="L7273" s="3">
        <v>44677.232638865389</v>
      </c>
      <c r="M7273" s="15"/>
    </row>
    <row r="7274" spans="12:13">
      <c r="L7274" s="3">
        <v>44677.236111087608</v>
      </c>
      <c r="M7274" s="15"/>
    </row>
    <row r="7275" spans="12:13">
      <c r="L7275" s="3">
        <v>44677.239583309827</v>
      </c>
      <c r="M7275" s="15"/>
    </row>
    <row r="7276" spans="12:13">
      <c r="L7276" s="3">
        <v>44677.243055532046</v>
      </c>
      <c r="M7276" s="15"/>
    </row>
    <row r="7277" spans="12:13">
      <c r="L7277" s="3">
        <v>44677.246527754265</v>
      </c>
      <c r="M7277" s="15"/>
    </row>
    <row r="7278" spans="12:13">
      <c r="L7278" s="3">
        <v>44677.249999976484</v>
      </c>
      <c r="M7278" s="15"/>
    </row>
    <row r="7279" spans="12:13">
      <c r="L7279" s="3">
        <v>44677.253472198703</v>
      </c>
      <c r="M7279" s="15"/>
    </row>
    <row r="7280" spans="12:13">
      <c r="L7280" s="3">
        <v>44677.256944420922</v>
      </c>
      <c r="M7280" s="15"/>
    </row>
    <row r="7281" spans="12:13">
      <c r="L7281" s="3">
        <v>44677.260416643141</v>
      </c>
      <c r="M7281" s="15"/>
    </row>
    <row r="7282" spans="12:13">
      <c r="L7282" s="3">
        <v>44677.26388886536</v>
      </c>
      <c r="M7282" s="15"/>
    </row>
    <row r="7283" spans="12:13">
      <c r="L7283" s="3">
        <v>44677.267361087579</v>
      </c>
      <c r="M7283" s="15"/>
    </row>
    <row r="7284" spans="12:13">
      <c r="L7284" s="3">
        <v>44677.270833309798</v>
      </c>
      <c r="M7284" s="15"/>
    </row>
    <row r="7285" spans="12:13">
      <c r="L7285" s="3">
        <v>44677.274305532017</v>
      </c>
      <c r="M7285" s="15"/>
    </row>
    <row r="7286" spans="12:13">
      <c r="L7286" s="3">
        <v>44677.277777754236</v>
      </c>
      <c r="M7286" s="15"/>
    </row>
    <row r="7287" spans="12:13">
      <c r="L7287" s="3">
        <v>44677.281249976455</v>
      </c>
      <c r="M7287" s="15"/>
    </row>
    <row r="7288" spans="12:13">
      <c r="L7288" s="3">
        <v>44677.284722198674</v>
      </c>
      <c r="M7288" s="15"/>
    </row>
    <row r="7289" spans="12:13">
      <c r="L7289" s="3">
        <v>44677.288194420893</v>
      </c>
      <c r="M7289" s="15"/>
    </row>
    <row r="7290" spans="12:13">
      <c r="L7290" s="3">
        <v>44677.291666643112</v>
      </c>
      <c r="M7290" s="15"/>
    </row>
    <row r="7291" spans="12:13">
      <c r="L7291" s="3">
        <v>44677.295138865331</v>
      </c>
      <c r="M7291" s="15"/>
    </row>
    <row r="7292" spans="12:13">
      <c r="L7292" s="3">
        <v>44677.29861108755</v>
      </c>
      <c r="M7292" s="15"/>
    </row>
    <row r="7293" spans="12:13">
      <c r="L7293" s="3">
        <v>44677.302083309769</v>
      </c>
      <c r="M7293" s="15"/>
    </row>
    <row r="7294" spans="12:13">
      <c r="L7294" s="3">
        <v>44677.305555531988</v>
      </c>
      <c r="M7294" s="15"/>
    </row>
    <row r="7295" spans="12:13">
      <c r="L7295" s="3">
        <v>44677.309027754207</v>
      </c>
      <c r="M7295" s="15"/>
    </row>
    <row r="7296" spans="12:13">
      <c r="L7296" s="3">
        <v>44677.312499976426</v>
      </c>
      <c r="M7296" s="15"/>
    </row>
    <row r="7297" spans="12:13">
      <c r="L7297" s="3">
        <v>44677.315972198645</v>
      </c>
      <c r="M7297" s="15"/>
    </row>
    <row r="7298" spans="12:13">
      <c r="L7298" s="3">
        <v>44677.319444420864</v>
      </c>
      <c r="M7298" s="15"/>
    </row>
    <row r="7299" spans="12:13">
      <c r="L7299" s="3">
        <v>44677.322916643083</v>
      </c>
      <c r="M7299" s="15"/>
    </row>
    <row r="7300" spans="12:13">
      <c r="L7300" s="3">
        <v>44677.326388865302</v>
      </c>
      <c r="M7300" s="15"/>
    </row>
    <row r="7301" spans="12:13">
      <c r="L7301" s="3">
        <v>44677.329861087521</v>
      </c>
      <c r="M7301" s="15"/>
    </row>
    <row r="7302" spans="12:13">
      <c r="L7302" s="3">
        <v>44677.33333330974</v>
      </c>
      <c r="M7302" s="15"/>
    </row>
    <row r="7303" spans="12:13">
      <c r="L7303" s="3">
        <v>44677.336805531959</v>
      </c>
      <c r="M7303" s="15"/>
    </row>
    <row r="7304" spans="12:13">
      <c r="L7304" s="3">
        <v>44677.340277754178</v>
      </c>
      <c r="M7304" s="15"/>
    </row>
    <row r="7305" spans="12:13">
      <c r="L7305" s="3">
        <v>44677.343749976397</v>
      </c>
      <c r="M7305" s="15"/>
    </row>
    <row r="7306" spans="12:13">
      <c r="L7306" s="3">
        <v>44677.347222198616</v>
      </c>
      <c r="M7306" s="15"/>
    </row>
    <row r="7307" spans="12:13">
      <c r="L7307" s="3">
        <v>44677.350694420835</v>
      </c>
      <c r="M7307" s="15"/>
    </row>
    <row r="7308" spans="12:13">
      <c r="L7308" s="3">
        <v>44677.354166643054</v>
      </c>
      <c r="M7308" s="15"/>
    </row>
    <row r="7309" spans="12:13">
      <c r="L7309" s="3">
        <v>44677.357638865273</v>
      </c>
      <c r="M7309" s="15"/>
    </row>
    <row r="7310" spans="12:13">
      <c r="L7310" s="3">
        <v>44677.361111087492</v>
      </c>
      <c r="M7310" s="15"/>
    </row>
    <row r="7311" spans="12:13">
      <c r="L7311" s="3">
        <v>44677.364583309711</v>
      </c>
      <c r="M7311" s="15"/>
    </row>
    <row r="7312" spans="12:13">
      <c r="L7312" s="3">
        <v>44677.36805553193</v>
      </c>
      <c r="M7312" s="15"/>
    </row>
    <row r="7313" spans="12:13">
      <c r="L7313" s="3">
        <v>44677.371527754149</v>
      </c>
      <c r="M7313" s="15"/>
    </row>
    <row r="7314" spans="12:13">
      <c r="L7314" s="3">
        <v>44677.374999976368</v>
      </c>
      <c r="M7314" s="15"/>
    </row>
    <row r="7315" spans="12:13">
      <c r="L7315" s="3">
        <v>44677.378472198587</v>
      </c>
      <c r="M7315" s="15"/>
    </row>
    <row r="7316" spans="12:13">
      <c r="L7316" s="3">
        <v>44677.381944420806</v>
      </c>
      <c r="M7316" s="15"/>
    </row>
    <row r="7317" spans="12:13">
      <c r="L7317" s="3">
        <v>44677.385416643025</v>
      </c>
      <c r="M7317" s="15"/>
    </row>
    <row r="7318" spans="12:13">
      <c r="L7318" s="3">
        <v>44677.388888865244</v>
      </c>
      <c r="M7318" s="15"/>
    </row>
    <row r="7319" spans="12:13">
      <c r="L7319" s="3">
        <v>44677.392361087463</v>
      </c>
      <c r="M7319" s="15"/>
    </row>
    <row r="7320" spans="12:13">
      <c r="L7320" s="3">
        <v>44677.395833309682</v>
      </c>
      <c r="M7320" s="15"/>
    </row>
    <row r="7321" spans="12:13">
      <c r="L7321" s="3">
        <v>44677.399305531901</v>
      </c>
      <c r="M7321" s="15"/>
    </row>
    <row r="7322" spans="12:13">
      <c r="L7322" s="3">
        <v>44677.40277775412</v>
      </c>
      <c r="M7322" s="15"/>
    </row>
    <row r="7323" spans="12:13">
      <c r="L7323" s="3">
        <v>44677.406249976339</v>
      </c>
      <c r="M7323" s="15"/>
    </row>
    <row r="7324" spans="12:13">
      <c r="L7324" s="3">
        <v>44677.409722198558</v>
      </c>
      <c r="M7324" s="15"/>
    </row>
    <row r="7325" spans="12:13">
      <c r="L7325" s="3">
        <v>44677.413194420777</v>
      </c>
      <c r="M7325" s="15"/>
    </row>
    <row r="7326" spans="12:13">
      <c r="L7326" s="3">
        <v>44677.416666642996</v>
      </c>
      <c r="M7326" s="15"/>
    </row>
    <row r="7327" spans="12:13">
      <c r="L7327" s="3">
        <v>44677.420138865215</v>
      </c>
      <c r="M7327" s="15"/>
    </row>
    <row r="7328" spans="12:13">
      <c r="L7328" s="3">
        <v>44677.423611087434</v>
      </c>
      <c r="M7328" s="15"/>
    </row>
    <row r="7329" spans="12:13">
      <c r="L7329" s="3">
        <v>44677.427083309653</v>
      </c>
      <c r="M7329" s="15"/>
    </row>
    <row r="7330" spans="12:13">
      <c r="L7330" s="3">
        <v>44677.430555531872</v>
      </c>
      <c r="M7330" s="15"/>
    </row>
    <row r="7331" spans="12:13">
      <c r="L7331" s="3">
        <v>44677.43402775409</v>
      </c>
      <c r="M7331" s="15"/>
    </row>
    <row r="7332" spans="12:13">
      <c r="L7332" s="3">
        <v>44677.437499976309</v>
      </c>
      <c r="M7332" s="15"/>
    </row>
    <row r="7333" spans="12:13">
      <c r="L7333" s="3">
        <v>44677.440972198528</v>
      </c>
      <c r="M7333" s="15"/>
    </row>
    <row r="7334" spans="12:13">
      <c r="L7334" s="3">
        <v>44677.444444420747</v>
      </c>
      <c r="M7334" s="15"/>
    </row>
    <row r="7335" spans="12:13">
      <c r="L7335" s="3">
        <v>44677.447916642966</v>
      </c>
      <c r="M7335" s="15"/>
    </row>
    <row r="7336" spans="12:13">
      <c r="L7336" s="3">
        <v>44677.451388865185</v>
      </c>
      <c r="M7336" s="15"/>
    </row>
    <row r="7337" spans="12:13">
      <c r="L7337" s="3">
        <v>44677.454861087404</v>
      </c>
      <c r="M7337" s="15"/>
    </row>
    <row r="7338" spans="12:13">
      <c r="L7338" s="3">
        <v>44677.458333309623</v>
      </c>
      <c r="M7338" s="15"/>
    </row>
    <row r="7339" spans="12:13">
      <c r="L7339" s="3">
        <v>44677.461805531842</v>
      </c>
      <c r="M7339" s="15"/>
    </row>
    <row r="7340" spans="12:13">
      <c r="L7340" s="3">
        <v>44677.465277754061</v>
      </c>
      <c r="M7340" s="15"/>
    </row>
    <row r="7341" spans="12:13">
      <c r="L7341" s="3">
        <v>44677.46874997628</v>
      </c>
      <c r="M7341" s="15"/>
    </row>
    <row r="7342" spans="12:13">
      <c r="L7342" s="3">
        <v>44677.472222198499</v>
      </c>
      <c r="M7342" s="15"/>
    </row>
    <row r="7343" spans="12:13">
      <c r="L7343" s="3">
        <v>44677.475694420718</v>
      </c>
      <c r="M7343" s="15"/>
    </row>
    <row r="7344" spans="12:13">
      <c r="L7344" s="3">
        <v>44677.479166642937</v>
      </c>
      <c r="M7344" s="15"/>
    </row>
    <row r="7345" spans="12:13">
      <c r="L7345" s="3">
        <v>44677.482638865156</v>
      </c>
      <c r="M7345" s="15"/>
    </row>
    <row r="7346" spans="12:13">
      <c r="L7346" s="3">
        <v>44677.486111087375</v>
      </c>
      <c r="M7346" s="15"/>
    </row>
    <row r="7347" spans="12:13">
      <c r="L7347" s="3">
        <v>44677.489583309594</v>
      </c>
      <c r="M7347" s="15"/>
    </row>
    <row r="7348" spans="12:13">
      <c r="L7348" s="3">
        <v>44677.493055531813</v>
      </c>
      <c r="M7348" s="15"/>
    </row>
    <row r="7349" spans="12:13">
      <c r="L7349" s="3">
        <v>44677.496527754032</v>
      </c>
      <c r="M7349" s="15"/>
    </row>
    <row r="7350" spans="12:13">
      <c r="L7350" s="3">
        <v>44677.499999976251</v>
      </c>
      <c r="M7350" s="15"/>
    </row>
    <row r="7351" spans="12:13">
      <c r="L7351" s="3">
        <v>44677.50347219847</v>
      </c>
      <c r="M7351" s="15"/>
    </row>
    <row r="7352" spans="12:13">
      <c r="L7352" s="3">
        <v>44677.506944420689</v>
      </c>
      <c r="M7352" s="15"/>
    </row>
    <row r="7353" spans="12:13">
      <c r="L7353" s="3">
        <v>44677.510416642908</v>
      </c>
      <c r="M7353" s="15"/>
    </row>
    <row r="7354" spans="12:13">
      <c r="L7354" s="3">
        <v>44677.513888865127</v>
      </c>
      <c r="M7354" s="15"/>
    </row>
    <row r="7355" spans="12:13">
      <c r="L7355" s="3">
        <v>44677.517361087346</v>
      </c>
      <c r="M7355" s="15"/>
    </row>
    <row r="7356" spans="12:13">
      <c r="L7356" s="3">
        <v>44677.520833309565</v>
      </c>
      <c r="M7356" s="15"/>
    </row>
    <row r="7357" spans="12:13">
      <c r="L7357" s="3">
        <v>44677.524305531784</v>
      </c>
      <c r="M7357" s="15"/>
    </row>
    <row r="7358" spans="12:13">
      <c r="L7358" s="3">
        <v>44677.527777754003</v>
      </c>
      <c r="M7358" s="15"/>
    </row>
    <row r="7359" spans="12:13">
      <c r="L7359" s="3">
        <v>44677.531249976222</v>
      </c>
      <c r="M7359" s="15"/>
    </row>
    <row r="7360" spans="12:13">
      <c r="L7360" s="3">
        <v>44677.534722198441</v>
      </c>
      <c r="M7360" s="15"/>
    </row>
    <row r="7361" spans="12:13">
      <c r="L7361" s="3">
        <v>44677.53819442066</v>
      </c>
      <c r="M7361" s="15"/>
    </row>
    <row r="7362" spans="12:13">
      <c r="L7362" s="3">
        <v>44677.541666642879</v>
      </c>
      <c r="M7362" s="15"/>
    </row>
    <row r="7363" spans="12:13">
      <c r="L7363" s="3">
        <v>44677.545138865098</v>
      </c>
      <c r="M7363" s="15"/>
    </row>
    <row r="7364" spans="12:13">
      <c r="L7364" s="3">
        <v>44677.548611087317</v>
      </c>
      <c r="M7364" s="15"/>
    </row>
    <row r="7365" spans="12:13">
      <c r="L7365" s="3">
        <v>44677.552083309536</v>
      </c>
      <c r="M7365" s="15"/>
    </row>
    <row r="7366" spans="12:13">
      <c r="L7366" s="3">
        <v>44677.555555531755</v>
      </c>
      <c r="M7366" s="15"/>
    </row>
    <row r="7367" spans="12:13">
      <c r="L7367" s="3">
        <v>44677.559027753974</v>
      </c>
      <c r="M7367" s="15"/>
    </row>
    <row r="7368" spans="12:13">
      <c r="L7368" s="3">
        <v>44677.562499976193</v>
      </c>
      <c r="M7368" s="15"/>
    </row>
    <row r="7369" spans="12:13">
      <c r="L7369" s="3">
        <v>44677.565972198412</v>
      </c>
      <c r="M7369" s="15"/>
    </row>
    <row r="7370" spans="12:13">
      <c r="L7370" s="3">
        <v>44677.569444420631</v>
      </c>
      <c r="M7370" s="15"/>
    </row>
    <row r="7371" spans="12:13">
      <c r="L7371" s="3">
        <v>44677.57291664285</v>
      </c>
      <c r="M7371" s="15"/>
    </row>
    <row r="7372" spans="12:13">
      <c r="L7372" s="3">
        <v>44677.576388865069</v>
      </c>
      <c r="M7372" s="15"/>
    </row>
    <row r="7373" spans="12:13">
      <c r="L7373" s="3">
        <v>44677.579861087288</v>
      </c>
      <c r="M7373" s="15"/>
    </row>
    <row r="7374" spans="12:13">
      <c r="L7374" s="3">
        <v>44677.583333309507</v>
      </c>
      <c r="M7374" s="15"/>
    </row>
    <row r="7375" spans="12:13">
      <c r="L7375" s="3">
        <v>44677.586805531726</v>
      </c>
      <c r="M7375" s="15"/>
    </row>
    <row r="7376" spans="12:13">
      <c r="L7376" s="3">
        <v>44677.590277753945</v>
      </c>
      <c r="M7376" s="15"/>
    </row>
    <row r="7377" spans="12:13">
      <c r="L7377" s="3">
        <v>44677.593749976164</v>
      </c>
      <c r="M7377" s="15"/>
    </row>
    <row r="7378" spans="12:13">
      <c r="L7378" s="3">
        <v>44677.597222198383</v>
      </c>
      <c r="M7378" s="15"/>
    </row>
    <row r="7379" spans="12:13">
      <c r="L7379" s="3">
        <v>44677.600694420602</v>
      </c>
      <c r="M7379" s="15"/>
    </row>
    <row r="7380" spans="12:13">
      <c r="L7380" s="3">
        <v>44677.604166642821</v>
      </c>
      <c r="M7380" s="15"/>
    </row>
    <row r="7381" spans="12:13">
      <c r="L7381" s="3">
        <v>44677.60763886504</v>
      </c>
      <c r="M7381" s="15"/>
    </row>
    <row r="7382" spans="12:13">
      <c r="L7382" s="3">
        <v>44677.611111087259</v>
      </c>
      <c r="M7382" s="15"/>
    </row>
    <row r="7383" spans="12:13">
      <c r="L7383" s="3">
        <v>44677.614583309478</v>
      </c>
      <c r="M7383" s="15"/>
    </row>
    <row r="7384" spans="12:13">
      <c r="L7384" s="3">
        <v>44677.618055531697</v>
      </c>
      <c r="M7384" s="15"/>
    </row>
    <row r="7385" spans="12:13">
      <c r="L7385" s="3">
        <v>44677.621527753916</v>
      </c>
      <c r="M7385" s="15"/>
    </row>
    <row r="7386" spans="12:13">
      <c r="L7386" s="3">
        <v>44677.624999976135</v>
      </c>
      <c r="M7386" s="15"/>
    </row>
    <row r="7387" spans="12:13">
      <c r="L7387" s="3">
        <v>44677.628472198354</v>
      </c>
      <c r="M7387" s="15"/>
    </row>
    <row r="7388" spans="12:13">
      <c r="L7388" s="3">
        <v>44677.631944420573</v>
      </c>
      <c r="M7388" s="15"/>
    </row>
    <row r="7389" spans="12:13">
      <c r="L7389" s="3">
        <v>44677.635416642792</v>
      </c>
      <c r="M7389" s="15"/>
    </row>
    <row r="7390" spans="12:13">
      <c r="L7390" s="3">
        <v>44677.638888865011</v>
      </c>
      <c r="M7390" s="15"/>
    </row>
    <row r="7391" spans="12:13">
      <c r="L7391" s="3">
        <v>44677.64236108723</v>
      </c>
      <c r="M7391" s="15"/>
    </row>
    <row r="7392" spans="12:13">
      <c r="L7392" s="3">
        <v>44677.645833309449</v>
      </c>
      <c r="M7392" s="15"/>
    </row>
    <row r="7393" spans="12:13">
      <c r="L7393" s="3">
        <v>44677.649305531668</v>
      </c>
      <c r="M7393" s="15"/>
    </row>
    <row r="7394" spans="12:13">
      <c r="L7394" s="3">
        <v>44677.652777753887</v>
      </c>
      <c r="M7394" s="15"/>
    </row>
    <row r="7395" spans="12:13">
      <c r="L7395" s="3">
        <v>44677.656249976106</v>
      </c>
      <c r="M7395" s="15"/>
    </row>
    <row r="7396" spans="12:13">
      <c r="L7396" s="3">
        <v>44677.659722198325</v>
      </c>
      <c r="M7396" s="15"/>
    </row>
    <row r="7397" spans="12:13">
      <c r="L7397" s="3">
        <v>44677.663194420544</v>
      </c>
      <c r="M7397" s="15"/>
    </row>
    <row r="7398" spans="12:13">
      <c r="L7398" s="3">
        <v>44677.666666642763</v>
      </c>
      <c r="M7398" s="15"/>
    </row>
    <row r="7399" spans="12:13">
      <c r="L7399" s="3">
        <v>44677.670138864982</v>
      </c>
      <c r="M7399" s="15"/>
    </row>
    <row r="7400" spans="12:13">
      <c r="L7400" s="3">
        <v>44677.673611087201</v>
      </c>
      <c r="M7400" s="15"/>
    </row>
    <row r="7401" spans="12:13">
      <c r="L7401" s="3">
        <v>44677.67708330942</v>
      </c>
      <c r="M7401" s="15"/>
    </row>
    <row r="7402" spans="12:13">
      <c r="L7402" s="3">
        <v>44677.680555531639</v>
      </c>
      <c r="M7402" s="15"/>
    </row>
    <row r="7403" spans="12:13">
      <c r="L7403" s="3">
        <v>44677.684027753858</v>
      </c>
      <c r="M7403" s="15"/>
    </row>
    <row r="7404" spans="12:13">
      <c r="L7404" s="3">
        <v>44677.687499976077</v>
      </c>
      <c r="M7404" s="15"/>
    </row>
    <row r="7405" spans="12:13">
      <c r="L7405" s="3">
        <v>44677.690972198296</v>
      </c>
      <c r="M7405" s="15"/>
    </row>
    <row r="7406" spans="12:13">
      <c r="L7406" s="3">
        <v>44677.694444420515</v>
      </c>
      <c r="M7406" s="15"/>
    </row>
    <row r="7407" spans="12:13">
      <c r="L7407" s="3">
        <v>44677.697916642734</v>
      </c>
      <c r="M7407" s="15"/>
    </row>
    <row r="7408" spans="12:13">
      <c r="L7408" s="3">
        <v>44677.701388864953</v>
      </c>
      <c r="M7408" s="15"/>
    </row>
    <row r="7409" spans="12:13">
      <c r="L7409" s="3">
        <v>44677.704861087172</v>
      </c>
      <c r="M7409" s="15"/>
    </row>
    <row r="7410" spans="12:13">
      <c r="L7410" s="3">
        <v>44677.708333309391</v>
      </c>
      <c r="M7410" s="15"/>
    </row>
    <row r="7411" spans="12:13">
      <c r="L7411" s="3">
        <v>44677.71180553161</v>
      </c>
      <c r="M7411" s="15"/>
    </row>
    <row r="7412" spans="12:13">
      <c r="L7412" s="3">
        <v>44677.715277753829</v>
      </c>
      <c r="M7412" s="15"/>
    </row>
    <row r="7413" spans="12:13">
      <c r="L7413" s="3">
        <v>44677.718749976048</v>
      </c>
      <c r="M7413" s="15"/>
    </row>
    <row r="7414" spans="12:13">
      <c r="L7414" s="3">
        <v>44677.722222198267</v>
      </c>
      <c r="M7414" s="15"/>
    </row>
    <row r="7415" spans="12:13">
      <c r="L7415" s="3">
        <v>44677.725694420486</v>
      </c>
      <c r="M7415" s="15"/>
    </row>
    <row r="7416" spans="12:13">
      <c r="L7416" s="3">
        <v>44677.729166642705</v>
      </c>
      <c r="M7416" s="15"/>
    </row>
    <row r="7417" spans="12:13">
      <c r="L7417" s="3">
        <v>44677.732638864924</v>
      </c>
      <c r="M7417" s="15"/>
    </row>
    <row r="7418" spans="12:13">
      <c r="L7418" s="3">
        <v>44677.736111087142</v>
      </c>
      <c r="M7418" s="15"/>
    </row>
    <row r="7419" spans="12:13">
      <c r="L7419" s="3">
        <v>44677.739583309361</v>
      </c>
      <c r="M7419" s="15"/>
    </row>
    <row r="7420" spans="12:13">
      <c r="L7420" s="3">
        <v>44677.74305553158</v>
      </c>
      <c r="M7420" s="15"/>
    </row>
    <row r="7421" spans="12:13">
      <c r="L7421" s="3">
        <v>44677.746527753799</v>
      </c>
      <c r="M7421" s="15"/>
    </row>
    <row r="7422" spans="12:13">
      <c r="L7422" s="3">
        <v>44677.749999976018</v>
      </c>
      <c r="M7422" s="15"/>
    </row>
    <row r="7423" spans="12:13">
      <c r="L7423" s="3">
        <v>44677.753472198237</v>
      </c>
      <c r="M7423" s="15"/>
    </row>
    <row r="7424" spans="12:13">
      <c r="L7424" s="3">
        <v>44677.756944420456</v>
      </c>
      <c r="M7424" s="15"/>
    </row>
    <row r="7425" spans="12:13">
      <c r="L7425" s="3">
        <v>44677.760416642675</v>
      </c>
      <c r="M7425" s="15"/>
    </row>
    <row r="7426" spans="12:13">
      <c r="L7426" s="3">
        <v>44677.763888864894</v>
      </c>
      <c r="M7426" s="15"/>
    </row>
    <row r="7427" spans="12:13">
      <c r="L7427" s="3">
        <v>44677.767361087113</v>
      </c>
      <c r="M7427" s="15"/>
    </row>
    <row r="7428" spans="12:13">
      <c r="L7428" s="3">
        <v>44677.770833309332</v>
      </c>
      <c r="M7428" s="15"/>
    </row>
    <row r="7429" spans="12:13">
      <c r="L7429" s="3">
        <v>44677.774305531551</v>
      </c>
      <c r="M7429" s="15"/>
    </row>
    <row r="7430" spans="12:13">
      <c r="L7430" s="3">
        <v>44677.77777775377</v>
      </c>
      <c r="M7430" s="15"/>
    </row>
    <row r="7431" spans="12:13">
      <c r="L7431" s="3">
        <v>44677.781249975989</v>
      </c>
      <c r="M7431" s="15"/>
    </row>
    <row r="7432" spans="12:13">
      <c r="L7432" s="3">
        <v>44677.784722198208</v>
      </c>
      <c r="M7432" s="15"/>
    </row>
    <row r="7433" spans="12:13">
      <c r="L7433" s="3">
        <v>44677.788194420427</v>
      </c>
      <c r="M7433" s="15"/>
    </row>
    <row r="7434" spans="12:13">
      <c r="L7434" s="3">
        <v>44677.791666642646</v>
      </c>
      <c r="M7434" s="15"/>
    </row>
    <row r="7435" spans="12:13">
      <c r="L7435" s="3">
        <v>44677.795138864865</v>
      </c>
      <c r="M7435" s="15"/>
    </row>
    <row r="7436" spans="12:13">
      <c r="L7436" s="3">
        <v>44677.798611087084</v>
      </c>
      <c r="M7436" s="15"/>
    </row>
    <row r="7437" spans="12:13">
      <c r="L7437" s="3">
        <v>44677.802083309303</v>
      </c>
      <c r="M7437" s="15"/>
    </row>
    <row r="7438" spans="12:13">
      <c r="L7438" s="3">
        <v>44677.805555531522</v>
      </c>
      <c r="M7438" s="15"/>
    </row>
    <row r="7439" spans="12:13">
      <c r="L7439" s="3">
        <v>44677.809027753741</v>
      </c>
      <c r="M7439" s="15"/>
    </row>
    <row r="7440" spans="12:13">
      <c r="L7440" s="3">
        <v>44677.81249997596</v>
      </c>
      <c r="M7440" s="15"/>
    </row>
    <row r="7441" spans="12:13">
      <c r="L7441" s="3">
        <v>44677.815972198179</v>
      </c>
      <c r="M7441" s="15"/>
    </row>
    <row r="7442" spans="12:13">
      <c r="L7442" s="3">
        <v>44677.819444420398</v>
      </c>
      <c r="M7442" s="15"/>
    </row>
    <row r="7443" spans="12:13">
      <c r="L7443" s="3">
        <v>44677.822916642617</v>
      </c>
      <c r="M7443" s="15"/>
    </row>
    <row r="7444" spans="12:13">
      <c r="L7444" s="3">
        <v>44677.826388864836</v>
      </c>
      <c r="M7444" s="15"/>
    </row>
    <row r="7445" spans="12:13">
      <c r="L7445" s="3">
        <v>44677.829861087055</v>
      </c>
      <c r="M7445" s="15"/>
    </row>
    <row r="7446" spans="12:13">
      <c r="L7446" s="3">
        <v>44677.833333309274</v>
      </c>
      <c r="M7446" s="15"/>
    </row>
    <row r="7447" spans="12:13">
      <c r="L7447" s="3">
        <v>44677.836805531493</v>
      </c>
      <c r="M7447" s="15"/>
    </row>
    <row r="7448" spans="12:13">
      <c r="L7448" s="3">
        <v>44677.840277753712</v>
      </c>
      <c r="M7448" s="15"/>
    </row>
    <row r="7449" spans="12:13">
      <c r="L7449" s="3">
        <v>44677.843749975931</v>
      </c>
      <c r="M7449" s="15"/>
    </row>
    <row r="7450" spans="12:13">
      <c r="L7450" s="3">
        <v>44677.84722219815</v>
      </c>
      <c r="M7450" s="15"/>
    </row>
    <row r="7451" spans="12:13">
      <c r="L7451" s="3">
        <v>44677.850694420369</v>
      </c>
      <c r="M7451" s="15"/>
    </row>
    <row r="7452" spans="12:13">
      <c r="L7452" s="3">
        <v>44677.854166642588</v>
      </c>
      <c r="M7452" s="15"/>
    </row>
    <row r="7453" spans="12:13">
      <c r="L7453" s="3">
        <v>44677.857638864807</v>
      </c>
      <c r="M7453" s="15"/>
    </row>
    <row r="7454" spans="12:13">
      <c r="L7454" s="3">
        <v>44677.861111087026</v>
      </c>
      <c r="M7454" s="15"/>
    </row>
    <row r="7455" spans="12:13">
      <c r="L7455" s="3">
        <v>44677.864583309245</v>
      </c>
      <c r="M7455" s="15"/>
    </row>
    <row r="7456" spans="12:13">
      <c r="L7456" s="3">
        <v>44677.868055531464</v>
      </c>
      <c r="M7456" s="15"/>
    </row>
    <row r="7457" spans="12:13">
      <c r="L7457" s="3">
        <v>44677.871527753683</v>
      </c>
      <c r="M7457" s="15"/>
    </row>
    <row r="7458" spans="12:13">
      <c r="L7458" s="3">
        <v>44677.874999975902</v>
      </c>
      <c r="M7458" s="15"/>
    </row>
    <row r="7459" spans="12:13">
      <c r="L7459" s="3">
        <v>44677.878472198121</v>
      </c>
      <c r="M7459" s="15"/>
    </row>
    <row r="7460" spans="12:13">
      <c r="L7460" s="3">
        <v>44677.88194442034</v>
      </c>
      <c r="M7460" s="15"/>
    </row>
    <row r="7461" spans="12:13">
      <c r="L7461" s="3">
        <v>44677.885416642559</v>
      </c>
      <c r="M7461" s="15"/>
    </row>
    <row r="7462" spans="12:13">
      <c r="L7462" s="3">
        <v>44677.888888864778</v>
      </c>
      <c r="M7462" s="15"/>
    </row>
    <row r="7463" spans="12:13">
      <c r="L7463" s="3">
        <v>44677.892361086997</v>
      </c>
      <c r="M7463" s="15"/>
    </row>
    <row r="7464" spans="12:13">
      <c r="L7464" s="3">
        <v>44677.895833309216</v>
      </c>
      <c r="M7464" s="15"/>
    </row>
    <row r="7465" spans="12:13">
      <c r="L7465" s="3">
        <v>44677.899305531435</v>
      </c>
      <c r="M7465" s="15"/>
    </row>
    <row r="7466" spans="12:13">
      <c r="L7466" s="3">
        <v>44677.902777753654</v>
      </c>
      <c r="M7466" s="15"/>
    </row>
    <row r="7467" spans="12:13">
      <c r="L7467" s="3">
        <v>44677.906249975873</v>
      </c>
      <c r="M7467" s="15"/>
    </row>
    <row r="7468" spans="12:13">
      <c r="L7468" s="3">
        <v>44677.909722198092</v>
      </c>
      <c r="M7468" s="15"/>
    </row>
    <row r="7469" spans="12:13">
      <c r="L7469" s="3">
        <v>44677.913194420311</v>
      </c>
      <c r="M7469" s="15"/>
    </row>
    <row r="7470" spans="12:13">
      <c r="L7470" s="3">
        <v>44677.91666664253</v>
      </c>
      <c r="M7470" s="15"/>
    </row>
    <row r="7471" spans="12:13">
      <c r="L7471" s="3">
        <v>44677.920138864749</v>
      </c>
      <c r="M7471" s="15"/>
    </row>
    <row r="7472" spans="12:13">
      <c r="L7472" s="3">
        <v>44677.923611086968</v>
      </c>
      <c r="M7472" s="15"/>
    </row>
    <row r="7473" spans="12:13">
      <c r="L7473" s="3">
        <v>44677.927083309187</v>
      </c>
      <c r="M7473" s="15"/>
    </row>
    <row r="7474" spans="12:13">
      <c r="L7474" s="3">
        <v>44677.930555531406</v>
      </c>
      <c r="M7474" s="15"/>
    </row>
    <row r="7475" spans="12:13">
      <c r="L7475" s="3">
        <v>44677.934027753625</v>
      </c>
      <c r="M7475" s="15"/>
    </row>
    <row r="7476" spans="12:13">
      <c r="L7476" s="3">
        <v>44677.937499975844</v>
      </c>
      <c r="M7476" s="15"/>
    </row>
    <row r="7477" spans="12:13">
      <c r="L7477" s="3">
        <v>44677.940972198063</v>
      </c>
      <c r="M7477" s="15"/>
    </row>
    <row r="7478" spans="12:13">
      <c r="L7478" s="3">
        <v>44677.944444420282</v>
      </c>
      <c r="M7478" s="15"/>
    </row>
    <row r="7479" spans="12:13">
      <c r="L7479" s="3">
        <v>44677.947916642501</v>
      </c>
      <c r="M7479" s="15"/>
    </row>
    <row r="7480" spans="12:13">
      <c r="L7480" s="3">
        <v>44677.95138886472</v>
      </c>
      <c r="M7480" s="15"/>
    </row>
    <row r="7481" spans="12:13">
      <c r="L7481" s="3">
        <v>44677.954861086939</v>
      </c>
      <c r="M7481" s="15"/>
    </row>
    <row r="7482" spans="12:13">
      <c r="L7482" s="3">
        <v>44677.958333309158</v>
      </c>
      <c r="M7482" s="15"/>
    </row>
    <row r="7483" spans="12:13">
      <c r="L7483" s="3">
        <v>44677.961805531377</v>
      </c>
      <c r="M7483" s="15"/>
    </row>
    <row r="7484" spans="12:13">
      <c r="L7484" s="3">
        <v>44677.965277753596</v>
      </c>
      <c r="M7484" s="15"/>
    </row>
    <row r="7485" spans="12:13">
      <c r="L7485" s="3">
        <v>44677.968749975815</v>
      </c>
      <c r="M7485" s="15"/>
    </row>
    <row r="7486" spans="12:13">
      <c r="L7486" s="3">
        <v>44677.972222198034</v>
      </c>
      <c r="M7486" s="15"/>
    </row>
    <row r="7487" spans="12:13">
      <c r="L7487" s="3">
        <v>44677.975694420253</v>
      </c>
      <c r="M7487" s="15"/>
    </row>
    <row r="7488" spans="12:13">
      <c r="L7488" s="3">
        <v>44677.979166642472</v>
      </c>
      <c r="M7488" s="15"/>
    </row>
    <row r="7489" spans="12:13">
      <c r="L7489" s="3">
        <v>44677.982638864691</v>
      </c>
      <c r="M7489" s="15"/>
    </row>
    <row r="7490" spans="12:13">
      <c r="L7490" s="3">
        <v>44677.98611108691</v>
      </c>
      <c r="M7490" s="15"/>
    </row>
    <row r="7491" spans="12:13">
      <c r="L7491" s="3">
        <v>44677.989583309129</v>
      </c>
      <c r="M7491" s="15"/>
    </row>
    <row r="7492" spans="12:13">
      <c r="L7492" s="3">
        <v>44677.993055531348</v>
      </c>
      <c r="M7492" s="15"/>
    </row>
    <row r="7493" spans="12:13">
      <c r="L7493" s="3">
        <v>44677.996527753567</v>
      </c>
      <c r="M7493" s="15"/>
    </row>
    <row r="7494" spans="12:13">
      <c r="L7494" s="3">
        <v>44677.999999975786</v>
      </c>
      <c r="M7494" s="15"/>
    </row>
    <row r="7495" spans="12:13">
      <c r="L7495" s="3">
        <v>44678.003472198005</v>
      </c>
      <c r="M7495" s="15"/>
    </row>
    <row r="7496" spans="12:13">
      <c r="L7496" s="3">
        <v>44678.006944420224</v>
      </c>
      <c r="M7496" s="15"/>
    </row>
    <row r="7497" spans="12:13">
      <c r="L7497" s="3">
        <v>44678.010416642443</v>
      </c>
      <c r="M7497" s="15"/>
    </row>
    <row r="7498" spans="12:13">
      <c r="L7498" s="3">
        <v>44678.013888864662</v>
      </c>
      <c r="M7498" s="15"/>
    </row>
    <row r="7499" spans="12:13">
      <c r="L7499" s="3">
        <v>44678.017361086881</v>
      </c>
      <c r="M7499" s="15"/>
    </row>
    <row r="7500" spans="12:13">
      <c r="L7500" s="3">
        <v>44678.0208333091</v>
      </c>
      <c r="M7500" s="15"/>
    </row>
    <row r="7501" spans="12:13">
      <c r="L7501" s="3">
        <v>44678.024305531319</v>
      </c>
      <c r="M7501" s="15"/>
    </row>
    <row r="7502" spans="12:13">
      <c r="L7502" s="3">
        <v>44678.027777753538</v>
      </c>
      <c r="M7502" s="15"/>
    </row>
    <row r="7503" spans="12:13">
      <c r="L7503" s="3">
        <v>44678.031249975757</v>
      </c>
      <c r="M7503" s="15"/>
    </row>
    <row r="7504" spans="12:13">
      <c r="L7504" s="3">
        <v>44678.034722197975</v>
      </c>
      <c r="M7504" s="15"/>
    </row>
    <row r="7505" spans="12:13">
      <c r="L7505" s="3">
        <v>44678.038194420194</v>
      </c>
      <c r="M7505" s="15"/>
    </row>
    <row r="7506" spans="12:13">
      <c r="L7506" s="3">
        <v>44678.041666642413</v>
      </c>
      <c r="M7506" s="15"/>
    </row>
    <row r="7507" spans="12:13">
      <c r="L7507" s="3">
        <v>44678.045138864632</v>
      </c>
      <c r="M7507" s="15"/>
    </row>
    <row r="7508" spans="12:13">
      <c r="L7508" s="3">
        <v>44678.048611086851</v>
      </c>
      <c r="M7508" s="15"/>
    </row>
    <row r="7509" spans="12:13">
      <c r="L7509" s="3">
        <v>44678.05208330907</v>
      </c>
      <c r="M7509" s="15"/>
    </row>
    <row r="7510" spans="12:13">
      <c r="L7510" s="3">
        <v>44678.055555531289</v>
      </c>
      <c r="M7510" s="15"/>
    </row>
    <row r="7511" spans="12:13">
      <c r="L7511" s="3">
        <v>44678.059027753508</v>
      </c>
      <c r="M7511" s="15"/>
    </row>
    <row r="7512" spans="12:13">
      <c r="L7512" s="3">
        <v>44678.062499975727</v>
      </c>
      <c r="M7512" s="15"/>
    </row>
    <row r="7513" spans="12:13">
      <c r="L7513" s="3">
        <v>44678.065972197946</v>
      </c>
      <c r="M7513" s="15"/>
    </row>
    <row r="7514" spans="12:13">
      <c r="L7514" s="3">
        <v>44678.069444420165</v>
      </c>
      <c r="M7514" s="15"/>
    </row>
    <row r="7515" spans="12:13">
      <c r="L7515" s="3">
        <v>44678.072916642384</v>
      </c>
      <c r="M7515" s="15"/>
    </row>
    <row r="7516" spans="12:13">
      <c r="L7516" s="3">
        <v>44678.076388864603</v>
      </c>
      <c r="M7516" s="15"/>
    </row>
    <row r="7517" spans="12:13">
      <c r="L7517" s="3">
        <v>44678.079861086822</v>
      </c>
      <c r="M7517" s="15"/>
    </row>
    <row r="7518" spans="12:13">
      <c r="L7518" s="3">
        <v>44678.083333309041</v>
      </c>
      <c r="M7518" s="15"/>
    </row>
    <row r="7519" spans="12:13">
      <c r="L7519" s="3">
        <v>44678.08680553126</v>
      </c>
      <c r="M7519" s="15"/>
    </row>
    <row r="7520" spans="12:13">
      <c r="L7520" s="3">
        <v>44678.090277753479</v>
      </c>
      <c r="M7520" s="15"/>
    </row>
    <row r="7521" spans="12:13">
      <c r="L7521" s="3">
        <v>44678.093749975698</v>
      </c>
      <c r="M7521" s="15"/>
    </row>
    <row r="7522" spans="12:13">
      <c r="L7522" s="3">
        <v>44678.097222197917</v>
      </c>
      <c r="M7522" s="15"/>
    </row>
    <row r="7523" spans="12:13">
      <c r="L7523" s="3">
        <v>44678.100694420136</v>
      </c>
      <c r="M7523" s="15"/>
    </row>
    <row r="7524" spans="12:13">
      <c r="L7524" s="3">
        <v>44678.104166642355</v>
      </c>
      <c r="M7524" s="15"/>
    </row>
    <row r="7525" spans="12:13">
      <c r="L7525" s="3">
        <v>44678.107638864574</v>
      </c>
      <c r="M7525" s="15"/>
    </row>
    <row r="7526" spans="12:13">
      <c r="L7526" s="3">
        <v>44678.111111086793</v>
      </c>
      <c r="M7526" s="15"/>
    </row>
    <row r="7527" spans="12:13">
      <c r="L7527" s="3">
        <v>44678.114583309012</v>
      </c>
      <c r="M7527" s="15"/>
    </row>
    <row r="7528" spans="12:13">
      <c r="L7528" s="3">
        <v>44678.118055531231</v>
      </c>
      <c r="M7528" s="15"/>
    </row>
    <row r="7529" spans="12:13">
      <c r="L7529" s="3">
        <v>44678.12152775345</v>
      </c>
      <c r="M7529" s="15"/>
    </row>
    <row r="7530" spans="12:13">
      <c r="L7530" s="3">
        <v>44678.124999975669</v>
      </c>
      <c r="M7530" s="15"/>
    </row>
    <row r="7531" spans="12:13">
      <c r="L7531" s="3">
        <v>44678.128472197888</v>
      </c>
      <c r="M7531" s="15"/>
    </row>
    <row r="7532" spans="12:13">
      <c r="L7532" s="3">
        <v>44678.131944420107</v>
      </c>
      <c r="M7532" s="15"/>
    </row>
    <row r="7533" spans="12:13">
      <c r="L7533" s="3">
        <v>44678.135416642326</v>
      </c>
      <c r="M7533" s="15"/>
    </row>
    <row r="7534" spans="12:13">
      <c r="L7534" s="3">
        <v>44678.138888864545</v>
      </c>
      <c r="M7534" s="15"/>
    </row>
    <row r="7535" spans="12:13">
      <c r="L7535" s="3">
        <v>44678.142361086764</v>
      </c>
      <c r="M7535" s="15"/>
    </row>
    <row r="7536" spans="12:13">
      <c r="L7536" s="3">
        <v>44678.145833308983</v>
      </c>
      <c r="M7536" s="15"/>
    </row>
    <row r="7537" spans="12:13">
      <c r="L7537" s="3">
        <v>44678.149305531202</v>
      </c>
      <c r="M7537" s="15"/>
    </row>
    <row r="7538" spans="12:13">
      <c r="L7538" s="3">
        <v>44678.152777753421</v>
      </c>
      <c r="M7538" s="15"/>
    </row>
    <row r="7539" spans="12:13">
      <c r="L7539" s="3">
        <v>44678.15624997564</v>
      </c>
      <c r="M7539" s="15"/>
    </row>
    <row r="7540" spans="12:13">
      <c r="L7540" s="3">
        <v>44678.159722197859</v>
      </c>
      <c r="M7540" s="15"/>
    </row>
    <row r="7541" spans="12:13">
      <c r="L7541" s="3">
        <v>44678.163194420078</v>
      </c>
      <c r="M7541" s="15"/>
    </row>
    <row r="7542" spans="12:13">
      <c r="L7542" s="3">
        <v>44678.166666642297</v>
      </c>
      <c r="M7542" s="15"/>
    </row>
    <row r="7543" spans="12:13">
      <c r="L7543" s="3">
        <v>44678.170138864516</v>
      </c>
      <c r="M7543" s="15"/>
    </row>
    <row r="7544" spans="12:13">
      <c r="L7544" s="3">
        <v>44678.173611086735</v>
      </c>
      <c r="M7544" s="15"/>
    </row>
    <row r="7545" spans="12:13">
      <c r="L7545" s="3">
        <v>44678.177083308954</v>
      </c>
      <c r="M7545" s="15"/>
    </row>
    <row r="7546" spans="12:13">
      <c r="L7546" s="3">
        <v>44678.180555531173</v>
      </c>
      <c r="M7546" s="15"/>
    </row>
    <row r="7547" spans="12:13">
      <c r="L7547" s="3">
        <v>44678.184027753392</v>
      </c>
      <c r="M7547" s="15"/>
    </row>
    <row r="7548" spans="12:13">
      <c r="L7548" s="3">
        <v>44678.187499975611</v>
      </c>
      <c r="M7548" s="15"/>
    </row>
    <row r="7549" spans="12:13">
      <c r="L7549" s="3">
        <v>44678.19097219783</v>
      </c>
      <c r="M7549" s="15"/>
    </row>
    <row r="7550" spans="12:13">
      <c r="L7550" s="3">
        <v>44678.194444420049</v>
      </c>
      <c r="M7550" s="15"/>
    </row>
    <row r="7551" spans="12:13">
      <c r="L7551" s="3">
        <v>44678.197916642268</v>
      </c>
      <c r="M7551" s="15"/>
    </row>
    <row r="7552" spans="12:13">
      <c r="L7552" s="3">
        <v>44678.201388864487</v>
      </c>
      <c r="M7552" s="15"/>
    </row>
    <row r="7553" spans="12:13">
      <c r="L7553" s="3">
        <v>44678.204861086706</v>
      </c>
      <c r="M7553" s="15"/>
    </row>
    <row r="7554" spans="12:13">
      <c r="L7554" s="3">
        <v>44678.208333308925</v>
      </c>
      <c r="M7554" s="15"/>
    </row>
    <row r="7555" spans="12:13">
      <c r="L7555" s="3">
        <v>44678.211805531144</v>
      </c>
      <c r="M7555" s="15"/>
    </row>
    <row r="7556" spans="12:13">
      <c r="L7556" s="3">
        <v>44678.215277753363</v>
      </c>
      <c r="M7556" s="15"/>
    </row>
    <row r="7557" spans="12:13">
      <c r="L7557" s="3">
        <v>44678.218749975582</v>
      </c>
      <c r="M7557" s="15"/>
    </row>
    <row r="7558" spans="12:13">
      <c r="L7558" s="3">
        <v>44678.222222197801</v>
      </c>
      <c r="M7558" s="15"/>
    </row>
    <row r="7559" spans="12:13">
      <c r="L7559" s="3">
        <v>44678.22569442002</v>
      </c>
      <c r="M7559" s="15"/>
    </row>
    <row r="7560" spans="12:13">
      <c r="L7560" s="3">
        <v>44678.229166642239</v>
      </c>
      <c r="M7560" s="15"/>
    </row>
    <row r="7561" spans="12:13">
      <c r="L7561" s="3">
        <v>44678.232638864458</v>
      </c>
      <c r="M7561" s="15"/>
    </row>
    <row r="7562" spans="12:13">
      <c r="L7562" s="3">
        <v>44678.236111086677</v>
      </c>
      <c r="M7562" s="15"/>
    </row>
    <row r="7563" spans="12:13">
      <c r="L7563" s="3">
        <v>44678.239583308896</v>
      </c>
      <c r="M7563" s="15"/>
    </row>
    <row r="7564" spans="12:13">
      <c r="L7564" s="3">
        <v>44678.243055531115</v>
      </c>
      <c r="M7564" s="15"/>
    </row>
    <row r="7565" spans="12:13">
      <c r="L7565" s="3">
        <v>44678.246527753334</v>
      </c>
      <c r="M7565" s="15"/>
    </row>
    <row r="7566" spans="12:13">
      <c r="L7566" s="3">
        <v>44678.249999975553</v>
      </c>
      <c r="M7566" s="15"/>
    </row>
    <row r="7567" spans="12:13">
      <c r="L7567" s="3">
        <v>44678.253472197772</v>
      </c>
      <c r="M7567" s="15"/>
    </row>
    <row r="7568" spans="12:13">
      <c r="L7568" s="3">
        <v>44678.256944419991</v>
      </c>
      <c r="M7568" s="15"/>
    </row>
    <row r="7569" spans="12:13">
      <c r="L7569" s="3">
        <v>44678.26041664221</v>
      </c>
      <c r="M7569" s="15"/>
    </row>
    <row r="7570" spans="12:13">
      <c r="L7570" s="3">
        <v>44678.263888864429</v>
      </c>
      <c r="M7570" s="15"/>
    </row>
    <row r="7571" spans="12:13">
      <c r="L7571" s="3">
        <v>44678.267361086648</v>
      </c>
      <c r="M7571" s="15"/>
    </row>
    <row r="7572" spans="12:13">
      <c r="L7572" s="3">
        <v>44678.270833308867</v>
      </c>
      <c r="M7572" s="15"/>
    </row>
    <row r="7573" spans="12:13">
      <c r="L7573" s="3">
        <v>44678.274305531086</v>
      </c>
      <c r="M7573" s="15"/>
    </row>
    <row r="7574" spans="12:13">
      <c r="L7574" s="3">
        <v>44678.277777753305</v>
      </c>
      <c r="M7574" s="15"/>
    </row>
    <row r="7575" spans="12:13">
      <c r="L7575" s="3">
        <v>44678.281249975524</v>
      </c>
      <c r="M7575" s="15"/>
    </row>
    <row r="7576" spans="12:13">
      <c r="L7576" s="3">
        <v>44678.284722197743</v>
      </c>
      <c r="M7576" s="15"/>
    </row>
    <row r="7577" spans="12:13">
      <c r="L7577" s="3">
        <v>44678.288194419962</v>
      </c>
      <c r="M7577" s="15"/>
    </row>
    <row r="7578" spans="12:13">
      <c r="L7578" s="3">
        <v>44678.291666642181</v>
      </c>
      <c r="M7578" s="15"/>
    </row>
    <row r="7579" spans="12:13">
      <c r="L7579" s="3">
        <v>44678.2951388644</v>
      </c>
      <c r="M7579" s="15"/>
    </row>
    <row r="7580" spans="12:13">
      <c r="L7580" s="3">
        <v>44678.298611086619</v>
      </c>
      <c r="M7580" s="15"/>
    </row>
    <row r="7581" spans="12:13">
      <c r="L7581" s="3">
        <v>44678.302083308838</v>
      </c>
      <c r="M7581" s="15"/>
    </row>
    <row r="7582" spans="12:13">
      <c r="L7582" s="3">
        <v>44678.305555531057</v>
      </c>
      <c r="M7582" s="15"/>
    </row>
    <row r="7583" spans="12:13">
      <c r="L7583" s="3">
        <v>44678.309027753276</v>
      </c>
      <c r="M7583" s="15"/>
    </row>
    <row r="7584" spans="12:13">
      <c r="L7584" s="3">
        <v>44678.312499975495</v>
      </c>
      <c r="M7584" s="15"/>
    </row>
    <row r="7585" spans="12:13">
      <c r="L7585" s="3">
        <v>44678.315972197714</v>
      </c>
      <c r="M7585" s="15"/>
    </row>
    <row r="7586" spans="12:13">
      <c r="L7586" s="3">
        <v>44678.319444419933</v>
      </c>
      <c r="M7586" s="15"/>
    </row>
    <row r="7587" spans="12:13">
      <c r="L7587" s="3">
        <v>44678.322916642152</v>
      </c>
      <c r="M7587" s="15"/>
    </row>
    <row r="7588" spans="12:13">
      <c r="L7588" s="3">
        <v>44678.326388864371</v>
      </c>
      <c r="M7588" s="15"/>
    </row>
    <row r="7589" spans="12:13">
      <c r="L7589" s="3">
        <v>44678.32986108659</v>
      </c>
      <c r="M7589" s="15"/>
    </row>
    <row r="7590" spans="12:13">
      <c r="L7590" s="3">
        <v>44678.333333308809</v>
      </c>
      <c r="M7590" s="15"/>
    </row>
    <row r="7591" spans="12:13">
      <c r="L7591" s="3">
        <v>44678.336805531027</v>
      </c>
      <c r="M7591" s="15"/>
    </row>
    <row r="7592" spans="12:13">
      <c r="L7592" s="3">
        <v>44678.340277753246</v>
      </c>
      <c r="M7592" s="15"/>
    </row>
    <row r="7593" spans="12:13">
      <c r="L7593" s="3">
        <v>44678.343749975465</v>
      </c>
      <c r="M7593" s="15"/>
    </row>
    <row r="7594" spans="12:13">
      <c r="L7594" s="3">
        <v>44678.347222197684</v>
      </c>
      <c r="M7594" s="15"/>
    </row>
    <row r="7595" spans="12:13">
      <c r="L7595" s="3">
        <v>44678.350694419903</v>
      </c>
      <c r="M7595" s="15"/>
    </row>
    <row r="7596" spans="12:13">
      <c r="L7596" s="3">
        <v>44678.354166642122</v>
      </c>
      <c r="M7596" s="15"/>
    </row>
    <row r="7597" spans="12:13">
      <c r="L7597" s="3">
        <v>44678.357638864341</v>
      </c>
      <c r="M7597" s="15"/>
    </row>
    <row r="7598" spans="12:13">
      <c r="L7598" s="3">
        <v>44678.36111108656</v>
      </c>
      <c r="M7598" s="15"/>
    </row>
    <row r="7599" spans="12:13">
      <c r="L7599" s="3">
        <v>44678.364583308779</v>
      </c>
      <c r="M7599" s="15"/>
    </row>
    <row r="7600" spans="12:13">
      <c r="L7600" s="3">
        <v>44678.368055530998</v>
      </c>
      <c r="M7600" s="15"/>
    </row>
    <row r="7601" spans="12:13">
      <c r="L7601" s="3">
        <v>44678.371527753217</v>
      </c>
      <c r="M7601" s="15"/>
    </row>
    <row r="7602" spans="12:13">
      <c r="L7602" s="3">
        <v>44678.374999975436</v>
      </c>
      <c r="M7602" s="15"/>
    </row>
    <row r="7603" spans="12:13">
      <c r="L7603" s="3">
        <v>44678.378472197655</v>
      </c>
      <c r="M7603" s="15"/>
    </row>
    <row r="7604" spans="12:13">
      <c r="L7604" s="3">
        <v>44678.381944419874</v>
      </c>
      <c r="M7604" s="15"/>
    </row>
    <row r="7605" spans="12:13">
      <c r="L7605" s="3">
        <v>44678.385416642093</v>
      </c>
      <c r="M7605" s="15"/>
    </row>
    <row r="7606" spans="12:13">
      <c r="L7606" s="3">
        <v>44678.388888864312</v>
      </c>
      <c r="M7606" s="15"/>
    </row>
    <row r="7607" spans="12:13">
      <c r="L7607" s="3">
        <v>44678.392361086531</v>
      </c>
      <c r="M7607" s="15"/>
    </row>
    <row r="7608" spans="12:13">
      <c r="L7608" s="3">
        <v>44678.39583330875</v>
      </c>
      <c r="M7608" s="15"/>
    </row>
    <row r="7609" spans="12:13">
      <c r="L7609" s="3">
        <v>44678.399305530969</v>
      </c>
      <c r="M7609" s="15"/>
    </row>
    <row r="7610" spans="12:13">
      <c r="L7610" s="3">
        <v>44678.402777753188</v>
      </c>
      <c r="M7610" s="15"/>
    </row>
    <row r="7611" spans="12:13">
      <c r="L7611" s="3">
        <v>44678.406249975407</v>
      </c>
      <c r="M7611" s="15"/>
    </row>
    <row r="7612" spans="12:13">
      <c r="L7612" s="3">
        <v>44678.409722197626</v>
      </c>
      <c r="M7612" s="15"/>
    </row>
    <row r="7613" spans="12:13">
      <c r="L7613" s="3">
        <v>44678.413194419845</v>
      </c>
      <c r="M7613" s="15"/>
    </row>
    <row r="7614" spans="12:13">
      <c r="L7614" s="3">
        <v>44678.416666642064</v>
      </c>
      <c r="M7614" s="15"/>
    </row>
    <row r="7615" spans="12:13">
      <c r="L7615" s="3">
        <v>44678.420138864283</v>
      </c>
      <c r="M7615" s="15"/>
    </row>
    <row r="7616" spans="12:13">
      <c r="L7616" s="3">
        <v>44678.423611086502</v>
      </c>
      <c r="M7616" s="15"/>
    </row>
    <row r="7617" spans="12:13">
      <c r="L7617" s="3">
        <v>44678.427083308721</v>
      </c>
      <c r="M7617" s="15"/>
    </row>
    <row r="7618" spans="12:13">
      <c r="L7618" s="3">
        <v>44678.43055553094</v>
      </c>
      <c r="M7618" s="15"/>
    </row>
    <row r="7619" spans="12:13">
      <c r="L7619" s="3">
        <v>44678.434027753159</v>
      </c>
      <c r="M7619" s="15"/>
    </row>
    <row r="7620" spans="12:13">
      <c r="L7620" s="3">
        <v>44678.437499975378</v>
      </c>
      <c r="M7620" s="15"/>
    </row>
    <row r="7621" spans="12:13">
      <c r="L7621" s="3">
        <v>44678.440972197597</v>
      </c>
      <c r="M7621" s="15"/>
    </row>
    <row r="7622" spans="12:13">
      <c r="L7622" s="3">
        <v>44678.444444419816</v>
      </c>
      <c r="M7622" s="15"/>
    </row>
    <row r="7623" spans="12:13">
      <c r="L7623" s="3">
        <v>44678.447916642035</v>
      </c>
      <c r="M7623" s="15"/>
    </row>
    <row r="7624" spans="12:13">
      <c r="L7624" s="3">
        <v>44678.451388864254</v>
      </c>
      <c r="M7624" s="15"/>
    </row>
    <row r="7625" spans="12:13">
      <c r="L7625" s="3">
        <v>44678.454861086473</v>
      </c>
      <c r="M7625" s="15"/>
    </row>
    <row r="7626" spans="12:13">
      <c r="L7626" s="3">
        <v>44678.458333308692</v>
      </c>
      <c r="M7626" s="15"/>
    </row>
    <row r="7627" spans="12:13">
      <c r="L7627" s="3">
        <v>44678.461805530911</v>
      </c>
      <c r="M7627" s="15"/>
    </row>
    <row r="7628" spans="12:13">
      <c r="L7628" s="3">
        <v>44678.46527775313</v>
      </c>
      <c r="M7628" s="15"/>
    </row>
    <row r="7629" spans="12:13">
      <c r="L7629" s="3">
        <v>44678.468749975349</v>
      </c>
      <c r="M7629" s="15"/>
    </row>
    <row r="7630" spans="12:13">
      <c r="L7630" s="3">
        <v>44678.472222197568</v>
      </c>
      <c r="M7630" s="15"/>
    </row>
    <row r="7631" spans="12:13">
      <c r="L7631" s="3">
        <v>44678.475694419787</v>
      </c>
      <c r="M7631" s="15"/>
    </row>
    <row r="7632" spans="12:13">
      <c r="L7632" s="3">
        <v>44678.479166642006</v>
      </c>
      <c r="M7632" s="15"/>
    </row>
    <row r="7633" spans="12:13">
      <c r="L7633" s="3">
        <v>44678.482638864225</v>
      </c>
      <c r="M7633" s="15"/>
    </row>
    <row r="7634" spans="12:13">
      <c r="L7634" s="3">
        <v>44678.486111086444</v>
      </c>
      <c r="M7634" s="15"/>
    </row>
    <row r="7635" spans="12:13">
      <c r="L7635" s="3">
        <v>44678.489583308663</v>
      </c>
      <c r="M7635" s="15"/>
    </row>
    <row r="7636" spans="12:13">
      <c r="L7636" s="3">
        <v>44678.493055530882</v>
      </c>
      <c r="M7636" s="15"/>
    </row>
    <row r="7637" spans="12:13">
      <c r="L7637" s="3">
        <v>44678.496527753101</v>
      </c>
      <c r="M7637" s="15"/>
    </row>
    <row r="7638" spans="12:13">
      <c r="L7638" s="3">
        <v>44678.49999997532</v>
      </c>
      <c r="M7638" s="15"/>
    </row>
    <row r="7639" spans="12:13">
      <c r="L7639" s="3">
        <v>44678.503472197539</v>
      </c>
      <c r="M7639" s="15"/>
    </row>
    <row r="7640" spans="12:13">
      <c r="L7640" s="3">
        <v>44678.506944419758</v>
      </c>
      <c r="M7640" s="15"/>
    </row>
    <row r="7641" spans="12:13">
      <c r="L7641" s="3">
        <v>44678.510416641977</v>
      </c>
      <c r="M7641" s="15"/>
    </row>
    <row r="7642" spans="12:13">
      <c r="L7642" s="3">
        <v>44678.513888864196</v>
      </c>
      <c r="M7642" s="15"/>
    </row>
    <row r="7643" spans="12:13">
      <c r="L7643" s="3">
        <v>44678.517361086415</v>
      </c>
      <c r="M7643" s="15"/>
    </row>
    <row r="7644" spans="12:13">
      <c r="L7644" s="3">
        <v>44678.520833308634</v>
      </c>
      <c r="M7644" s="15"/>
    </row>
    <row r="7645" spans="12:13">
      <c r="L7645" s="3">
        <v>44678.524305530853</v>
      </c>
      <c r="M7645" s="15"/>
    </row>
    <row r="7646" spans="12:13">
      <c r="L7646" s="3">
        <v>44678.527777753072</v>
      </c>
      <c r="M7646" s="15"/>
    </row>
    <row r="7647" spans="12:13">
      <c r="L7647" s="3">
        <v>44678.531249975291</v>
      </c>
      <c r="M7647" s="15"/>
    </row>
    <row r="7648" spans="12:13">
      <c r="L7648" s="3">
        <v>44678.53472219751</v>
      </c>
      <c r="M7648" s="15"/>
    </row>
    <row r="7649" spans="12:13">
      <c r="L7649" s="3">
        <v>44678.538194419729</v>
      </c>
      <c r="M7649" s="15"/>
    </row>
    <row r="7650" spans="12:13">
      <c r="L7650" s="3">
        <v>44678.541666641948</v>
      </c>
      <c r="M7650" s="15"/>
    </row>
    <row r="7651" spans="12:13">
      <c r="L7651" s="3">
        <v>44678.545138864167</v>
      </c>
      <c r="M7651" s="15"/>
    </row>
    <row r="7652" spans="12:13">
      <c r="L7652" s="3">
        <v>44678.548611086386</v>
      </c>
      <c r="M7652" s="15"/>
    </row>
    <row r="7653" spans="12:13">
      <c r="L7653" s="3">
        <v>44678.552083308605</v>
      </c>
      <c r="M7653" s="15"/>
    </row>
    <row r="7654" spans="12:13">
      <c r="L7654" s="3">
        <v>44678.555555530824</v>
      </c>
      <c r="M7654" s="15"/>
    </row>
    <row r="7655" spans="12:13">
      <c r="L7655" s="3">
        <v>44678.559027753043</v>
      </c>
      <c r="M7655" s="15"/>
    </row>
    <row r="7656" spans="12:13">
      <c r="L7656" s="3">
        <v>44678.562499975262</v>
      </c>
      <c r="M7656" s="15"/>
    </row>
    <row r="7657" spans="12:13">
      <c r="L7657" s="3">
        <v>44678.565972197481</v>
      </c>
      <c r="M7657" s="15"/>
    </row>
    <row r="7658" spans="12:13">
      <c r="L7658" s="3">
        <v>44678.5694444197</v>
      </c>
      <c r="M7658" s="15"/>
    </row>
    <row r="7659" spans="12:13">
      <c r="L7659" s="3">
        <v>44678.572916641919</v>
      </c>
      <c r="M7659" s="15"/>
    </row>
    <row r="7660" spans="12:13">
      <c r="L7660" s="3">
        <v>44678.576388864138</v>
      </c>
      <c r="M7660" s="15"/>
    </row>
    <row r="7661" spans="12:13">
      <c r="L7661" s="3">
        <v>44678.579861086357</v>
      </c>
      <c r="M7661" s="15"/>
    </row>
    <row r="7662" spans="12:13">
      <c r="L7662" s="3">
        <v>44678.583333308576</v>
      </c>
      <c r="M7662" s="15"/>
    </row>
    <row r="7663" spans="12:13">
      <c r="L7663" s="3">
        <v>44678.586805530795</v>
      </c>
      <c r="M7663" s="15"/>
    </row>
    <row r="7664" spans="12:13">
      <c r="L7664" s="3">
        <v>44678.590277753014</v>
      </c>
      <c r="M7664" s="15"/>
    </row>
    <row r="7665" spans="12:13">
      <c r="L7665" s="3">
        <v>44678.593749975233</v>
      </c>
      <c r="M7665" s="15"/>
    </row>
    <row r="7666" spans="12:13">
      <c r="L7666" s="3">
        <v>44678.597222197452</v>
      </c>
      <c r="M7666" s="15"/>
    </row>
    <row r="7667" spans="12:13">
      <c r="L7667" s="3">
        <v>44678.600694419671</v>
      </c>
      <c r="M7667" s="15"/>
    </row>
    <row r="7668" spans="12:13">
      <c r="L7668" s="3">
        <v>44678.60416664189</v>
      </c>
      <c r="M7668" s="15"/>
    </row>
    <row r="7669" spans="12:13">
      <c r="L7669" s="3">
        <v>44678.607638864109</v>
      </c>
      <c r="M7669" s="15"/>
    </row>
    <row r="7670" spans="12:13">
      <c r="L7670" s="3">
        <v>44678.611111086328</v>
      </c>
      <c r="M7670" s="15"/>
    </row>
    <row r="7671" spans="12:13">
      <c r="L7671" s="3">
        <v>44678.614583308547</v>
      </c>
      <c r="M7671" s="15"/>
    </row>
    <row r="7672" spans="12:13">
      <c r="L7672" s="3">
        <v>44678.618055530766</v>
      </c>
      <c r="M7672" s="15"/>
    </row>
    <row r="7673" spans="12:13">
      <c r="L7673" s="3">
        <v>44678.621527752985</v>
      </c>
      <c r="M7673" s="15"/>
    </row>
    <row r="7674" spans="12:13">
      <c r="L7674" s="3">
        <v>44678.624999975204</v>
      </c>
      <c r="M7674" s="15"/>
    </row>
    <row r="7675" spans="12:13">
      <c r="L7675" s="3">
        <v>44678.628472197423</v>
      </c>
      <c r="M7675" s="15"/>
    </row>
    <row r="7676" spans="12:13">
      <c r="L7676" s="3">
        <v>44678.631944419642</v>
      </c>
      <c r="M7676" s="15"/>
    </row>
    <row r="7677" spans="12:13">
      <c r="L7677" s="3">
        <v>44678.635416641861</v>
      </c>
      <c r="M7677" s="15"/>
    </row>
    <row r="7678" spans="12:13">
      <c r="L7678" s="3">
        <v>44678.638888864079</v>
      </c>
      <c r="M7678" s="15"/>
    </row>
    <row r="7679" spans="12:13">
      <c r="L7679" s="3">
        <v>44678.642361086298</v>
      </c>
      <c r="M7679" s="15"/>
    </row>
    <row r="7680" spans="12:13">
      <c r="L7680" s="3">
        <v>44678.645833308517</v>
      </c>
      <c r="M7680" s="15"/>
    </row>
    <row r="7681" spans="12:13">
      <c r="L7681" s="3">
        <v>44678.649305530736</v>
      </c>
      <c r="M7681" s="15"/>
    </row>
    <row r="7682" spans="12:13">
      <c r="L7682" s="3">
        <v>44678.652777752955</v>
      </c>
      <c r="M7682" s="15"/>
    </row>
    <row r="7683" spans="12:13">
      <c r="L7683" s="3">
        <v>44678.656249975174</v>
      </c>
      <c r="M7683" s="15"/>
    </row>
    <row r="7684" spans="12:13">
      <c r="L7684" s="3">
        <v>44678.659722197393</v>
      </c>
      <c r="M7684" s="15"/>
    </row>
    <row r="7685" spans="12:13">
      <c r="L7685" s="3">
        <v>44678.663194419612</v>
      </c>
      <c r="M7685" s="15"/>
    </row>
    <row r="7686" spans="12:13">
      <c r="L7686" s="3">
        <v>44678.666666641831</v>
      </c>
      <c r="M7686" s="15"/>
    </row>
    <row r="7687" spans="12:13">
      <c r="L7687" s="3">
        <v>44678.67013886405</v>
      </c>
      <c r="M7687" s="15"/>
    </row>
    <row r="7688" spans="12:13">
      <c r="L7688" s="3">
        <v>44678.673611086269</v>
      </c>
      <c r="M7688" s="15"/>
    </row>
    <row r="7689" spans="12:13">
      <c r="L7689" s="3">
        <v>44678.677083308488</v>
      </c>
      <c r="M7689" s="15"/>
    </row>
    <row r="7690" spans="12:13">
      <c r="L7690" s="3">
        <v>44678.680555530707</v>
      </c>
      <c r="M7690" s="15"/>
    </row>
    <row r="7691" spans="12:13">
      <c r="L7691" s="3">
        <v>44678.684027752926</v>
      </c>
      <c r="M7691" s="15"/>
    </row>
    <row r="7692" spans="12:13">
      <c r="L7692" s="3">
        <v>44678.687499975145</v>
      </c>
      <c r="M7692" s="15"/>
    </row>
    <row r="7693" spans="12:13">
      <c r="L7693" s="3">
        <v>44678.690972197364</v>
      </c>
      <c r="M7693" s="15"/>
    </row>
    <row r="7694" spans="12:13">
      <c r="L7694" s="3">
        <v>44678.694444419583</v>
      </c>
      <c r="M7694" s="15"/>
    </row>
    <row r="7695" spans="12:13">
      <c r="L7695" s="3">
        <v>44678.697916641802</v>
      </c>
      <c r="M7695" s="15"/>
    </row>
    <row r="7696" spans="12:13">
      <c r="L7696" s="3">
        <v>44678.701388864021</v>
      </c>
      <c r="M7696" s="15"/>
    </row>
    <row r="7697" spans="12:13">
      <c r="L7697" s="3">
        <v>44678.70486108624</v>
      </c>
      <c r="M7697" s="15"/>
    </row>
    <row r="7698" spans="12:13">
      <c r="L7698" s="3">
        <v>44678.708333308459</v>
      </c>
      <c r="M7698" s="15"/>
    </row>
    <row r="7699" spans="12:13">
      <c r="L7699" s="3">
        <v>44678.711805530678</v>
      </c>
      <c r="M7699" s="15"/>
    </row>
    <row r="7700" spans="12:13">
      <c r="L7700" s="3">
        <v>44678.715277752897</v>
      </c>
      <c r="M7700" s="15"/>
    </row>
    <row r="7701" spans="12:13">
      <c r="L7701" s="3">
        <v>44678.718749975116</v>
      </c>
      <c r="M7701" s="15"/>
    </row>
    <row r="7702" spans="12:13">
      <c r="L7702" s="3">
        <v>44678.722222197335</v>
      </c>
      <c r="M7702" s="15"/>
    </row>
    <row r="7703" spans="12:13">
      <c r="L7703" s="3">
        <v>44678.725694419554</v>
      </c>
      <c r="M7703" s="15"/>
    </row>
    <row r="7704" spans="12:13">
      <c r="L7704" s="3">
        <v>44678.729166641773</v>
      </c>
      <c r="M7704" s="15"/>
    </row>
    <row r="7705" spans="12:13">
      <c r="L7705" s="3">
        <v>44678.732638863992</v>
      </c>
      <c r="M7705" s="15"/>
    </row>
    <row r="7706" spans="12:13">
      <c r="L7706" s="3">
        <v>44678.736111086211</v>
      </c>
      <c r="M7706" s="15"/>
    </row>
    <row r="7707" spans="12:13">
      <c r="L7707" s="3">
        <v>44678.73958330843</v>
      </c>
      <c r="M7707" s="15"/>
    </row>
    <row r="7708" spans="12:13">
      <c r="L7708" s="3">
        <v>44678.743055530649</v>
      </c>
      <c r="M7708" s="15"/>
    </row>
    <row r="7709" spans="12:13">
      <c r="L7709" s="3">
        <v>44678.746527752868</v>
      </c>
      <c r="M7709" s="15"/>
    </row>
    <row r="7710" spans="12:13">
      <c r="L7710" s="3">
        <v>44678.749999975087</v>
      </c>
      <c r="M7710" s="15"/>
    </row>
    <row r="7711" spans="12:13">
      <c r="L7711" s="3">
        <v>44678.753472197306</v>
      </c>
      <c r="M7711" s="15"/>
    </row>
    <row r="7712" spans="12:13">
      <c r="L7712" s="3">
        <v>44678.756944419525</v>
      </c>
      <c r="M7712" s="15"/>
    </row>
    <row r="7713" spans="12:13">
      <c r="L7713" s="3">
        <v>44678.760416641744</v>
      </c>
      <c r="M7713" s="15"/>
    </row>
    <row r="7714" spans="12:13">
      <c r="L7714" s="3">
        <v>44678.763888863963</v>
      </c>
      <c r="M7714" s="15"/>
    </row>
    <row r="7715" spans="12:13">
      <c r="L7715" s="3">
        <v>44678.767361086182</v>
      </c>
      <c r="M7715" s="15"/>
    </row>
    <row r="7716" spans="12:13">
      <c r="L7716" s="3">
        <v>44678.770833308401</v>
      </c>
      <c r="M7716" s="15"/>
    </row>
    <row r="7717" spans="12:13">
      <c r="L7717" s="3">
        <v>44678.77430553062</v>
      </c>
      <c r="M7717" s="15"/>
    </row>
    <row r="7718" spans="12:13">
      <c r="L7718" s="3">
        <v>44678.777777752839</v>
      </c>
      <c r="M7718" s="15"/>
    </row>
    <row r="7719" spans="12:13">
      <c r="L7719" s="3">
        <v>44678.781249975058</v>
      </c>
      <c r="M7719" s="15"/>
    </row>
    <row r="7720" spans="12:13">
      <c r="L7720" s="3">
        <v>44678.784722197277</v>
      </c>
      <c r="M7720" s="15"/>
    </row>
    <row r="7721" spans="12:13">
      <c r="L7721" s="3">
        <v>44678.788194419496</v>
      </c>
      <c r="M7721" s="15"/>
    </row>
    <row r="7722" spans="12:13">
      <c r="L7722" s="3">
        <v>44678.791666641715</v>
      </c>
      <c r="M7722" s="15"/>
    </row>
    <row r="7723" spans="12:13">
      <c r="L7723" s="3">
        <v>44678.795138863934</v>
      </c>
      <c r="M7723" s="15"/>
    </row>
    <row r="7724" spans="12:13">
      <c r="L7724" s="3">
        <v>44678.798611086153</v>
      </c>
      <c r="M7724" s="15"/>
    </row>
    <row r="7725" spans="12:13">
      <c r="L7725" s="3">
        <v>44678.802083308372</v>
      </c>
      <c r="M7725" s="15"/>
    </row>
    <row r="7726" spans="12:13">
      <c r="L7726" s="3">
        <v>44678.805555530591</v>
      </c>
      <c r="M7726" s="15"/>
    </row>
    <row r="7727" spans="12:13">
      <c r="L7727" s="3">
        <v>44678.80902775281</v>
      </c>
      <c r="M7727" s="15"/>
    </row>
    <row r="7728" spans="12:13">
      <c r="L7728" s="3">
        <v>44678.812499975029</v>
      </c>
      <c r="M7728" s="15"/>
    </row>
    <row r="7729" spans="12:13">
      <c r="L7729" s="3">
        <v>44678.815972197248</v>
      </c>
      <c r="M7729" s="15"/>
    </row>
    <row r="7730" spans="12:13">
      <c r="L7730" s="3">
        <v>44678.819444419467</v>
      </c>
      <c r="M7730" s="15"/>
    </row>
    <row r="7731" spans="12:13">
      <c r="L7731" s="3">
        <v>44678.822916641686</v>
      </c>
      <c r="M7731" s="15"/>
    </row>
    <row r="7732" spans="12:13">
      <c r="L7732" s="3">
        <v>44678.826388863905</v>
      </c>
      <c r="M7732" s="15"/>
    </row>
    <row r="7733" spans="12:13">
      <c r="L7733" s="3">
        <v>44678.829861086124</v>
      </c>
      <c r="M7733" s="15"/>
    </row>
    <row r="7734" spans="12:13">
      <c r="L7734" s="3">
        <v>44678.833333308343</v>
      </c>
      <c r="M7734" s="15"/>
    </row>
    <row r="7735" spans="12:13">
      <c r="L7735" s="3">
        <v>44678.836805530562</v>
      </c>
      <c r="M7735" s="15"/>
    </row>
    <row r="7736" spans="12:13">
      <c r="L7736" s="3">
        <v>44678.840277752781</v>
      </c>
      <c r="M7736" s="15"/>
    </row>
    <row r="7737" spans="12:13">
      <c r="L7737" s="3">
        <v>44678.843749975</v>
      </c>
      <c r="M7737" s="15"/>
    </row>
    <row r="7738" spans="12:13">
      <c r="L7738" s="3">
        <v>44678.847222197219</v>
      </c>
      <c r="M7738" s="15"/>
    </row>
    <row r="7739" spans="12:13">
      <c r="L7739" s="3">
        <v>44678.850694419438</v>
      </c>
      <c r="M7739" s="15"/>
    </row>
    <row r="7740" spans="12:13">
      <c r="L7740" s="3">
        <v>44678.854166641657</v>
      </c>
      <c r="M7740" s="15"/>
    </row>
    <row r="7741" spans="12:13">
      <c r="L7741" s="3">
        <v>44678.857638863876</v>
      </c>
      <c r="M7741" s="15"/>
    </row>
    <row r="7742" spans="12:13">
      <c r="L7742" s="3">
        <v>44678.861111086095</v>
      </c>
      <c r="M7742" s="15"/>
    </row>
    <row r="7743" spans="12:13">
      <c r="L7743" s="3">
        <v>44678.864583308314</v>
      </c>
      <c r="M7743" s="15"/>
    </row>
    <row r="7744" spans="12:13">
      <c r="L7744" s="3">
        <v>44678.868055530533</v>
      </c>
      <c r="M7744" s="15"/>
    </row>
    <row r="7745" spans="12:13">
      <c r="L7745" s="3">
        <v>44678.871527752752</v>
      </c>
      <c r="M7745" s="15"/>
    </row>
    <row r="7746" spans="12:13">
      <c r="L7746" s="3">
        <v>44678.874999974971</v>
      </c>
      <c r="M7746" s="15"/>
    </row>
    <row r="7747" spans="12:13">
      <c r="L7747" s="3">
        <v>44678.87847219719</v>
      </c>
      <c r="M7747" s="15"/>
    </row>
    <row r="7748" spans="12:13">
      <c r="L7748" s="3">
        <v>44678.881944419409</v>
      </c>
      <c r="M7748" s="15"/>
    </row>
    <row r="7749" spans="12:13">
      <c r="L7749" s="3">
        <v>44678.885416641628</v>
      </c>
      <c r="M7749" s="15"/>
    </row>
    <row r="7750" spans="12:13">
      <c r="L7750" s="3">
        <v>44678.888888863847</v>
      </c>
      <c r="M7750" s="15"/>
    </row>
    <row r="7751" spans="12:13">
      <c r="L7751" s="3">
        <v>44678.892361086066</v>
      </c>
      <c r="M7751" s="15"/>
    </row>
    <row r="7752" spans="12:13">
      <c r="L7752" s="3">
        <v>44678.895833308285</v>
      </c>
      <c r="M7752" s="15"/>
    </row>
    <row r="7753" spans="12:13">
      <c r="L7753" s="3">
        <v>44678.899305530504</v>
      </c>
      <c r="M7753" s="15"/>
    </row>
    <row r="7754" spans="12:13">
      <c r="L7754" s="3">
        <v>44678.902777752723</v>
      </c>
      <c r="M7754" s="15"/>
    </row>
    <row r="7755" spans="12:13">
      <c r="L7755" s="3">
        <v>44678.906249974942</v>
      </c>
      <c r="M7755" s="15"/>
    </row>
    <row r="7756" spans="12:13">
      <c r="L7756" s="3">
        <v>44678.909722197161</v>
      </c>
      <c r="M7756" s="15"/>
    </row>
    <row r="7757" spans="12:13">
      <c r="L7757" s="3">
        <v>44678.91319441938</v>
      </c>
      <c r="M7757" s="15"/>
    </row>
    <row r="7758" spans="12:13">
      <c r="L7758" s="3">
        <v>44678.916666641599</v>
      </c>
      <c r="M7758" s="15"/>
    </row>
    <row r="7759" spans="12:13">
      <c r="L7759" s="3">
        <v>44678.920138863818</v>
      </c>
      <c r="M7759" s="15"/>
    </row>
    <row r="7760" spans="12:13">
      <c r="L7760" s="3">
        <v>44678.923611086037</v>
      </c>
      <c r="M7760" s="15"/>
    </row>
    <row r="7761" spans="12:13">
      <c r="L7761" s="3">
        <v>44678.927083308256</v>
      </c>
      <c r="M7761" s="15"/>
    </row>
    <row r="7762" spans="12:13">
      <c r="L7762" s="3">
        <v>44678.930555530475</v>
      </c>
      <c r="M7762" s="15"/>
    </row>
    <row r="7763" spans="12:13">
      <c r="L7763" s="3">
        <v>44678.934027752694</v>
      </c>
      <c r="M7763" s="15"/>
    </row>
    <row r="7764" spans="12:13">
      <c r="L7764" s="3">
        <v>44678.937499974912</v>
      </c>
      <c r="M7764" s="15"/>
    </row>
    <row r="7765" spans="12:13">
      <c r="L7765" s="3">
        <v>44678.940972197131</v>
      </c>
      <c r="M7765" s="15"/>
    </row>
    <row r="7766" spans="12:13">
      <c r="L7766" s="3">
        <v>44678.94444441935</v>
      </c>
      <c r="M7766" s="15"/>
    </row>
    <row r="7767" spans="12:13">
      <c r="L7767" s="3">
        <v>44678.947916641569</v>
      </c>
      <c r="M7767" s="15"/>
    </row>
    <row r="7768" spans="12:13">
      <c r="L7768" s="3">
        <v>44678.951388863788</v>
      </c>
      <c r="M7768" s="15"/>
    </row>
    <row r="7769" spans="12:13">
      <c r="L7769" s="3">
        <v>44678.954861086007</v>
      </c>
      <c r="M7769" s="15"/>
    </row>
    <row r="7770" spans="12:13">
      <c r="L7770" s="3">
        <v>44678.958333308226</v>
      </c>
      <c r="M7770" s="15"/>
    </row>
    <row r="7771" spans="12:13">
      <c r="L7771" s="3">
        <v>44678.961805530445</v>
      </c>
      <c r="M7771" s="15"/>
    </row>
    <row r="7772" spans="12:13">
      <c r="L7772" s="3">
        <v>44678.965277752664</v>
      </c>
      <c r="M7772" s="15"/>
    </row>
    <row r="7773" spans="12:13">
      <c r="L7773" s="3">
        <v>44678.968749974883</v>
      </c>
      <c r="M7773" s="15"/>
    </row>
    <row r="7774" spans="12:13">
      <c r="L7774" s="3">
        <v>44678.972222197102</v>
      </c>
      <c r="M7774" s="15"/>
    </row>
    <row r="7775" spans="12:13">
      <c r="L7775" s="3">
        <v>44678.975694419321</v>
      </c>
      <c r="M7775" s="15"/>
    </row>
    <row r="7776" spans="12:13">
      <c r="L7776" s="3">
        <v>44678.97916664154</v>
      </c>
      <c r="M7776" s="15"/>
    </row>
    <row r="7777" spans="12:13">
      <c r="L7777" s="3">
        <v>44678.982638863759</v>
      </c>
      <c r="M7777" s="15"/>
    </row>
    <row r="7778" spans="12:13">
      <c r="L7778" s="3">
        <v>44678.986111085978</v>
      </c>
      <c r="M7778" s="15"/>
    </row>
    <row r="7779" spans="12:13">
      <c r="L7779" s="3">
        <v>44678.989583308197</v>
      </c>
      <c r="M7779" s="15"/>
    </row>
    <row r="7780" spans="12:13">
      <c r="L7780" s="3">
        <v>44678.993055530416</v>
      </c>
      <c r="M7780" s="15"/>
    </row>
    <row r="7781" spans="12:13">
      <c r="L7781" s="3">
        <v>44678.996527752635</v>
      </c>
      <c r="M7781" s="15"/>
    </row>
    <row r="7782" spans="12:13">
      <c r="L7782" s="3">
        <v>44678.999999974854</v>
      </c>
      <c r="M7782" s="15"/>
    </row>
    <row r="7783" spans="12:13">
      <c r="L7783" s="3">
        <v>44679.003472197073</v>
      </c>
      <c r="M7783" s="15"/>
    </row>
    <row r="7784" spans="12:13">
      <c r="L7784" s="3">
        <v>44679.006944419292</v>
      </c>
      <c r="M7784" s="15"/>
    </row>
    <row r="7785" spans="12:13">
      <c r="L7785" s="3">
        <v>44679.010416641511</v>
      </c>
      <c r="M7785" s="15"/>
    </row>
    <row r="7786" spans="12:13">
      <c r="L7786" s="3">
        <v>44679.01388886373</v>
      </c>
      <c r="M7786" s="15"/>
    </row>
    <row r="7787" spans="12:13">
      <c r="L7787" s="3">
        <v>44679.017361085949</v>
      </c>
      <c r="M7787" s="15"/>
    </row>
    <row r="7788" spans="12:13">
      <c r="L7788" s="3">
        <v>44679.020833308168</v>
      </c>
      <c r="M7788" s="15"/>
    </row>
    <row r="7789" spans="12:13">
      <c r="L7789" s="3">
        <v>44679.024305530387</v>
      </c>
      <c r="M7789" s="15"/>
    </row>
    <row r="7790" spans="12:13">
      <c r="L7790" s="3">
        <v>44679.027777752606</v>
      </c>
      <c r="M7790" s="15"/>
    </row>
    <row r="7791" spans="12:13">
      <c r="L7791" s="3">
        <v>44679.031249974825</v>
      </c>
      <c r="M7791" s="15"/>
    </row>
    <row r="7792" spans="12:13">
      <c r="L7792" s="3">
        <v>44679.034722197044</v>
      </c>
      <c r="M7792" s="15"/>
    </row>
    <row r="7793" spans="12:13">
      <c r="L7793" s="3">
        <v>44679.038194419263</v>
      </c>
      <c r="M7793" s="15"/>
    </row>
    <row r="7794" spans="12:13">
      <c r="L7794" s="3">
        <v>44679.041666641482</v>
      </c>
      <c r="M7794" s="15"/>
    </row>
    <row r="7795" spans="12:13">
      <c r="L7795" s="3">
        <v>44679.045138863701</v>
      </c>
      <c r="M7795" s="15"/>
    </row>
    <row r="7796" spans="12:13">
      <c r="L7796" s="3">
        <v>44679.04861108592</v>
      </c>
      <c r="M7796" s="15"/>
    </row>
    <row r="7797" spans="12:13">
      <c r="L7797" s="3">
        <v>44679.052083308139</v>
      </c>
      <c r="M7797" s="15"/>
    </row>
    <row r="7798" spans="12:13">
      <c r="L7798" s="3">
        <v>44679.055555530358</v>
      </c>
      <c r="M7798" s="15"/>
    </row>
    <row r="7799" spans="12:13">
      <c r="L7799" s="3">
        <v>44679.059027752577</v>
      </c>
      <c r="M7799" s="15"/>
    </row>
    <row r="7800" spans="12:13">
      <c r="L7800" s="3">
        <v>44679.062499974796</v>
      </c>
      <c r="M7800" s="15"/>
    </row>
    <row r="7801" spans="12:13">
      <c r="L7801" s="3">
        <v>44679.065972197015</v>
      </c>
      <c r="M7801" s="15"/>
    </row>
    <row r="7802" spans="12:13">
      <c r="L7802" s="3">
        <v>44679.069444419234</v>
      </c>
      <c r="M7802" s="15"/>
    </row>
    <row r="7803" spans="12:13">
      <c r="L7803" s="3">
        <v>44679.072916641453</v>
      </c>
      <c r="M7803" s="15"/>
    </row>
    <row r="7804" spans="12:13">
      <c r="L7804" s="3">
        <v>44679.076388863672</v>
      </c>
      <c r="M7804" s="15"/>
    </row>
    <row r="7805" spans="12:13">
      <c r="L7805" s="3">
        <v>44679.079861085891</v>
      </c>
      <c r="M7805" s="15"/>
    </row>
    <row r="7806" spans="12:13">
      <c r="L7806" s="3">
        <v>44679.08333330811</v>
      </c>
      <c r="M7806" s="15"/>
    </row>
    <row r="7807" spans="12:13">
      <c r="L7807" s="3">
        <v>44679.086805530329</v>
      </c>
      <c r="M7807" s="15"/>
    </row>
    <row r="7808" spans="12:13">
      <c r="L7808" s="3">
        <v>44679.090277752548</v>
      </c>
      <c r="M7808" s="15"/>
    </row>
    <row r="7809" spans="12:13">
      <c r="L7809" s="3">
        <v>44679.093749974767</v>
      </c>
      <c r="M7809" s="15"/>
    </row>
    <row r="7810" spans="12:13">
      <c r="L7810" s="3">
        <v>44679.097222196986</v>
      </c>
      <c r="M7810" s="15"/>
    </row>
    <row r="7811" spans="12:13">
      <c r="L7811" s="3">
        <v>44679.100694419205</v>
      </c>
      <c r="M7811" s="15"/>
    </row>
    <row r="7812" spans="12:13">
      <c r="L7812" s="3">
        <v>44679.104166641424</v>
      </c>
      <c r="M7812" s="15"/>
    </row>
    <row r="7813" spans="12:13">
      <c r="L7813" s="3">
        <v>44679.107638863643</v>
      </c>
      <c r="M7813" s="15"/>
    </row>
    <row r="7814" spans="12:13">
      <c r="L7814" s="3">
        <v>44679.111111085862</v>
      </c>
      <c r="M7814" s="15"/>
    </row>
    <row r="7815" spans="12:13">
      <c r="L7815" s="3">
        <v>44679.114583308081</v>
      </c>
      <c r="M7815" s="15"/>
    </row>
    <row r="7816" spans="12:13">
      <c r="L7816" s="3">
        <v>44679.1180555303</v>
      </c>
      <c r="M7816" s="15"/>
    </row>
    <row r="7817" spans="12:13">
      <c r="L7817" s="3">
        <v>44679.121527752519</v>
      </c>
      <c r="M7817" s="15"/>
    </row>
    <row r="7818" spans="12:13">
      <c r="L7818" s="3">
        <v>44679.124999974738</v>
      </c>
      <c r="M7818" s="15"/>
    </row>
    <row r="7819" spans="12:13">
      <c r="L7819" s="3">
        <v>44679.128472196957</v>
      </c>
      <c r="M7819" s="15"/>
    </row>
    <row r="7820" spans="12:13">
      <c r="L7820" s="3">
        <v>44679.131944419176</v>
      </c>
      <c r="M7820" s="15"/>
    </row>
    <row r="7821" spans="12:13">
      <c r="L7821" s="3">
        <v>44679.135416641395</v>
      </c>
      <c r="M7821" s="15"/>
    </row>
    <row r="7822" spans="12:13">
      <c r="L7822" s="3">
        <v>44679.138888863614</v>
      </c>
      <c r="M7822" s="15"/>
    </row>
    <row r="7823" spans="12:13">
      <c r="L7823" s="3">
        <v>44679.142361085833</v>
      </c>
      <c r="M7823" s="15"/>
    </row>
    <row r="7824" spans="12:13">
      <c r="L7824" s="3">
        <v>44679.145833308052</v>
      </c>
      <c r="M7824" s="15"/>
    </row>
    <row r="7825" spans="12:13">
      <c r="L7825" s="3">
        <v>44679.149305530271</v>
      </c>
      <c r="M7825" s="15"/>
    </row>
    <row r="7826" spans="12:13">
      <c r="L7826" s="3">
        <v>44679.15277775249</v>
      </c>
      <c r="M7826" s="15"/>
    </row>
    <row r="7827" spans="12:13">
      <c r="L7827" s="3">
        <v>44679.156249974709</v>
      </c>
      <c r="M7827" s="15"/>
    </row>
    <row r="7828" spans="12:13">
      <c r="L7828" s="3">
        <v>44679.159722196928</v>
      </c>
      <c r="M7828" s="15"/>
    </row>
    <row r="7829" spans="12:13">
      <c r="L7829" s="3">
        <v>44679.163194419147</v>
      </c>
      <c r="M7829" s="15"/>
    </row>
    <row r="7830" spans="12:13">
      <c r="L7830" s="3">
        <v>44679.166666641366</v>
      </c>
      <c r="M7830" s="15"/>
    </row>
    <row r="7831" spans="12:13">
      <c r="L7831" s="3">
        <v>44679.170138863585</v>
      </c>
      <c r="M7831" s="15"/>
    </row>
    <row r="7832" spans="12:13">
      <c r="L7832" s="3">
        <v>44679.173611085804</v>
      </c>
      <c r="M7832" s="15"/>
    </row>
    <row r="7833" spans="12:13">
      <c r="L7833" s="3">
        <v>44679.177083308023</v>
      </c>
      <c r="M7833" s="15"/>
    </row>
    <row r="7834" spans="12:13">
      <c r="L7834" s="3">
        <v>44679.180555530242</v>
      </c>
      <c r="M7834" s="15"/>
    </row>
    <row r="7835" spans="12:13">
      <c r="L7835" s="3">
        <v>44679.184027752461</v>
      </c>
      <c r="M7835" s="15"/>
    </row>
    <row r="7836" spans="12:13">
      <c r="L7836" s="3">
        <v>44679.18749997468</v>
      </c>
      <c r="M7836" s="15"/>
    </row>
    <row r="7837" spans="12:13">
      <c r="L7837" s="3">
        <v>44679.190972196899</v>
      </c>
      <c r="M7837" s="15"/>
    </row>
    <row r="7838" spans="12:13">
      <c r="L7838" s="3">
        <v>44679.194444419118</v>
      </c>
      <c r="M7838" s="15"/>
    </row>
    <row r="7839" spans="12:13">
      <c r="L7839" s="3">
        <v>44679.197916641337</v>
      </c>
      <c r="M7839" s="15"/>
    </row>
    <row r="7840" spans="12:13">
      <c r="L7840" s="3">
        <v>44679.201388863556</v>
      </c>
      <c r="M7840" s="15"/>
    </row>
    <row r="7841" spans="12:13">
      <c r="L7841" s="3">
        <v>44679.204861085775</v>
      </c>
      <c r="M7841" s="15"/>
    </row>
    <row r="7842" spans="12:13">
      <c r="L7842" s="3">
        <v>44679.208333307994</v>
      </c>
      <c r="M7842" s="15"/>
    </row>
    <row r="7843" spans="12:13">
      <c r="L7843" s="3">
        <v>44679.211805530213</v>
      </c>
      <c r="M7843" s="15"/>
    </row>
    <row r="7844" spans="12:13">
      <c r="L7844" s="3">
        <v>44679.215277752432</v>
      </c>
      <c r="M7844" s="15"/>
    </row>
    <row r="7845" spans="12:13">
      <c r="L7845" s="3">
        <v>44679.218749974651</v>
      </c>
      <c r="M7845" s="15"/>
    </row>
    <row r="7846" spans="12:13">
      <c r="L7846" s="3">
        <v>44679.22222219687</v>
      </c>
      <c r="M7846" s="15"/>
    </row>
    <row r="7847" spans="12:13">
      <c r="L7847" s="3">
        <v>44679.225694419089</v>
      </c>
      <c r="M7847" s="15"/>
    </row>
    <row r="7848" spans="12:13">
      <c r="L7848" s="3">
        <v>44679.229166641308</v>
      </c>
      <c r="M7848" s="15"/>
    </row>
    <row r="7849" spans="12:13">
      <c r="L7849" s="3">
        <v>44679.232638863527</v>
      </c>
      <c r="M7849" s="15"/>
    </row>
    <row r="7850" spans="12:13">
      <c r="L7850" s="3">
        <v>44679.236111085746</v>
      </c>
      <c r="M7850" s="15"/>
    </row>
    <row r="7851" spans="12:13">
      <c r="L7851" s="3">
        <v>44679.239583307964</v>
      </c>
      <c r="M7851" s="15"/>
    </row>
    <row r="7852" spans="12:13">
      <c r="L7852" s="3">
        <v>44679.243055530183</v>
      </c>
      <c r="M7852" s="15"/>
    </row>
    <row r="7853" spans="12:13">
      <c r="L7853" s="3">
        <v>44679.246527752402</v>
      </c>
      <c r="M7853" s="15"/>
    </row>
    <row r="7854" spans="12:13">
      <c r="L7854" s="3">
        <v>44679.249999974621</v>
      </c>
      <c r="M7854" s="15"/>
    </row>
    <row r="7855" spans="12:13">
      <c r="L7855" s="3">
        <v>44679.25347219684</v>
      </c>
      <c r="M7855" s="15"/>
    </row>
    <row r="7856" spans="12:13">
      <c r="L7856" s="3">
        <v>44679.256944419059</v>
      </c>
      <c r="M7856" s="15"/>
    </row>
    <row r="7857" spans="12:13">
      <c r="L7857" s="3">
        <v>44679.260416641278</v>
      </c>
      <c r="M7857" s="15"/>
    </row>
    <row r="7858" spans="12:13">
      <c r="L7858" s="3">
        <v>44679.263888863497</v>
      </c>
      <c r="M7858" s="15"/>
    </row>
    <row r="7859" spans="12:13">
      <c r="L7859" s="3">
        <v>44679.267361085716</v>
      </c>
      <c r="M7859" s="15"/>
    </row>
    <row r="7860" spans="12:13">
      <c r="L7860" s="3">
        <v>44679.270833307935</v>
      </c>
      <c r="M7860" s="15"/>
    </row>
    <row r="7861" spans="12:13">
      <c r="L7861" s="3">
        <v>44679.274305530154</v>
      </c>
      <c r="M7861" s="15"/>
    </row>
    <row r="7862" spans="12:13">
      <c r="L7862" s="3">
        <v>44679.277777752373</v>
      </c>
      <c r="M7862" s="15"/>
    </row>
    <row r="7863" spans="12:13">
      <c r="L7863" s="3">
        <v>44679.281249974592</v>
      </c>
      <c r="M7863" s="15"/>
    </row>
    <row r="7864" spans="12:13">
      <c r="L7864" s="3">
        <v>44679.284722196811</v>
      </c>
      <c r="M7864" s="15"/>
    </row>
    <row r="7865" spans="12:13">
      <c r="L7865" s="3">
        <v>44679.28819441903</v>
      </c>
      <c r="M7865" s="15"/>
    </row>
    <row r="7866" spans="12:13">
      <c r="L7866" s="3">
        <v>44679.291666641249</v>
      </c>
      <c r="M7866" s="15"/>
    </row>
    <row r="7867" spans="12:13">
      <c r="L7867" s="3">
        <v>44679.295138863468</v>
      </c>
      <c r="M7867" s="15"/>
    </row>
    <row r="7868" spans="12:13">
      <c r="L7868" s="3">
        <v>44679.298611085687</v>
      </c>
      <c r="M7868" s="15"/>
    </row>
    <row r="7869" spans="12:13">
      <c r="L7869" s="3">
        <v>44679.302083307906</v>
      </c>
      <c r="M7869" s="15"/>
    </row>
    <row r="7870" spans="12:13">
      <c r="L7870" s="3">
        <v>44679.305555530125</v>
      </c>
      <c r="M7870" s="15"/>
    </row>
    <row r="7871" spans="12:13">
      <c r="L7871" s="3">
        <v>44679.309027752344</v>
      </c>
      <c r="M7871" s="15"/>
    </row>
    <row r="7872" spans="12:13">
      <c r="L7872" s="3">
        <v>44679.312499974563</v>
      </c>
      <c r="M7872" s="15"/>
    </row>
    <row r="7873" spans="12:13">
      <c r="L7873" s="3">
        <v>44679.315972196782</v>
      </c>
      <c r="M7873" s="15"/>
    </row>
    <row r="7874" spans="12:13">
      <c r="L7874" s="3">
        <v>44679.319444419001</v>
      </c>
      <c r="M7874" s="15"/>
    </row>
    <row r="7875" spans="12:13">
      <c r="L7875" s="3">
        <v>44679.32291664122</v>
      </c>
      <c r="M7875" s="15"/>
    </row>
    <row r="7876" spans="12:13">
      <c r="L7876" s="3">
        <v>44679.326388863439</v>
      </c>
      <c r="M7876" s="15"/>
    </row>
    <row r="7877" spans="12:13">
      <c r="L7877" s="3">
        <v>44679.329861085658</v>
      </c>
      <c r="M7877" s="15"/>
    </row>
    <row r="7878" spans="12:13">
      <c r="L7878" s="3">
        <v>44679.333333307877</v>
      </c>
      <c r="M7878" s="15"/>
    </row>
    <row r="7879" spans="12:13">
      <c r="L7879" s="3">
        <v>44679.336805530096</v>
      </c>
      <c r="M7879" s="15"/>
    </row>
    <row r="7880" spans="12:13">
      <c r="L7880" s="3">
        <v>44679.340277752315</v>
      </c>
      <c r="M7880" s="15"/>
    </row>
    <row r="7881" spans="12:13">
      <c r="L7881" s="3">
        <v>44679.343749974534</v>
      </c>
      <c r="M7881" s="15"/>
    </row>
    <row r="7882" spans="12:13">
      <c r="L7882" s="3">
        <v>44679.347222196753</v>
      </c>
      <c r="M7882" s="15"/>
    </row>
    <row r="7883" spans="12:13">
      <c r="L7883" s="3">
        <v>44679.350694418972</v>
      </c>
      <c r="M7883" s="15"/>
    </row>
    <row r="7884" spans="12:13">
      <c r="L7884" s="3">
        <v>44679.354166641191</v>
      </c>
      <c r="M7884" s="15"/>
    </row>
    <row r="7885" spans="12:13">
      <c r="L7885" s="3">
        <v>44679.35763886341</v>
      </c>
      <c r="M7885" s="15"/>
    </row>
    <row r="7886" spans="12:13">
      <c r="L7886" s="3">
        <v>44679.361111085629</v>
      </c>
      <c r="M7886" s="15"/>
    </row>
    <row r="7887" spans="12:13">
      <c r="L7887" s="3">
        <v>44679.364583307848</v>
      </c>
      <c r="M7887" s="15"/>
    </row>
    <row r="7888" spans="12:13">
      <c r="L7888" s="3">
        <v>44679.368055530067</v>
      </c>
      <c r="M7888" s="15"/>
    </row>
    <row r="7889" spans="12:13">
      <c r="L7889" s="3">
        <v>44679.371527752286</v>
      </c>
      <c r="M7889" s="15"/>
    </row>
    <row r="7890" spans="12:13">
      <c r="L7890" s="3">
        <v>44679.374999974505</v>
      </c>
      <c r="M7890" s="15"/>
    </row>
    <row r="7891" spans="12:13">
      <c r="L7891" s="3">
        <v>44679.378472196724</v>
      </c>
      <c r="M7891" s="15"/>
    </row>
    <row r="7892" spans="12:13">
      <c r="L7892" s="3">
        <v>44679.381944418943</v>
      </c>
      <c r="M7892" s="15"/>
    </row>
    <row r="7893" spans="12:13">
      <c r="L7893" s="3">
        <v>44679.385416641162</v>
      </c>
      <c r="M7893" s="15"/>
    </row>
    <row r="7894" spans="12:13">
      <c r="L7894" s="3">
        <v>44679.388888863381</v>
      </c>
      <c r="M7894" s="15"/>
    </row>
    <row r="7895" spans="12:13">
      <c r="L7895" s="3">
        <v>44679.3923610856</v>
      </c>
      <c r="M7895" s="15"/>
    </row>
    <row r="7896" spans="12:13">
      <c r="L7896" s="3">
        <v>44679.395833307819</v>
      </c>
      <c r="M7896" s="15"/>
    </row>
    <row r="7897" spans="12:13">
      <c r="L7897" s="3">
        <v>44679.399305530038</v>
      </c>
      <c r="M7897" s="15"/>
    </row>
    <row r="7898" spans="12:13">
      <c r="L7898" s="3">
        <v>44679.402777752257</v>
      </c>
      <c r="M7898" s="15"/>
    </row>
    <row r="7899" spans="12:13">
      <c r="L7899" s="3">
        <v>44679.406249974476</v>
      </c>
      <c r="M7899" s="15"/>
    </row>
    <row r="7900" spans="12:13">
      <c r="L7900" s="3">
        <v>44679.409722196695</v>
      </c>
      <c r="M7900" s="15"/>
    </row>
    <row r="7901" spans="12:13">
      <c r="L7901" s="3">
        <v>44679.413194418914</v>
      </c>
      <c r="M7901" s="15"/>
    </row>
    <row r="7902" spans="12:13">
      <c r="L7902" s="3">
        <v>44679.416666641133</v>
      </c>
      <c r="M7902" s="15"/>
    </row>
    <row r="7903" spans="12:13">
      <c r="L7903" s="3">
        <v>44679.420138863352</v>
      </c>
      <c r="M7903" s="15"/>
    </row>
    <row r="7904" spans="12:13">
      <c r="L7904" s="3">
        <v>44679.423611085571</v>
      </c>
      <c r="M7904" s="15"/>
    </row>
    <row r="7905" spans="12:13">
      <c r="L7905" s="3">
        <v>44679.42708330779</v>
      </c>
      <c r="M7905" s="15"/>
    </row>
    <row r="7906" spans="12:13">
      <c r="L7906" s="3">
        <v>44679.430555530009</v>
      </c>
      <c r="M7906" s="15"/>
    </row>
    <row r="7907" spans="12:13">
      <c r="L7907" s="3">
        <v>44679.434027752228</v>
      </c>
      <c r="M7907" s="15"/>
    </row>
    <row r="7908" spans="12:13">
      <c r="L7908" s="3">
        <v>44679.437499974447</v>
      </c>
      <c r="M7908" s="15"/>
    </row>
    <row r="7909" spans="12:13">
      <c r="L7909" s="3">
        <v>44679.440972196666</v>
      </c>
      <c r="M7909" s="15"/>
    </row>
    <row r="7910" spans="12:13">
      <c r="L7910" s="3">
        <v>44679.444444418885</v>
      </c>
      <c r="M7910" s="15"/>
    </row>
    <row r="7911" spans="12:13">
      <c r="L7911" s="3">
        <v>44679.447916641104</v>
      </c>
      <c r="M7911" s="15"/>
    </row>
    <row r="7912" spans="12:13">
      <c r="L7912" s="3">
        <v>44679.451388863323</v>
      </c>
      <c r="M7912" s="15"/>
    </row>
    <row r="7913" spans="12:13">
      <c r="L7913" s="3">
        <v>44679.454861085542</v>
      </c>
      <c r="M7913" s="15"/>
    </row>
    <row r="7914" spans="12:13">
      <c r="L7914" s="3">
        <v>44679.458333307761</v>
      </c>
      <c r="M7914" s="15"/>
    </row>
    <row r="7915" spans="12:13">
      <c r="L7915" s="3">
        <v>44679.46180552998</v>
      </c>
      <c r="M7915" s="15"/>
    </row>
    <row r="7916" spans="12:13">
      <c r="L7916" s="3">
        <v>44679.465277752199</v>
      </c>
      <c r="M7916" s="15"/>
    </row>
    <row r="7917" spans="12:13">
      <c r="L7917" s="3">
        <v>44679.468749974418</v>
      </c>
      <c r="M7917" s="15"/>
    </row>
    <row r="7918" spans="12:13">
      <c r="L7918" s="3">
        <v>44679.472222196637</v>
      </c>
      <c r="M7918" s="15"/>
    </row>
    <row r="7919" spans="12:13">
      <c r="L7919" s="3">
        <v>44679.475694418856</v>
      </c>
      <c r="M7919" s="15"/>
    </row>
    <row r="7920" spans="12:13">
      <c r="L7920" s="3">
        <v>44679.479166641075</v>
      </c>
      <c r="M7920" s="15"/>
    </row>
    <row r="7921" spans="12:13">
      <c r="L7921" s="3">
        <v>44679.482638863294</v>
      </c>
      <c r="M7921" s="15"/>
    </row>
    <row r="7922" spans="12:13">
      <c r="L7922" s="3">
        <v>44679.486111085513</v>
      </c>
      <c r="M7922" s="15"/>
    </row>
    <row r="7923" spans="12:13">
      <c r="L7923" s="3">
        <v>44679.489583307732</v>
      </c>
      <c r="M7923" s="15"/>
    </row>
    <row r="7924" spans="12:13">
      <c r="L7924" s="3">
        <v>44679.493055529951</v>
      </c>
      <c r="M7924" s="15"/>
    </row>
    <row r="7925" spans="12:13">
      <c r="L7925" s="3">
        <v>44679.49652775217</v>
      </c>
      <c r="M7925" s="15"/>
    </row>
    <row r="7926" spans="12:13">
      <c r="L7926" s="3">
        <v>44679.499999974389</v>
      </c>
      <c r="M7926" s="15"/>
    </row>
    <row r="7927" spans="12:13">
      <c r="L7927" s="3">
        <v>44679.503472196608</v>
      </c>
      <c r="M7927" s="15"/>
    </row>
    <row r="7928" spans="12:13">
      <c r="L7928" s="3">
        <v>44679.506944418827</v>
      </c>
      <c r="M7928" s="15"/>
    </row>
    <row r="7929" spans="12:13">
      <c r="L7929" s="3">
        <v>44679.510416641046</v>
      </c>
      <c r="M7929" s="15"/>
    </row>
    <row r="7930" spans="12:13">
      <c r="L7930" s="3">
        <v>44679.513888863265</v>
      </c>
      <c r="M7930" s="15"/>
    </row>
    <row r="7931" spans="12:13">
      <c r="L7931" s="3">
        <v>44679.517361085484</v>
      </c>
      <c r="M7931" s="15"/>
    </row>
    <row r="7932" spans="12:13">
      <c r="L7932" s="3">
        <v>44679.520833307703</v>
      </c>
      <c r="M7932" s="15"/>
    </row>
    <row r="7933" spans="12:13">
      <c r="L7933" s="3">
        <v>44679.524305529922</v>
      </c>
      <c r="M7933" s="15"/>
    </row>
    <row r="7934" spans="12:13">
      <c r="L7934" s="3">
        <v>44679.527777752141</v>
      </c>
      <c r="M7934" s="15"/>
    </row>
    <row r="7935" spans="12:13">
      <c r="L7935" s="3">
        <v>44679.53124997436</v>
      </c>
      <c r="M7935" s="15"/>
    </row>
    <row r="7936" spans="12:13">
      <c r="L7936" s="3">
        <v>44679.534722196579</v>
      </c>
      <c r="M7936" s="15"/>
    </row>
    <row r="7937" spans="12:13">
      <c r="L7937" s="3">
        <v>44679.538194418798</v>
      </c>
      <c r="M7937" s="15"/>
    </row>
    <row r="7938" spans="12:13">
      <c r="L7938" s="3">
        <v>44679.541666641016</v>
      </c>
      <c r="M7938" s="15"/>
    </row>
    <row r="7939" spans="12:13">
      <c r="L7939" s="3">
        <v>44679.545138863235</v>
      </c>
      <c r="M7939" s="15"/>
    </row>
    <row r="7940" spans="12:13">
      <c r="L7940" s="3">
        <v>44679.548611085454</v>
      </c>
      <c r="M7940" s="15"/>
    </row>
    <row r="7941" spans="12:13">
      <c r="L7941" s="3">
        <v>44679.552083307673</v>
      </c>
      <c r="M7941" s="15"/>
    </row>
    <row r="7942" spans="12:13">
      <c r="L7942" s="3">
        <v>44679.555555529892</v>
      </c>
      <c r="M7942" s="15"/>
    </row>
    <row r="7943" spans="12:13">
      <c r="L7943" s="3">
        <v>44679.559027752111</v>
      </c>
      <c r="M7943" s="15"/>
    </row>
    <row r="7944" spans="12:13">
      <c r="L7944" s="3">
        <v>44679.56249997433</v>
      </c>
      <c r="M7944" s="15"/>
    </row>
    <row r="7945" spans="12:13">
      <c r="L7945" s="3">
        <v>44679.565972196549</v>
      </c>
      <c r="M7945" s="15"/>
    </row>
    <row r="7946" spans="12:13">
      <c r="L7946" s="3">
        <v>44679.569444418768</v>
      </c>
      <c r="M7946" s="15"/>
    </row>
    <row r="7947" spans="12:13">
      <c r="L7947" s="3">
        <v>44679.572916640987</v>
      </c>
      <c r="M7947" s="15"/>
    </row>
    <row r="7948" spans="12:13">
      <c r="L7948" s="3">
        <v>44679.576388863206</v>
      </c>
      <c r="M7948" s="15"/>
    </row>
    <row r="7949" spans="12:13">
      <c r="L7949" s="3">
        <v>44679.579861085425</v>
      </c>
      <c r="M7949" s="15"/>
    </row>
    <row r="7950" spans="12:13">
      <c r="L7950" s="3">
        <v>44679.583333307644</v>
      </c>
      <c r="M7950" s="15"/>
    </row>
    <row r="7951" spans="12:13">
      <c r="L7951" s="3">
        <v>44679.586805529863</v>
      </c>
      <c r="M7951" s="15"/>
    </row>
    <row r="7952" spans="12:13">
      <c r="L7952" s="3">
        <v>44679.590277752082</v>
      </c>
      <c r="M7952" s="15"/>
    </row>
    <row r="7953" spans="12:13">
      <c r="L7953" s="3">
        <v>44679.593749974301</v>
      </c>
      <c r="M7953" s="15"/>
    </row>
    <row r="7954" spans="12:13">
      <c r="L7954" s="3">
        <v>44679.59722219652</v>
      </c>
      <c r="M7954" s="15"/>
    </row>
    <row r="7955" spans="12:13">
      <c r="L7955" s="3">
        <v>44679.600694418739</v>
      </c>
      <c r="M7955" s="15"/>
    </row>
    <row r="7956" spans="12:13">
      <c r="L7956" s="3">
        <v>44679.604166640958</v>
      </c>
      <c r="M7956" s="15"/>
    </row>
    <row r="7957" spans="12:13">
      <c r="L7957" s="3">
        <v>44679.607638863177</v>
      </c>
      <c r="M7957" s="15"/>
    </row>
    <row r="7958" spans="12:13">
      <c r="L7958" s="3">
        <v>44679.611111085396</v>
      </c>
      <c r="M7958" s="15"/>
    </row>
    <row r="7959" spans="12:13">
      <c r="L7959" s="3">
        <v>44679.614583307615</v>
      </c>
      <c r="M7959" s="15"/>
    </row>
    <row r="7960" spans="12:13">
      <c r="L7960" s="3">
        <v>44679.618055529834</v>
      </c>
      <c r="M7960" s="15"/>
    </row>
    <row r="7961" spans="12:13">
      <c r="L7961" s="3">
        <v>44679.621527752053</v>
      </c>
      <c r="M7961" s="15"/>
    </row>
    <row r="7962" spans="12:13">
      <c r="L7962" s="3">
        <v>44679.624999974272</v>
      </c>
      <c r="M7962" s="15"/>
    </row>
    <row r="7963" spans="12:13">
      <c r="L7963" s="3">
        <v>44679.628472196491</v>
      </c>
      <c r="M7963" s="15"/>
    </row>
    <row r="7964" spans="12:13">
      <c r="L7964" s="3">
        <v>44679.63194441871</v>
      </c>
      <c r="M7964" s="15"/>
    </row>
    <row r="7965" spans="12:13">
      <c r="L7965" s="3">
        <v>44679.635416640929</v>
      </c>
      <c r="M7965" s="15"/>
    </row>
    <row r="7966" spans="12:13">
      <c r="L7966" s="3">
        <v>44679.638888863148</v>
      </c>
      <c r="M7966" s="15"/>
    </row>
    <row r="7967" spans="12:13">
      <c r="L7967" s="3">
        <v>44679.642361085367</v>
      </c>
      <c r="M7967" s="15"/>
    </row>
    <row r="7968" spans="12:13">
      <c r="L7968" s="3">
        <v>44679.645833307586</v>
      </c>
      <c r="M7968" s="15"/>
    </row>
    <row r="7969" spans="12:13">
      <c r="L7969" s="3">
        <v>44679.649305529805</v>
      </c>
      <c r="M7969" s="15"/>
    </row>
    <row r="7970" spans="12:13">
      <c r="L7970" s="3">
        <v>44679.652777752024</v>
      </c>
      <c r="M7970" s="15"/>
    </row>
    <row r="7971" spans="12:13">
      <c r="L7971" s="3">
        <v>44679.656249974243</v>
      </c>
      <c r="M7971" s="15"/>
    </row>
    <row r="7972" spans="12:13">
      <c r="L7972" s="3">
        <v>44679.659722196462</v>
      </c>
      <c r="M7972" s="15"/>
    </row>
    <row r="7973" spans="12:13">
      <c r="L7973" s="3">
        <v>44679.663194418681</v>
      </c>
      <c r="M7973" s="15"/>
    </row>
    <row r="7974" spans="12:13">
      <c r="L7974" s="3">
        <v>44679.6666666409</v>
      </c>
      <c r="M7974" s="15"/>
    </row>
    <row r="7975" spans="12:13">
      <c r="L7975" s="3">
        <v>44679.670138863119</v>
      </c>
      <c r="M7975" s="15"/>
    </row>
    <row r="7976" spans="12:13">
      <c r="L7976" s="3">
        <v>44679.673611085338</v>
      </c>
      <c r="M7976" s="15"/>
    </row>
    <row r="7977" spans="12:13">
      <c r="L7977" s="3">
        <v>44679.677083307557</v>
      </c>
      <c r="M7977" s="15"/>
    </row>
    <row r="7978" spans="12:13">
      <c r="L7978" s="3">
        <v>44679.680555529776</v>
      </c>
      <c r="M7978" s="15"/>
    </row>
    <row r="7979" spans="12:13">
      <c r="L7979" s="3">
        <v>44679.684027751995</v>
      </c>
      <c r="M7979" s="15"/>
    </row>
    <row r="7980" spans="12:13">
      <c r="L7980" s="3">
        <v>44679.687499974214</v>
      </c>
      <c r="M7980" s="15"/>
    </row>
    <row r="7981" spans="12:13">
      <c r="L7981" s="3">
        <v>44679.690972196433</v>
      </c>
      <c r="M7981" s="15"/>
    </row>
    <row r="7982" spans="12:13">
      <c r="L7982" s="3">
        <v>44679.694444418652</v>
      </c>
      <c r="M7982" s="15"/>
    </row>
    <row r="7983" spans="12:13">
      <c r="L7983" s="3">
        <v>44679.697916640871</v>
      </c>
      <c r="M7983" s="15"/>
    </row>
    <row r="7984" spans="12:13">
      <c r="L7984" s="3">
        <v>44679.70138886309</v>
      </c>
      <c r="M7984" s="15"/>
    </row>
    <row r="7985" spans="12:13">
      <c r="L7985" s="3">
        <v>44679.704861085309</v>
      </c>
      <c r="M7985" s="15"/>
    </row>
    <row r="7986" spans="12:13">
      <c r="L7986" s="3">
        <v>44679.708333307528</v>
      </c>
      <c r="M7986" s="15"/>
    </row>
    <row r="7987" spans="12:13">
      <c r="L7987" s="3">
        <v>44679.711805529747</v>
      </c>
      <c r="M7987" s="15"/>
    </row>
    <row r="7988" spans="12:13">
      <c r="L7988" s="3">
        <v>44679.715277751966</v>
      </c>
      <c r="M7988" s="15"/>
    </row>
    <row r="7989" spans="12:13">
      <c r="L7989" s="3">
        <v>44679.718749974185</v>
      </c>
      <c r="M7989" s="15"/>
    </row>
    <row r="7990" spans="12:13">
      <c r="L7990" s="3">
        <v>44679.722222196404</v>
      </c>
      <c r="M7990" s="15"/>
    </row>
    <row r="7991" spans="12:13">
      <c r="L7991" s="3">
        <v>44679.725694418623</v>
      </c>
      <c r="M7991" s="15"/>
    </row>
    <row r="7992" spans="12:13">
      <c r="L7992" s="3">
        <v>44679.729166640842</v>
      </c>
      <c r="M7992" s="15"/>
    </row>
    <row r="7993" spans="12:13">
      <c r="L7993" s="3">
        <v>44679.732638863061</v>
      </c>
      <c r="M7993" s="15"/>
    </row>
    <row r="7994" spans="12:13">
      <c r="L7994" s="3">
        <v>44679.73611108528</v>
      </c>
      <c r="M7994" s="15"/>
    </row>
    <row r="7995" spans="12:13">
      <c r="L7995" s="3">
        <v>44679.739583307499</v>
      </c>
      <c r="M7995" s="15"/>
    </row>
    <row r="7996" spans="12:13">
      <c r="L7996" s="3">
        <v>44679.743055529718</v>
      </c>
      <c r="M7996" s="15"/>
    </row>
    <row r="7997" spans="12:13">
      <c r="L7997" s="3">
        <v>44679.746527751937</v>
      </c>
      <c r="M7997" s="15"/>
    </row>
    <row r="7998" spans="12:13">
      <c r="L7998" s="3">
        <v>44679.749999974156</v>
      </c>
      <c r="M7998" s="15"/>
    </row>
    <row r="7999" spans="12:13">
      <c r="L7999" s="3">
        <v>44679.753472196375</v>
      </c>
      <c r="M7999" s="15"/>
    </row>
    <row r="8000" spans="12:13">
      <c r="L8000" s="3">
        <v>44679.756944418594</v>
      </c>
      <c r="M8000" s="15"/>
    </row>
    <row r="8001" spans="12:13">
      <c r="L8001" s="3">
        <v>44679.760416640813</v>
      </c>
      <c r="M8001" s="15"/>
    </row>
    <row r="8002" spans="12:13">
      <c r="L8002" s="3">
        <v>44679.763888863032</v>
      </c>
      <c r="M8002" s="15"/>
    </row>
    <row r="8003" spans="12:13">
      <c r="L8003" s="3">
        <v>44679.767361085251</v>
      </c>
      <c r="M8003" s="15"/>
    </row>
    <row r="8004" spans="12:13">
      <c r="L8004" s="3">
        <v>44679.77083330747</v>
      </c>
      <c r="M8004" s="15"/>
    </row>
    <row r="8005" spans="12:13">
      <c r="L8005" s="3">
        <v>44679.774305529689</v>
      </c>
      <c r="M8005" s="15"/>
    </row>
    <row r="8006" spans="12:13">
      <c r="L8006" s="3">
        <v>44679.777777751908</v>
      </c>
      <c r="M8006" s="15"/>
    </row>
    <row r="8007" spans="12:13">
      <c r="L8007" s="3">
        <v>44679.781249974127</v>
      </c>
      <c r="M8007" s="15"/>
    </row>
    <row r="8008" spans="12:13">
      <c r="L8008" s="3">
        <v>44679.784722196346</v>
      </c>
      <c r="M8008" s="15"/>
    </row>
    <row r="8009" spans="12:13">
      <c r="L8009" s="3">
        <v>44679.788194418565</v>
      </c>
      <c r="M8009" s="15"/>
    </row>
    <row r="8010" spans="12:13">
      <c r="L8010" s="3">
        <v>44679.791666640784</v>
      </c>
      <c r="M8010" s="15"/>
    </row>
    <row r="8011" spans="12:13">
      <c r="L8011" s="3">
        <v>44679.795138863003</v>
      </c>
      <c r="M8011" s="15"/>
    </row>
    <row r="8012" spans="12:13">
      <c r="L8012" s="3">
        <v>44679.798611085222</v>
      </c>
      <c r="M8012" s="15"/>
    </row>
    <row r="8013" spans="12:13">
      <c r="L8013" s="3">
        <v>44679.802083307441</v>
      </c>
      <c r="M8013" s="15"/>
    </row>
    <row r="8014" spans="12:13">
      <c r="L8014" s="3">
        <v>44679.80555552966</v>
      </c>
      <c r="M8014" s="15"/>
    </row>
    <row r="8015" spans="12:13">
      <c r="L8015" s="3">
        <v>44679.809027751879</v>
      </c>
      <c r="M8015" s="15"/>
    </row>
    <row r="8016" spans="12:13">
      <c r="L8016" s="3">
        <v>44679.812499974098</v>
      </c>
      <c r="M8016" s="15"/>
    </row>
    <row r="8017" spans="12:13">
      <c r="L8017" s="3">
        <v>44679.815972196317</v>
      </c>
      <c r="M8017" s="15"/>
    </row>
    <row r="8018" spans="12:13">
      <c r="L8018" s="3">
        <v>44679.819444418536</v>
      </c>
      <c r="M8018" s="15"/>
    </row>
    <row r="8019" spans="12:13">
      <c r="L8019" s="3">
        <v>44679.822916640755</v>
      </c>
      <c r="M8019" s="15"/>
    </row>
    <row r="8020" spans="12:13">
      <c r="L8020" s="3">
        <v>44679.826388862974</v>
      </c>
      <c r="M8020" s="15"/>
    </row>
    <row r="8021" spans="12:13">
      <c r="L8021" s="3">
        <v>44679.829861085193</v>
      </c>
      <c r="M8021" s="15"/>
    </row>
    <row r="8022" spans="12:13">
      <c r="L8022" s="3">
        <v>44679.833333307412</v>
      </c>
      <c r="M8022" s="15"/>
    </row>
    <row r="8023" spans="12:13">
      <c r="L8023" s="3">
        <v>44679.836805529631</v>
      </c>
      <c r="M8023" s="15"/>
    </row>
    <row r="8024" spans="12:13">
      <c r="L8024" s="3">
        <v>44679.840277751849</v>
      </c>
      <c r="M8024" s="15"/>
    </row>
    <row r="8025" spans="12:13">
      <c r="L8025" s="3">
        <v>44679.843749974068</v>
      </c>
      <c r="M8025" s="15"/>
    </row>
    <row r="8026" spans="12:13">
      <c r="L8026" s="3">
        <v>44679.847222196287</v>
      </c>
      <c r="M8026" s="15"/>
    </row>
    <row r="8027" spans="12:13">
      <c r="L8027" s="3">
        <v>44679.850694418506</v>
      </c>
      <c r="M8027" s="15"/>
    </row>
    <row r="8028" spans="12:13">
      <c r="L8028" s="3">
        <v>44679.854166640725</v>
      </c>
      <c r="M8028" s="15"/>
    </row>
    <row r="8029" spans="12:13">
      <c r="L8029" s="3">
        <v>44679.857638862944</v>
      </c>
      <c r="M8029" s="15"/>
    </row>
    <row r="8030" spans="12:13">
      <c r="L8030" s="3">
        <v>44679.861111085163</v>
      </c>
      <c r="M8030" s="15"/>
    </row>
    <row r="8031" spans="12:13">
      <c r="L8031" s="3">
        <v>44679.864583307382</v>
      </c>
      <c r="M8031" s="15"/>
    </row>
    <row r="8032" spans="12:13">
      <c r="L8032" s="3">
        <v>44679.868055529601</v>
      </c>
      <c r="M8032" s="15"/>
    </row>
    <row r="8033" spans="12:13">
      <c r="L8033" s="3">
        <v>44679.87152775182</v>
      </c>
      <c r="M8033" s="15"/>
    </row>
    <row r="8034" spans="12:13">
      <c r="L8034" s="3">
        <v>44679.874999974039</v>
      </c>
      <c r="M8034" s="15"/>
    </row>
    <row r="8035" spans="12:13">
      <c r="L8035" s="3">
        <v>44679.878472196258</v>
      </c>
      <c r="M8035" s="15"/>
    </row>
    <row r="8036" spans="12:13">
      <c r="L8036" s="3">
        <v>44679.881944418477</v>
      </c>
      <c r="M8036" s="15"/>
    </row>
    <row r="8037" spans="12:13">
      <c r="L8037" s="3">
        <v>44679.885416640696</v>
      </c>
      <c r="M8037" s="15"/>
    </row>
    <row r="8038" spans="12:13">
      <c r="L8038" s="3">
        <v>44679.888888862915</v>
      </c>
      <c r="M8038" s="15"/>
    </row>
    <row r="8039" spans="12:13">
      <c r="L8039" s="3">
        <v>44679.892361085134</v>
      </c>
      <c r="M8039" s="15"/>
    </row>
    <row r="8040" spans="12:13">
      <c r="L8040" s="3">
        <v>44679.895833307353</v>
      </c>
      <c r="M8040" s="15"/>
    </row>
    <row r="8041" spans="12:13">
      <c r="L8041" s="3">
        <v>44679.899305529572</v>
      </c>
      <c r="M8041" s="15"/>
    </row>
    <row r="8042" spans="12:13">
      <c r="L8042" s="3">
        <v>44679.902777751791</v>
      </c>
      <c r="M8042" s="15"/>
    </row>
    <row r="8043" spans="12:13">
      <c r="L8043" s="3">
        <v>44679.90624997401</v>
      </c>
      <c r="M8043" s="15"/>
    </row>
    <row r="8044" spans="12:13">
      <c r="L8044" s="3">
        <v>44679.909722196229</v>
      </c>
      <c r="M8044" s="15"/>
    </row>
    <row r="8045" spans="12:13">
      <c r="L8045" s="3">
        <v>44679.913194418448</v>
      </c>
      <c r="M8045" s="15"/>
    </row>
    <row r="8046" spans="12:13">
      <c r="L8046" s="3">
        <v>44679.916666640667</v>
      </c>
      <c r="M8046" s="15"/>
    </row>
    <row r="8047" spans="12:13">
      <c r="L8047" s="3">
        <v>44679.920138862886</v>
      </c>
      <c r="M8047" s="15"/>
    </row>
    <row r="8048" spans="12:13">
      <c r="L8048" s="3">
        <v>44679.923611085105</v>
      </c>
      <c r="M8048" s="15"/>
    </row>
    <row r="8049" spans="12:13">
      <c r="L8049" s="3">
        <v>44679.927083307324</v>
      </c>
      <c r="M8049" s="15"/>
    </row>
    <row r="8050" spans="12:13">
      <c r="L8050" s="3">
        <v>44679.930555529543</v>
      </c>
      <c r="M8050" s="15"/>
    </row>
    <row r="8051" spans="12:13">
      <c r="L8051" s="3">
        <v>44679.934027751762</v>
      </c>
      <c r="M8051" s="15"/>
    </row>
    <row r="8052" spans="12:13">
      <c r="L8052" s="3">
        <v>44679.937499973981</v>
      </c>
      <c r="M8052" s="15"/>
    </row>
    <row r="8053" spans="12:13">
      <c r="L8053" s="3">
        <v>44679.9409721962</v>
      </c>
      <c r="M8053" s="15"/>
    </row>
    <row r="8054" spans="12:13">
      <c r="L8054" s="3">
        <v>44679.944444418419</v>
      </c>
      <c r="M8054" s="15"/>
    </row>
    <row r="8055" spans="12:13">
      <c r="L8055" s="3">
        <v>44679.947916640638</v>
      </c>
      <c r="M8055" s="15"/>
    </row>
    <row r="8056" spans="12:13">
      <c r="L8056" s="3">
        <v>44679.951388862857</v>
      </c>
      <c r="M8056" s="15"/>
    </row>
    <row r="8057" spans="12:13">
      <c r="L8057" s="3">
        <v>44679.954861085076</v>
      </c>
      <c r="M8057" s="15"/>
    </row>
    <row r="8058" spans="12:13">
      <c r="L8058" s="3">
        <v>44679.958333307295</v>
      </c>
      <c r="M8058" s="15"/>
    </row>
    <row r="8059" spans="12:13">
      <c r="L8059" s="3">
        <v>44679.961805529514</v>
      </c>
      <c r="M8059" s="15"/>
    </row>
    <row r="8060" spans="12:13">
      <c r="L8060" s="3">
        <v>44679.965277751733</v>
      </c>
      <c r="M8060" s="15"/>
    </row>
    <row r="8061" spans="12:13">
      <c r="L8061" s="3">
        <v>44679.968749973952</v>
      </c>
      <c r="M8061" s="15"/>
    </row>
    <row r="8062" spans="12:13">
      <c r="L8062" s="3">
        <v>44679.972222196171</v>
      </c>
      <c r="M8062" s="15"/>
    </row>
    <row r="8063" spans="12:13">
      <c r="L8063" s="3">
        <v>44679.97569441839</v>
      </c>
      <c r="M8063" s="15"/>
    </row>
    <row r="8064" spans="12:13">
      <c r="L8064" s="3">
        <v>44679.979166640609</v>
      </c>
      <c r="M8064" s="15"/>
    </row>
    <row r="8065" spans="12:13">
      <c r="L8065" s="3">
        <v>44679.982638862828</v>
      </c>
      <c r="M8065" s="15"/>
    </row>
    <row r="8066" spans="12:13">
      <c r="L8066" s="3">
        <v>44679.986111085047</v>
      </c>
      <c r="M8066" s="15"/>
    </row>
    <row r="8067" spans="12:13">
      <c r="L8067" s="3">
        <v>44679.989583307266</v>
      </c>
      <c r="M8067" s="15"/>
    </row>
    <row r="8068" spans="12:13">
      <c r="L8068" s="3">
        <v>44679.993055529485</v>
      </c>
      <c r="M8068" s="15"/>
    </row>
    <row r="8069" spans="12:13">
      <c r="L8069" s="3">
        <v>44679.996527751704</v>
      </c>
      <c r="M8069" s="15"/>
    </row>
    <row r="8070" spans="12:13">
      <c r="L8070" s="3">
        <v>44679.999999973923</v>
      </c>
      <c r="M8070" s="15"/>
    </row>
    <row r="8071" spans="12:13">
      <c r="L8071" s="3">
        <v>44680.003472196142</v>
      </c>
      <c r="M8071" s="15"/>
    </row>
    <row r="8072" spans="12:13">
      <c r="L8072" s="3">
        <v>44680.006944418361</v>
      </c>
      <c r="M8072" s="15"/>
    </row>
    <row r="8073" spans="12:13">
      <c r="L8073" s="3">
        <v>44680.01041664058</v>
      </c>
      <c r="M8073" s="15"/>
    </row>
    <row r="8074" spans="12:13">
      <c r="L8074" s="3">
        <v>44680.013888862799</v>
      </c>
      <c r="M8074" s="15"/>
    </row>
    <row r="8075" spans="12:13">
      <c r="L8075" s="3">
        <v>44680.017361085018</v>
      </c>
      <c r="M8075" s="15"/>
    </row>
    <row r="8076" spans="12:13">
      <c r="L8076" s="3">
        <v>44680.020833307237</v>
      </c>
      <c r="M8076" s="15"/>
    </row>
    <row r="8077" spans="12:13">
      <c r="L8077" s="3">
        <v>44680.024305529456</v>
      </c>
      <c r="M8077" s="15"/>
    </row>
    <row r="8078" spans="12:13">
      <c r="L8078" s="3">
        <v>44680.027777751675</v>
      </c>
      <c r="M8078" s="15"/>
    </row>
    <row r="8079" spans="12:13">
      <c r="L8079" s="3">
        <v>44680.031249973894</v>
      </c>
      <c r="M8079" s="15"/>
    </row>
    <row r="8080" spans="12:13">
      <c r="L8080" s="3">
        <v>44680.034722196113</v>
      </c>
      <c r="M8080" s="15"/>
    </row>
    <row r="8081" spans="12:13">
      <c r="L8081" s="3">
        <v>44680.038194418332</v>
      </c>
      <c r="M8081" s="15"/>
    </row>
    <row r="8082" spans="12:13">
      <c r="L8082" s="3">
        <v>44680.041666640551</v>
      </c>
      <c r="M8082" s="15"/>
    </row>
    <row r="8083" spans="12:13">
      <c r="L8083" s="3">
        <v>44680.04513886277</v>
      </c>
      <c r="M8083" s="15"/>
    </row>
    <row r="8084" spans="12:13">
      <c r="L8084" s="3">
        <v>44680.048611084989</v>
      </c>
      <c r="M8084" s="15"/>
    </row>
    <row r="8085" spans="12:13">
      <c r="L8085" s="3">
        <v>44680.052083307208</v>
      </c>
      <c r="M8085" s="15"/>
    </row>
    <row r="8086" spans="12:13">
      <c r="L8086" s="3">
        <v>44680.055555529427</v>
      </c>
      <c r="M8086" s="15"/>
    </row>
    <row r="8087" spans="12:13">
      <c r="L8087" s="3">
        <v>44680.059027751646</v>
      </c>
      <c r="M8087" s="15"/>
    </row>
    <row r="8088" spans="12:13">
      <c r="L8088" s="3">
        <v>44680.062499973865</v>
      </c>
      <c r="M8088" s="15"/>
    </row>
    <row r="8089" spans="12:13">
      <c r="L8089" s="3">
        <v>44680.065972196084</v>
      </c>
      <c r="M8089" s="15"/>
    </row>
    <row r="8090" spans="12:13">
      <c r="L8090" s="3">
        <v>44680.069444418303</v>
      </c>
      <c r="M8090" s="15"/>
    </row>
    <row r="8091" spans="12:13">
      <c r="L8091" s="3">
        <v>44680.072916640522</v>
      </c>
      <c r="M8091" s="15"/>
    </row>
    <row r="8092" spans="12:13">
      <c r="L8092" s="3">
        <v>44680.076388862741</v>
      </c>
      <c r="M8092" s="15"/>
    </row>
    <row r="8093" spans="12:13">
      <c r="L8093" s="3">
        <v>44680.07986108496</v>
      </c>
      <c r="M8093" s="15"/>
    </row>
    <row r="8094" spans="12:13">
      <c r="L8094" s="3">
        <v>44680.083333307179</v>
      </c>
      <c r="M8094" s="15"/>
    </row>
    <row r="8095" spans="12:13">
      <c r="L8095" s="3">
        <v>44680.086805529398</v>
      </c>
      <c r="M8095" s="15"/>
    </row>
    <row r="8096" spans="12:13">
      <c r="L8096" s="3">
        <v>44680.090277751617</v>
      </c>
      <c r="M8096" s="15"/>
    </row>
    <row r="8097" spans="12:13">
      <c r="L8097" s="3">
        <v>44680.093749973836</v>
      </c>
      <c r="M8097" s="15"/>
    </row>
    <row r="8098" spans="12:13">
      <c r="L8098" s="3">
        <v>44680.097222196055</v>
      </c>
      <c r="M8098" s="15"/>
    </row>
    <row r="8099" spans="12:13">
      <c r="L8099" s="3">
        <v>44680.100694418274</v>
      </c>
      <c r="M8099" s="15"/>
    </row>
    <row r="8100" spans="12:13">
      <c r="L8100" s="3">
        <v>44680.104166640493</v>
      </c>
      <c r="M8100" s="15"/>
    </row>
    <row r="8101" spans="12:13">
      <c r="L8101" s="3">
        <v>44680.107638862712</v>
      </c>
      <c r="M8101" s="15"/>
    </row>
    <row r="8102" spans="12:13">
      <c r="L8102" s="3">
        <v>44680.111111084931</v>
      </c>
      <c r="M8102" s="15"/>
    </row>
    <row r="8103" spans="12:13">
      <c r="L8103" s="3">
        <v>44680.11458330715</v>
      </c>
      <c r="M8103" s="15"/>
    </row>
    <row r="8104" spans="12:13">
      <c r="L8104" s="3">
        <v>44680.118055529369</v>
      </c>
      <c r="M8104" s="15"/>
    </row>
    <row r="8105" spans="12:13">
      <c r="L8105" s="3">
        <v>44680.121527751588</v>
      </c>
      <c r="M8105" s="15"/>
    </row>
    <row r="8106" spans="12:13">
      <c r="L8106" s="3">
        <v>44680.124999973807</v>
      </c>
      <c r="M8106" s="15"/>
    </row>
    <row r="8107" spans="12:13">
      <c r="L8107" s="3">
        <v>44680.128472196026</v>
      </c>
      <c r="M8107" s="15"/>
    </row>
    <row r="8108" spans="12:13">
      <c r="L8108" s="3">
        <v>44680.131944418245</v>
      </c>
      <c r="M8108" s="15"/>
    </row>
    <row r="8109" spans="12:13">
      <c r="L8109" s="3">
        <v>44680.135416640464</v>
      </c>
      <c r="M8109" s="15"/>
    </row>
    <row r="8110" spans="12:13">
      <c r="L8110" s="3">
        <v>44680.138888862683</v>
      </c>
      <c r="M8110" s="15"/>
    </row>
    <row r="8111" spans="12:13">
      <c r="L8111" s="3">
        <v>44680.142361084901</v>
      </c>
      <c r="M8111" s="15"/>
    </row>
    <row r="8112" spans="12:13">
      <c r="L8112" s="3">
        <v>44680.14583330712</v>
      </c>
      <c r="M8112" s="15"/>
    </row>
    <row r="8113" spans="12:13">
      <c r="L8113" s="3">
        <v>44680.149305529339</v>
      </c>
      <c r="M8113" s="15"/>
    </row>
    <row r="8114" spans="12:13">
      <c r="L8114" s="3">
        <v>44680.152777751558</v>
      </c>
      <c r="M8114" s="15"/>
    </row>
    <row r="8115" spans="12:13">
      <c r="L8115" s="3">
        <v>44680.156249973777</v>
      </c>
      <c r="M8115" s="15"/>
    </row>
    <row r="8116" spans="12:13">
      <c r="L8116" s="3">
        <v>44680.159722195996</v>
      </c>
      <c r="M8116" s="15"/>
    </row>
    <row r="8117" spans="12:13">
      <c r="L8117" s="3">
        <v>44680.163194418215</v>
      </c>
      <c r="M8117" s="15"/>
    </row>
    <row r="8118" spans="12:13">
      <c r="L8118" s="3">
        <v>44680.166666640434</v>
      </c>
      <c r="M8118" s="15"/>
    </row>
    <row r="8119" spans="12:13">
      <c r="L8119" s="3">
        <v>44680.170138862653</v>
      </c>
      <c r="M8119" s="15"/>
    </row>
    <row r="8120" spans="12:13">
      <c r="L8120" s="3">
        <v>44680.173611084872</v>
      </c>
      <c r="M8120" s="15"/>
    </row>
    <row r="8121" spans="12:13">
      <c r="L8121" s="3">
        <v>44680.177083307091</v>
      </c>
      <c r="M8121" s="15"/>
    </row>
    <row r="8122" spans="12:13">
      <c r="L8122" s="3">
        <v>44680.18055552931</v>
      </c>
      <c r="M8122" s="15"/>
    </row>
    <row r="8123" spans="12:13">
      <c r="L8123" s="3">
        <v>44680.184027751529</v>
      </c>
      <c r="M8123" s="15"/>
    </row>
    <row r="8124" spans="12:13">
      <c r="L8124" s="3">
        <v>44680.187499973748</v>
      </c>
      <c r="M8124" s="15"/>
    </row>
    <row r="8125" spans="12:13">
      <c r="L8125" s="3">
        <v>44680.190972195967</v>
      </c>
      <c r="M8125" s="15"/>
    </row>
    <row r="8126" spans="12:13">
      <c r="L8126" s="3">
        <v>44680.194444418186</v>
      </c>
      <c r="M8126" s="15"/>
    </row>
    <row r="8127" spans="12:13">
      <c r="L8127" s="3">
        <v>44680.197916640405</v>
      </c>
      <c r="M8127" s="15"/>
    </row>
    <row r="8128" spans="12:13">
      <c r="L8128" s="3">
        <v>44680.201388862624</v>
      </c>
      <c r="M8128" s="15"/>
    </row>
    <row r="8129" spans="12:13">
      <c r="L8129" s="3">
        <v>44680.204861084843</v>
      </c>
      <c r="M8129" s="15"/>
    </row>
    <row r="8130" spans="12:13">
      <c r="L8130" s="3">
        <v>44680.208333307062</v>
      </c>
      <c r="M8130" s="15"/>
    </row>
    <row r="8131" spans="12:13">
      <c r="L8131" s="3">
        <v>44680.211805529281</v>
      </c>
      <c r="M8131" s="15"/>
    </row>
    <row r="8132" spans="12:13">
      <c r="L8132" s="3">
        <v>44680.2152777515</v>
      </c>
      <c r="M8132" s="15"/>
    </row>
    <row r="8133" spans="12:13">
      <c r="L8133" s="3">
        <v>44680.218749973719</v>
      </c>
      <c r="M8133" s="15"/>
    </row>
    <row r="8134" spans="12:13">
      <c r="L8134" s="3">
        <v>44680.222222195938</v>
      </c>
      <c r="M8134" s="15"/>
    </row>
    <row r="8135" spans="12:13">
      <c r="L8135" s="3">
        <v>44680.225694418157</v>
      </c>
      <c r="M8135" s="15"/>
    </row>
    <row r="8136" spans="12:13">
      <c r="L8136" s="3">
        <v>44680.229166640376</v>
      </c>
      <c r="M8136" s="15"/>
    </row>
    <row r="8137" spans="12:13">
      <c r="L8137" s="3">
        <v>44680.232638862595</v>
      </c>
      <c r="M8137" s="15"/>
    </row>
    <row r="8138" spans="12:13">
      <c r="L8138" s="3">
        <v>44680.236111084814</v>
      </c>
      <c r="M8138" s="15"/>
    </row>
    <row r="8139" spans="12:13">
      <c r="L8139" s="3">
        <v>44680.239583307033</v>
      </c>
      <c r="M8139" s="15"/>
    </row>
    <row r="8140" spans="12:13">
      <c r="L8140" s="3">
        <v>44680.243055529252</v>
      </c>
      <c r="M8140" s="15"/>
    </row>
    <row r="8141" spans="12:13">
      <c r="L8141" s="3">
        <v>44680.246527751471</v>
      </c>
      <c r="M8141" s="15"/>
    </row>
    <row r="8142" spans="12:13">
      <c r="L8142" s="3">
        <v>44680.24999997369</v>
      </c>
      <c r="M8142" s="15"/>
    </row>
    <row r="8143" spans="12:13">
      <c r="L8143" s="3">
        <v>44680.253472195909</v>
      </c>
      <c r="M8143" s="15"/>
    </row>
    <row r="8144" spans="12:13">
      <c r="L8144" s="3">
        <v>44680.256944418128</v>
      </c>
      <c r="M8144" s="15"/>
    </row>
    <row r="8145" spans="12:13">
      <c r="L8145" s="3">
        <v>44680.260416640347</v>
      </c>
      <c r="M8145" s="15"/>
    </row>
    <row r="8146" spans="12:13">
      <c r="L8146" s="3">
        <v>44680.263888862566</v>
      </c>
      <c r="M8146" s="15"/>
    </row>
    <row r="8147" spans="12:13">
      <c r="L8147" s="3">
        <v>44680.267361084785</v>
      </c>
      <c r="M8147" s="15"/>
    </row>
    <row r="8148" spans="12:13">
      <c r="L8148" s="3">
        <v>44680.270833307004</v>
      </c>
      <c r="M8148" s="15"/>
    </row>
    <row r="8149" spans="12:13">
      <c r="L8149" s="3">
        <v>44680.274305529223</v>
      </c>
      <c r="M8149" s="15"/>
    </row>
    <row r="8150" spans="12:13">
      <c r="L8150" s="3">
        <v>44680.277777751442</v>
      </c>
      <c r="M8150" s="15"/>
    </row>
    <row r="8151" spans="12:13">
      <c r="L8151" s="3">
        <v>44680.281249973661</v>
      </c>
      <c r="M8151" s="15"/>
    </row>
    <row r="8152" spans="12:13">
      <c r="L8152" s="3">
        <v>44680.28472219588</v>
      </c>
      <c r="M8152" s="15"/>
    </row>
    <row r="8153" spans="12:13">
      <c r="L8153" s="3">
        <v>44680.288194418099</v>
      </c>
      <c r="M8153" s="15"/>
    </row>
    <row r="8154" spans="12:13">
      <c r="L8154" s="3">
        <v>44680.291666640318</v>
      </c>
      <c r="M8154" s="15"/>
    </row>
    <row r="8155" spans="12:13">
      <c r="L8155" s="3">
        <v>44680.295138862537</v>
      </c>
      <c r="M8155" s="15"/>
    </row>
    <row r="8156" spans="12:13">
      <c r="L8156" s="3">
        <v>44680.298611084756</v>
      </c>
      <c r="M8156" s="15"/>
    </row>
    <row r="8157" spans="12:13">
      <c r="L8157" s="3">
        <v>44680.302083306975</v>
      </c>
      <c r="M8157" s="15"/>
    </row>
    <row r="8158" spans="12:13">
      <c r="L8158" s="3">
        <v>44680.305555529194</v>
      </c>
      <c r="M8158" s="15"/>
    </row>
    <row r="8159" spans="12:13">
      <c r="L8159" s="3">
        <v>44680.309027751413</v>
      </c>
      <c r="M8159" s="15"/>
    </row>
    <row r="8160" spans="12:13">
      <c r="L8160" s="3">
        <v>44680.312499973632</v>
      </c>
      <c r="M8160" s="15"/>
    </row>
    <row r="8161" spans="12:13">
      <c r="L8161" s="3">
        <v>44680.315972195851</v>
      </c>
      <c r="M8161" s="15"/>
    </row>
    <row r="8162" spans="12:13">
      <c r="L8162" s="3">
        <v>44680.31944441807</v>
      </c>
      <c r="M8162" s="15"/>
    </row>
    <row r="8163" spans="12:13">
      <c r="L8163" s="3">
        <v>44680.322916640289</v>
      </c>
      <c r="M8163" s="15"/>
    </row>
    <row r="8164" spans="12:13">
      <c r="L8164" s="3">
        <v>44680.326388862508</v>
      </c>
      <c r="M8164" s="15"/>
    </row>
    <row r="8165" spans="12:13">
      <c r="L8165" s="3">
        <v>44680.329861084727</v>
      </c>
      <c r="M8165" s="15"/>
    </row>
    <row r="8166" spans="12:13">
      <c r="L8166" s="3">
        <v>44680.333333306946</v>
      </c>
      <c r="M8166" s="15"/>
    </row>
    <row r="8167" spans="12:13">
      <c r="L8167" s="3">
        <v>44680.336805529165</v>
      </c>
      <c r="M8167" s="15"/>
    </row>
    <row r="8168" spans="12:13">
      <c r="L8168" s="3">
        <v>44680.340277751384</v>
      </c>
      <c r="M8168" s="15"/>
    </row>
    <row r="8169" spans="12:13">
      <c r="L8169" s="3">
        <v>44680.343749973603</v>
      </c>
      <c r="M8169" s="15"/>
    </row>
    <row r="8170" spans="12:13">
      <c r="L8170" s="3">
        <v>44680.347222195822</v>
      </c>
      <c r="M8170" s="15"/>
    </row>
    <row r="8171" spans="12:13">
      <c r="L8171" s="3">
        <v>44680.350694418041</v>
      </c>
      <c r="M8171" s="15"/>
    </row>
    <row r="8172" spans="12:13">
      <c r="L8172" s="3">
        <v>44680.35416664026</v>
      </c>
      <c r="M8172" s="15"/>
    </row>
    <row r="8173" spans="12:13">
      <c r="L8173" s="3">
        <v>44680.357638862479</v>
      </c>
      <c r="M8173" s="15"/>
    </row>
    <row r="8174" spans="12:13">
      <c r="L8174" s="3">
        <v>44680.361111084698</v>
      </c>
      <c r="M8174" s="15"/>
    </row>
    <row r="8175" spans="12:13">
      <c r="L8175" s="3">
        <v>44680.364583306917</v>
      </c>
      <c r="M8175" s="15"/>
    </row>
    <row r="8176" spans="12:13">
      <c r="L8176" s="3">
        <v>44680.368055529136</v>
      </c>
      <c r="M8176" s="15"/>
    </row>
    <row r="8177" spans="12:13">
      <c r="L8177" s="3">
        <v>44680.371527751355</v>
      </c>
      <c r="M8177" s="15"/>
    </row>
    <row r="8178" spans="12:13">
      <c r="L8178" s="3">
        <v>44680.374999973574</v>
      </c>
      <c r="M8178" s="15"/>
    </row>
    <row r="8179" spans="12:13">
      <c r="L8179" s="3">
        <v>44680.378472195793</v>
      </c>
      <c r="M8179" s="15"/>
    </row>
    <row r="8180" spans="12:13">
      <c r="L8180" s="3">
        <v>44680.381944418012</v>
      </c>
      <c r="M8180" s="15"/>
    </row>
    <row r="8181" spans="12:13">
      <c r="L8181" s="3">
        <v>44680.385416640231</v>
      </c>
      <c r="M8181" s="15"/>
    </row>
    <row r="8182" spans="12:13">
      <c r="L8182" s="3">
        <v>44680.38888886245</v>
      </c>
      <c r="M8182" s="15"/>
    </row>
    <row r="8183" spans="12:13">
      <c r="L8183" s="3">
        <v>44680.392361084669</v>
      </c>
      <c r="M8183" s="15"/>
    </row>
    <row r="8184" spans="12:13">
      <c r="L8184" s="3">
        <v>44680.395833306888</v>
      </c>
      <c r="M8184" s="15"/>
    </row>
    <row r="8185" spans="12:13">
      <c r="L8185" s="3">
        <v>44680.399305529107</v>
      </c>
      <c r="M8185" s="15"/>
    </row>
    <row r="8186" spans="12:13">
      <c r="L8186" s="3">
        <v>44680.402777751326</v>
      </c>
      <c r="M8186" s="15"/>
    </row>
    <row r="8187" spans="12:13">
      <c r="L8187" s="3">
        <v>44680.406249973545</v>
      </c>
      <c r="M8187" s="15"/>
    </row>
    <row r="8188" spans="12:13">
      <c r="L8188" s="3">
        <v>44680.409722195764</v>
      </c>
      <c r="M8188" s="15"/>
    </row>
    <row r="8189" spans="12:13">
      <c r="L8189" s="3">
        <v>44680.413194417983</v>
      </c>
      <c r="M8189" s="15"/>
    </row>
    <row r="8190" spans="12:13">
      <c r="L8190" s="3">
        <v>44680.416666640202</v>
      </c>
      <c r="M8190" s="15"/>
    </row>
    <row r="8191" spans="12:13">
      <c r="L8191" s="3">
        <v>44680.420138862421</v>
      </c>
      <c r="M8191" s="15"/>
    </row>
    <row r="8192" spans="12:13">
      <c r="L8192" s="3">
        <v>44680.42361108464</v>
      </c>
      <c r="M8192" s="15"/>
    </row>
    <row r="8193" spans="12:13">
      <c r="L8193" s="3">
        <v>44680.427083306859</v>
      </c>
      <c r="M8193" s="15"/>
    </row>
    <row r="8194" spans="12:13">
      <c r="L8194" s="3">
        <v>44680.430555529078</v>
      </c>
      <c r="M8194" s="15"/>
    </row>
    <row r="8195" spans="12:13">
      <c r="L8195" s="3">
        <v>44680.434027751297</v>
      </c>
      <c r="M8195" s="15"/>
    </row>
    <row r="8196" spans="12:13">
      <c r="L8196" s="3">
        <v>44680.437499973516</v>
      </c>
      <c r="M8196" s="15"/>
    </row>
    <row r="8197" spans="12:13">
      <c r="L8197" s="3">
        <v>44680.440972195735</v>
      </c>
      <c r="M8197" s="15"/>
    </row>
    <row r="8198" spans="12:13">
      <c r="L8198" s="3">
        <v>44680.444444417953</v>
      </c>
      <c r="M8198" s="15"/>
    </row>
    <row r="8199" spans="12:13">
      <c r="L8199" s="3">
        <v>44680.447916640172</v>
      </c>
      <c r="M8199" s="15"/>
    </row>
    <row r="8200" spans="12:13">
      <c r="L8200" s="3">
        <v>44680.451388862391</v>
      </c>
      <c r="M8200" s="15"/>
    </row>
    <row r="8201" spans="12:13">
      <c r="L8201" s="3">
        <v>44680.45486108461</v>
      </c>
      <c r="M8201" s="15"/>
    </row>
    <row r="8202" spans="12:13">
      <c r="L8202" s="3">
        <v>44680.458333306829</v>
      </c>
      <c r="M8202" s="15"/>
    </row>
    <row r="8203" spans="12:13">
      <c r="L8203" s="3">
        <v>44680.461805529048</v>
      </c>
      <c r="M8203" s="15"/>
    </row>
    <row r="8204" spans="12:13">
      <c r="L8204" s="3">
        <v>44680.465277751267</v>
      </c>
      <c r="M8204" s="15"/>
    </row>
    <row r="8205" spans="12:13">
      <c r="L8205" s="3">
        <v>44680.468749973486</v>
      </c>
      <c r="M8205" s="15"/>
    </row>
    <row r="8206" spans="12:13">
      <c r="L8206" s="3">
        <v>44680.472222195705</v>
      </c>
      <c r="M8206" s="15"/>
    </row>
    <row r="8207" spans="12:13">
      <c r="L8207" s="3">
        <v>44680.475694417924</v>
      </c>
      <c r="M8207" s="15"/>
    </row>
    <row r="8208" spans="12:13">
      <c r="L8208" s="3">
        <v>44680.479166640143</v>
      </c>
      <c r="M8208" s="15"/>
    </row>
    <row r="8209" spans="12:13">
      <c r="L8209" s="3">
        <v>44680.482638862362</v>
      </c>
      <c r="M8209" s="15"/>
    </row>
    <row r="8210" spans="12:13">
      <c r="L8210" s="3">
        <v>44680.486111084581</v>
      </c>
      <c r="M8210" s="15"/>
    </row>
    <row r="8211" spans="12:13">
      <c r="L8211" s="3">
        <v>44680.4895833068</v>
      </c>
      <c r="M8211" s="15"/>
    </row>
    <row r="8212" spans="12:13">
      <c r="L8212" s="3">
        <v>44680.493055529019</v>
      </c>
      <c r="M8212" s="15"/>
    </row>
    <row r="8213" spans="12:13">
      <c r="L8213" s="3">
        <v>44680.496527751238</v>
      </c>
      <c r="M8213" s="15"/>
    </row>
    <row r="8214" spans="12:13">
      <c r="L8214" s="3">
        <v>44680.499999973457</v>
      </c>
      <c r="M8214" s="15"/>
    </row>
    <row r="8215" spans="12:13">
      <c r="L8215" s="3">
        <v>44680.503472195676</v>
      </c>
      <c r="M8215" s="15"/>
    </row>
    <row r="8216" spans="12:13">
      <c r="L8216" s="3">
        <v>44680.506944417895</v>
      </c>
      <c r="M8216" s="15"/>
    </row>
    <row r="8217" spans="12:13">
      <c r="L8217" s="3">
        <v>44680.510416640114</v>
      </c>
      <c r="M8217" s="15"/>
    </row>
    <row r="8218" spans="12:13">
      <c r="L8218" s="3">
        <v>44680.513888862333</v>
      </c>
      <c r="M8218" s="15"/>
    </row>
    <row r="8219" spans="12:13">
      <c r="L8219" s="3">
        <v>44680.517361084552</v>
      </c>
      <c r="M8219" s="15"/>
    </row>
    <row r="8220" spans="12:13">
      <c r="L8220" s="3">
        <v>44680.520833306771</v>
      </c>
      <c r="M8220" s="15"/>
    </row>
    <row r="8221" spans="12:13">
      <c r="L8221" s="3">
        <v>44680.52430552899</v>
      </c>
      <c r="M8221" s="15"/>
    </row>
    <row r="8222" spans="12:13">
      <c r="L8222" s="3">
        <v>44680.527777751209</v>
      </c>
      <c r="M8222" s="15"/>
    </row>
    <row r="8223" spans="12:13">
      <c r="L8223" s="3">
        <v>44680.531249973428</v>
      </c>
      <c r="M8223" s="15"/>
    </row>
    <row r="8224" spans="12:13">
      <c r="L8224" s="3">
        <v>44680.534722195647</v>
      </c>
      <c r="M8224" s="15"/>
    </row>
    <row r="8225" spans="12:13">
      <c r="L8225" s="3">
        <v>44680.538194417866</v>
      </c>
      <c r="M8225" s="15"/>
    </row>
    <row r="8226" spans="12:13">
      <c r="L8226" s="3">
        <v>44680.541666640085</v>
      </c>
      <c r="M8226" s="15"/>
    </row>
    <row r="8227" spans="12:13">
      <c r="L8227" s="3">
        <v>44680.545138862304</v>
      </c>
      <c r="M8227" s="15"/>
    </row>
    <row r="8228" spans="12:13">
      <c r="L8228" s="3">
        <v>44680.548611084523</v>
      </c>
      <c r="M8228" s="15"/>
    </row>
    <row r="8229" spans="12:13">
      <c r="L8229" s="3">
        <v>44680.552083306742</v>
      </c>
      <c r="M8229" s="15"/>
    </row>
    <row r="8230" spans="12:13">
      <c r="L8230" s="3">
        <v>44680.555555528961</v>
      </c>
      <c r="M8230" s="15"/>
    </row>
    <row r="8231" spans="12:13">
      <c r="L8231" s="3">
        <v>44680.55902775118</v>
      </c>
      <c r="M8231" s="15"/>
    </row>
    <row r="8232" spans="12:13">
      <c r="L8232" s="3">
        <v>44680.562499973399</v>
      </c>
      <c r="M8232" s="15"/>
    </row>
    <row r="8233" spans="12:13">
      <c r="L8233" s="3">
        <v>44680.565972195618</v>
      </c>
      <c r="M8233" s="15"/>
    </row>
    <row r="8234" spans="12:13">
      <c r="L8234" s="3">
        <v>44680.569444417837</v>
      </c>
      <c r="M8234" s="15"/>
    </row>
    <row r="8235" spans="12:13">
      <c r="L8235" s="3">
        <v>44680.572916640056</v>
      </c>
      <c r="M8235" s="15"/>
    </row>
    <row r="8236" spans="12:13">
      <c r="L8236" s="3">
        <v>44680.576388862275</v>
      </c>
      <c r="M8236" s="15"/>
    </row>
    <row r="8237" spans="12:13">
      <c r="L8237" s="3">
        <v>44680.579861084494</v>
      </c>
      <c r="M8237" s="15"/>
    </row>
    <row r="8238" spans="12:13">
      <c r="L8238" s="3">
        <v>44680.583333306713</v>
      </c>
      <c r="M8238" s="15"/>
    </row>
    <row r="8239" spans="12:13">
      <c r="L8239" s="3">
        <v>44680.586805528932</v>
      </c>
      <c r="M8239" s="15"/>
    </row>
    <row r="8240" spans="12:13">
      <c r="L8240" s="3">
        <v>44680.590277751151</v>
      </c>
      <c r="M8240" s="15"/>
    </row>
    <row r="8241" spans="12:13">
      <c r="L8241" s="3">
        <v>44680.59374997337</v>
      </c>
      <c r="M8241" s="15"/>
    </row>
    <row r="8242" spans="12:13">
      <c r="L8242" s="3">
        <v>44680.597222195589</v>
      </c>
      <c r="M8242" s="15"/>
    </row>
    <row r="8243" spans="12:13">
      <c r="L8243" s="3">
        <v>44680.600694417808</v>
      </c>
      <c r="M8243" s="15"/>
    </row>
    <row r="8244" spans="12:13">
      <c r="L8244" s="3">
        <v>44680.604166640027</v>
      </c>
      <c r="M8244" s="15"/>
    </row>
    <row r="8245" spans="12:13">
      <c r="L8245" s="3">
        <v>44680.607638862246</v>
      </c>
      <c r="M8245" s="15"/>
    </row>
    <row r="8246" spans="12:13">
      <c r="L8246" s="3">
        <v>44680.611111084465</v>
      </c>
      <c r="M8246" s="15"/>
    </row>
    <row r="8247" spans="12:13">
      <c r="L8247" s="3">
        <v>44680.614583306684</v>
      </c>
      <c r="M8247" s="15"/>
    </row>
    <row r="8248" spans="12:13">
      <c r="L8248" s="3">
        <v>44680.618055528903</v>
      </c>
      <c r="M8248" s="15"/>
    </row>
    <row r="8249" spans="12:13">
      <c r="L8249" s="3">
        <v>44680.621527751122</v>
      </c>
      <c r="M8249" s="15"/>
    </row>
    <row r="8250" spans="12:13">
      <c r="L8250" s="3">
        <v>44680.624999973341</v>
      </c>
      <c r="M8250" s="15"/>
    </row>
    <row r="8251" spans="12:13">
      <c r="L8251" s="3">
        <v>44680.62847219556</v>
      </c>
      <c r="M8251" s="15"/>
    </row>
    <row r="8252" spans="12:13">
      <c r="L8252" s="3">
        <v>44680.631944417779</v>
      </c>
      <c r="M8252" s="15"/>
    </row>
    <row r="8253" spans="12:13">
      <c r="L8253" s="3">
        <v>44680.635416639998</v>
      </c>
      <c r="M8253" s="15"/>
    </row>
    <row r="8254" spans="12:13">
      <c r="L8254" s="3">
        <v>44680.638888862217</v>
      </c>
      <c r="M8254" s="15"/>
    </row>
    <row r="8255" spans="12:13">
      <c r="L8255" s="3">
        <v>44680.642361084436</v>
      </c>
      <c r="M8255" s="15"/>
    </row>
    <row r="8256" spans="12:13">
      <c r="L8256" s="3">
        <v>44680.645833306655</v>
      </c>
      <c r="M8256" s="15"/>
    </row>
    <row r="8257" spans="12:13">
      <c r="L8257" s="3">
        <v>44680.649305528874</v>
      </c>
      <c r="M8257" s="15"/>
    </row>
    <row r="8258" spans="12:13">
      <c r="L8258" s="3">
        <v>44680.652777751093</v>
      </c>
      <c r="M8258" s="15"/>
    </row>
    <row r="8259" spans="12:13">
      <c r="L8259" s="3">
        <v>44680.656249973312</v>
      </c>
      <c r="M8259" s="15"/>
    </row>
    <row r="8260" spans="12:13">
      <c r="L8260" s="3">
        <v>44680.659722195531</v>
      </c>
      <c r="M8260" s="15"/>
    </row>
    <row r="8261" spans="12:13">
      <c r="L8261" s="3">
        <v>44680.66319441775</v>
      </c>
      <c r="M8261" s="15"/>
    </row>
    <row r="8262" spans="12:13">
      <c r="L8262" s="3">
        <v>44680.666666639969</v>
      </c>
      <c r="M8262" s="15"/>
    </row>
    <row r="8263" spans="12:13">
      <c r="L8263" s="3">
        <v>44680.670138862188</v>
      </c>
      <c r="M8263" s="15"/>
    </row>
    <row r="8264" spans="12:13">
      <c r="L8264" s="3">
        <v>44680.673611084407</v>
      </c>
      <c r="M8264" s="15"/>
    </row>
    <row r="8265" spans="12:13">
      <c r="L8265" s="3">
        <v>44680.677083306626</v>
      </c>
      <c r="M8265" s="15"/>
    </row>
    <row r="8266" spans="12:13">
      <c r="L8266" s="3">
        <v>44680.680555528845</v>
      </c>
      <c r="M8266" s="15"/>
    </row>
    <row r="8267" spans="12:13">
      <c r="L8267" s="3">
        <v>44680.684027751064</v>
      </c>
      <c r="M8267" s="15"/>
    </row>
    <row r="8268" spans="12:13">
      <c r="L8268" s="3">
        <v>44680.687499973283</v>
      </c>
      <c r="M8268" s="15"/>
    </row>
    <row r="8269" spans="12:13">
      <c r="L8269" s="3">
        <v>44680.690972195502</v>
      </c>
      <c r="M8269" s="15"/>
    </row>
    <row r="8270" spans="12:13">
      <c r="L8270" s="3">
        <v>44680.694444417721</v>
      </c>
      <c r="M8270" s="15"/>
    </row>
    <row r="8271" spans="12:13">
      <c r="L8271" s="3">
        <v>44680.69791663994</v>
      </c>
      <c r="M8271" s="15"/>
    </row>
    <row r="8272" spans="12:13">
      <c r="L8272" s="3">
        <v>44680.701388862159</v>
      </c>
      <c r="M8272" s="15"/>
    </row>
    <row r="8273" spans="12:13">
      <c r="L8273" s="3">
        <v>44680.704861084378</v>
      </c>
      <c r="M8273" s="15"/>
    </row>
    <row r="8274" spans="12:13">
      <c r="L8274" s="3">
        <v>44680.708333306597</v>
      </c>
      <c r="M8274" s="15"/>
    </row>
    <row r="8275" spans="12:13">
      <c r="L8275" s="3">
        <v>44680.711805528816</v>
      </c>
      <c r="M8275" s="15"/>
    </row>
    <row r="8276" spans="12:13">
      <c r="L8276" s="3">
        <v>44680.715277751035</v>
      </c>
      <c r="M8276" s="15"/>
    </row>
    <row r="8277" spans="12:13">
      <c r="L8277" s="3">
        <v>44680.718749973254</v>
      </c>
      <c r="M8277" s="15"/>
    </row>
    <row r="8278" spans="12:13">
      <c r="L8278" s="3">
        <v>44680.722222195473</v>
      </c>
      <c r="M8278" s="15"/>
    </row>
    <row r="8279" spans="12:13">
      <c r="L8279" s="3">
        <v>44680.725694417692</v>
      </c>
      <c r="M8279" s="15"/>
    </row>
    <row r="8280" spans="12:13">
      <c r="L8280" s="3">
        <v>44680.729166639911</v>
      </c>
      <c r="M8280" s="15"/>
    </row>
    <row r="8281" spans="12:13">
      <c r="L8281" s="3">
        <v>44680.73263886213</v>
      </c>
      <c r="M8281" s="15"/>
    </row>
    <row r="8282" spans="12:13">
      <c r="L8282" s="3">
        <v>44680.736111084349</v>
      </c>
      <c r="M8282" s="15"/>
    </row>
    <row r="8283" spans="12:13">
      <c r="L8283" s="3">
        <v>44680.739583306568</v>
      </c>
      <c r="M8283" s="15"/>
    </row>
    <row r="8284" spans="12:13">
      <c r="L8284" s="3">
        <v>44680.743055528786</v>
      </c>
      <c r="M8284" s="15"/>
    </row>
    <row r="8285" spans="12:13">
      <c r="L8285" s="3">
        <v>44680.746527751005</v>
      </c>
      <c r="M8285" s="15"/>
    </row>
    <row r="8286" spans="12:13">
      <c r="L8286" s="3">
        <v>44680.749999973224</v>
      </c>
      <c r="M8286" s="15"/>
    </row>
    <row r="8287" spans="12:13">
      <c r="L8287" s="3">
        <v>44680.753472195443</v>
      </c>
      <c r="M8287" s="15"/>
    </row>
    <row r="8288" spans="12:13">
      <c r="L8288" s="3">
        <v>44680.756944417662</v>
      </c>
      <c r="M8288" s="15"/>
    </row>
    <row r="8289" spans="12:13">
      <c r="L8289" s="3">
        <v>44680.760416639881</v>
      </c>
      <c r="M8289" s="15"/>
    </row>
    <row r="8290" spans="12:13">
      <c r="L8290" s="3">
        <v>44680.7638888621</v>
      </c>
      <c r="M8290" s="15"/>
    </row>
    <row r="8291" spans="12:13">
      <c r="L8291" s="3">
        <v>44680.767361084319</v>
      </c>
      <c r="M8291" s="15"/>
    </row>
    <row r="8292" spans="12:13">
      <c r="L8292" s="3">
        <v>44680.770833306538</v>
      </c>
      <c r="M8292" s="15"/>
    </row>
    <row r="8293" spans="12:13">
      <c r="L8293" s="3">
        <v>44680.774305528757</v>
      </c>
      <c r="M8293" s="15"/>
    </row>
    <row r="8294" spans="12:13">
      <c r="L8294" s="3">
        <v>44680.777777750976</v>
      </c>
      <c r="M8294" s="15"/>
    </row>
    <row r="8295" spans="12:13">
      <c r="L8295" s="3">
        <v>44680.781249973195</v>
      </c>
      <c r="M8295" s="15"/>
    </row>
    <row r="8296" spans="12:13">
      <c r="L8296" s="3">
        <v>44680.784722195414</v>
      </c>
      <c r="M8296" s="15"/>
    </row>
    <row r="8297" spans="12:13">
      <c r="L8297" s="3">
        <v>44680.788194417633</v>
      </c>
      <c r="M8297" s="15"/>
    </row>
    <row r="8298" spans="12:13">
      <c r="L8298" s="3">
        <v>44680.791666639852</v>
      </c>
      <c r="M8298" s="15"/>
    </row>
    <row r="8299" spans="12:13">
      <c r="L8299" s="3">
        <v>44680.795138862071</v>
      </c>
      <c r="M8299" s="15"/>
    </row>
    <row r="8300" spans="12:13">
      <c r="L8300" s="3">
        <v>44680.79861108429</v>
      </c>
      <c r="M8300" s="15"/>
    </row>
    <row r="8301" spans="12:13">
      <c r="L8301" s="3">
        <v>44680.802083306509</v>
      </c>
      <c r="M8301" s="15"/>
    </row>
    <row r="8302" spans="12:13">
      <c r="L8302" s="3">
        <v>44680.805555528728</v>
      </c>
      <c r="M8302" s="15"/>
    </row>
    <row r="8303" spans="12:13">
      <c r="L8303" s="3">
        <v>44680.809027750947</v>
      </c>
      <c r="M8303" s="15"/>
    </row>
    <row r="8304" spans="12:13">
      <c r="L8304" s="3">
        <v>44680.812499973166</v>
      </c>
      <c r="M8304" s="15"/>
    </row>
    <row r="8305" spans="12:13">
      <c r="L8305" s="3">
        <v>44680.815972195385</v>
      </c>
      <c r="M8305" s="15"/>
    </row>
    <row r="8306" spans="12:13">
      <c r="L8306" s="3">
        <v>44680.819444417604</v>
      </c>
      <c r="M8306" s="15"/>
    </row>
    <row r="8307" spans="12:13">
      <c r="L8307" s="3">
        <v>44680.822916639823</v>
      </c>
      <c r="M8307" s="15"/>
    </row>
    <row r="8308" spans="12:13">
      <c r="L8308" s="3">
        <v>44680.826388862042</v>
      </c>
      <c r="M8308" s="15"/>
    </row>
    <row r="8309" spans="12:13">
      <c r="L8309" s="3">
        <v>44680.829861084261</v>
      </c>
      <c r="M8309" s="15"/>
    </row>
    <row r="8310" spans="12:13">
      <c r="L8310" s="3">
        <v>44680.83333330648</v>
      </c>
      <c r="M8310" s="15"/>
    </row>
    <row r="8311" spans="12:13">
      <c r="L8311" s="3">
        <v>44680.836805528699</v>
      </c>
      <c r="M8311" s="15"/>
    </row>
    <row r="8312" spans="12:13">
      <c r="L8312" s="3">
        <v>44680.840277750918</v>
      </c>
      <c r="M8312" s="15"/>
    </row>
    <row r="8313" spans="12:13">
      <c r="L8313" s="3">
        <v>44680.843749973137</v>
      </c>
      <c r="M8313" s="15"/>
    </row>
    <row r="8314" spans="12:13">
      <c r="L8314" s="3">
        <v>44680.847222195356</v>
      </c>
      <c r="M8314" s="15"/>
    </row>
    <row r="8315" spans="12:13">
      <c r="L8315" s="3">
        <v>44680.850694417575</v>
      </c>
      <c r="M8315" s="15"/>
    </row>
    <row r="8316" spans="12:13">
      <c r="L8316" s="3">
        <v>44680.854166639794</v>
      </c>
      <c r="M8316" s="15"/>
    </row>
    <row r="8317" spans="12:13">
      <c r="L8317" s="3">
        <v>44680.857638862013</v>
      </c>
      <c r="M8317" s="15"/>
    </row>
    <row r="8318" spans="12:13">
      <c r="L8318" s="3">
        <v>44680.861111084232</v>
      </c>
      <c r="M8318" s="15"/>
    </row>
    <row r="8319" spans="12:13">
      <c r="L8319" s="3">
        <v>44680.864583306451</v>
      </c>
      <c r="M8319" s="15"/>
    </row>
    <row r="8320" spans="12:13">
      <c r="L8320" s="3">
        <v>44680.86805552867</v>
      </c>
      <c r="M8320" s="15"/>
    </row>
    <row r="8321" spans="12:13">
      <c r="L8321" s="3">
        <v>44680.871527750889</v>
      </c>
      <c r="M8321" s="15"/>
    </row>
    <row r="8322" spans="12:13">
      <c r="L8322" s="3">
        <v>44680.874999973108</v>
      </c>
      <c r="M8322" s="15"/>
    </row>
    <row r="8323" spans="12:13">
      <c r="L8323" s="3">
        <v>44680.878472195327</v>
      </c>
      <c r="M8323" s="15"/>
    </row>
    <row r="8324" spans="12:13">
      <c r="L8324" s="3">
        <v>44680.881944417546</v>
      </c>
      <c r="M8324" s="15"/>
    </row>
    <row r="8325" spans="12:13">
      <c r="L8325" s="3">
        <v>44680.885416639765</v>
      </c>
      <c r="M8325" s="15"/>
    </row>
    <row r="8326" spans="12:13">
      <c r="L8326" s="3">
        <v>44680.888888861984</v>
      </c>
      <c r="M8326" s="15"/>
    </row>
    <row r="8327" spans="12:13">
      <c r="L8327" s="3">
        <v>44680.892361084203</v>
      </c>
      <c r="M8327" s="15"/>
    </row>
    <row r="8328" spans="12:13">
      <c r="L8328" s="3">
        <v>44680.895833306422</v>
      </c>
      <c r="M8328" s="15"/>
    </row>
    <row r="8329" spans="12:13">
      <c r="L8329" s="3">
        <v>44680.899305528641</v>
      </c>
      <c r="M8329" s="15"/>
    </row>
    <row r="8330" spans="12:13">
      <c r="L8330" s="3">
        <v>44680.90277775086</v>
      </c>
      <c r="M8330" s="15"/>
    </row>
    <row r="8331" spans="12:13">
      <c r="L8331" s="3">
        <v>44680.906249973079</v>
      </c>
      <c r="M8331" s="15"/>
    </row>
    <row r="8332" spans="12:13">
      <c r="L8332" s="3">
        <v>44680.909722195298</v>
      </c>
      <c r="M8332" s="15"/>
    </row>
    <row r="8333" spans="12:13">
      <c r="L8333" s="3">
        <v>44680.913194417517</v>
      </c>
      <c r="M8333" s="15"/>
    </row>
    <row r="8334" spans="12:13">
      <c r="L8334" s="3">
        <v>44680.916666639736</v>
      </c>
      <c r="M8334" s="15"/>
    </row>
    <row r="8335" spans="12:13">
      <c r="L8335" s="3">
        <v>44680.920138861955</v>
      </c>
      <c r="M8335" s="15"/>
    </row>
    <row r="8336" spans="12:13">
      <c r="L8336" s="3">
        <v>44680.923611084174</v>
      </c>
      <c r="M8336" s="15"/>
    </row>
    <row r="8337" spans="12:13">
      <c r="L8337" s="3">
        <v>44680.927083306393</v>
      </c>
      <c r="M8337" s="15"/>
    </row>
    <row r="8338" spans="12:13">
      <c r="L8338" s="3">
        <v>44680.930555528612</v>
      </c>
      <c r="M8338" s="15"/>
    </row>
    <row r="8339" spans="12:13">
      <c r="L8339" s="3">
        <v>44680.934027750831</v>
      </c>
      <c r="M8339" s="15"/>
    </row>
    <row r="8340" spans="12:13">
      <c r="L8340" s="3">
        <v>44680.93749997305</v>
      </c>
      <c r="M8340" s="15"/>
    </row>
    <row r="8341" spans="12:13">
      <c r="L8341" s="3">
        <v>44680.940972195269</v>
      </c>
      <c r="M8341" s="15"/>
    </row>
    <row r="8342" spans="12:13">
      <c r="L8342" s="3">
        <v>44680.944444417488</v>
      </c>
      <c r="M8342" s="15"/>
    </row>
    <row r="8343" spans="12:13">
      <c r="L8343" s="3">
        <v>44680.947916639707</v>
      </c>
      <c r="M8343" s="15"/>
    </row>
    <row r="8344" spans="12:13">
      <c r="L8344" s="3">
        <v>44680.951388861926</v>
      </c>
      <c r="M8344" s="15"/>
    </row>
    <row r="8345" spans="12:13">
      <c r="L8345" s="3">
        <v>44680.954861084145</v>
      </c>
      <c r="M8345" s="15"/>
    </row>
    <row r="8346" spans="12:13">
      <c r="L8346" s="3">
        <v>44680.958333306364</v>
      </c>
      <c r="M8346" s="15"/>
    </row>
    <row r="8347" spans="12:13">
      <c r="L8347" s="3">
        <v>44680.961805528583</v>
      </c>
      <c r="M8347" s="15"/>
    </row>
    <row r="8348" spans="12:13">
      <c r="L8348" s="3">
        <v>44680.965277750802</v>
      </c>
      <c r="M8348" s="15"/>
    </row>
    <row r="8349" spans="12:13">
      <c r="L8349" s="3">
        <v>44680.968749973021</v>
      </c>
      <c r="M8349" s="15"/>
    </row>
    <row r="8350" spans="12:13">
      <c r="L8350" s="3">
        <v>44680.97222219524</v>
      </c>
      <c r="M8350" s="15"/>
    </row>
    <row r="8351" spans="12:13">
      <c r="L8351" s="3">
        <v>44680.975694417459</v>
      </c>
      <c r="M8351" s="15"/>
    </row>
    <row r="8352" spans="12:13">
      <c r="L8352" s="3">
        <v>44680.979166639678</v>
      </c>
      <c r="M8352" s="15"/>
    </row>
    <row r="8353" spans="12:13">
      <c r="L8353" s="3">
        <v>44680.982638861897</v>
      </c>
      <c r="M8353" s="15"/>
    </row>
    <row r="8354" spans="12:13">
      <c r="L8354" s="3">
        <v>44680.986111084116</v>
      </c>
      <c r="M8354" s="15"/>
    </row>
    <row r="8355" spans="12:13">
      <c r="L8355" s="3">
        <v>44680.989583306335</v>
      </c>
      <c r="M8355" s="15"/>
    </row>
    <row r="8356" spans="12:13">
      <c r="L8356" s="3">
        <v>44680.993055528554</v>
      </c>
      <c r="M8356" s="15"/>
    </row>
    <row r="8357" spans="12:13">
      <c r="L8357" s="3">
        <v>44680.996527750773</v>
      </c>
      <c r="M8357" s="15"/>
    </row>
    <row r="8358" spans="12:13">
      <c r="L8358" s="3">
        <v>44680.999999972992</v>
      </c>
      <c r="M8358" s="15"/>
    </row>
    <row r="8359" spans="12:13">
      <c r="L8359" s="3">
        <v>44681.003472195211</v>
      </c>
      <c r="M8359" s="15"/>
    </row>
    <row r="8360" spans="12:13">
      <c r="L8360" s="3">
        <v>44681.00694441743</v>
      </c>
      <c r="M8360" s="15"/>
    </row>
    <row r="8361" spans="12:13">
      <c r="L8361" s="3">
        <v>44681.010416639649</v>
      </c>
      <c r="M8361" s="15"/>
    </row>
    <row r="8362" spans="12:13">
      <c r="L8362" s="3">
        <v>44681.013888861868</v>
      </c>
      <c r="M8362" s="15"/>
    </row>
    <row r="8363" spans="12:13">
      <c r="L8363" s="3">
        <v>44681.017361084087</v>
      </c>
      <c r="M8363" s="15"/>
    </row>
    <row r="8364" spans="12:13">
      <c r="L8364" s="3">
        <v>44681.020833306306</v>
      </c>
      <c r="M8364" s="15"/>
    </row>
    <row r="8365" spans="12:13">
      <c r="L8365" s="3">
        <v>44681.024305528525</v>
      </c>
      <c r="M8365" s="15"/>
    </row>
    <row r="8366" spans="12:13">
      <c r="L8366" s="3">
        <v>44681.027777750744</v>
      </c>
      <c r="M8366" s="15"/>
    </row>
    <row r="8367" spans="12:13">
      <c r="L8367" s="3">
        <v>44681.031249972963</v>
      </c>
      <c r="M8367" s="15"/>
    </row>
    <row r="8368" spans="12:13">
      <c r="L8368" s="3">
        <v>44681.034722195182</v>
      </c>
      <c r="M8368" s="15"/>
    </row>
    <row r="8369" spans="12:13">
      <c r="L8369" s="3">
        <v>44681.038194417401</v>
      </c>
      <c r="M8369" s="15"/>
    </row>
    <row r="8370" spans="12:13">
      <c r="L8370" s="3">
        <v>44681.04166663962</v>
      </c>
      <c r="M8370" s="15"/>
    </row>
    <row r="8371" spans="12:13">
      <c r="L8371" s="3">
        <v>44681.045138861838</v>
      </c>
      <c r="M8371" s="15"/>
    </row>
    <row r="8372" spans="12:13">
      <c r="L8372" s="3">
        <v>44681.048611084057</v>
      </c>
      <c r="M8372" s="15"/>
    </row>
    <row r="8373" spans="12:13">
      <c r="L8373" s="3">
        <v>44681.052083306276</v>
      </c>
      <c r="M8373" s="15"/>
    </row>
    <row r="8374" spans="12:13">
      <c r="L8374" s="3">
        <v>44681.055555528495</v>
      </c>
      <c r="M8374" s="15"/>
    </row>
    <row r="8375" spans="12:13">
      <c r="L8375" s="3">
        <v>44681.059027750714</v>
      </c>
      <c r="M8375" s="15"/>
    </row>
    <row r="8376" spans="12:13">
      <c r="L8376" s="3">
        <v>44681.062499972933</v>
      </c>
      <c r="M8376" s="15"/>
    </row>
    <row r="8377" spans="12:13">
      <c r="L8377" s="3">
        <v>44681.065972195152</v>
      </c>
      <c r="M8377" s="15"/>
    </row>
    <row r="8378" spans="12:13">
      <c r="L8378" s="3">
        <v>44681.069444417371</v>
      </c>
      <c r="M8378" s="15"/>
    </row>
    <row r="8379" spans="12:13">
      <c r="L8379" s="3">
        <v>44681.07291663959</v>
      </c>
      <c r="M8379" s="15"/>
    </row>
    <row r="8380" spans="12:13">
      <c r="L8380" s="3">
        <v>44681.076388861809</v>
      </c>
      <c r="M8380" s="15"/>
    </row>
    <row r="8381" spans="12:13">
      <c r="L8381" s="3">
        <v>44681.079861084028</v>
      </c>
      <c r="M8381" s="15"/>
    </row>
    <row r="8382" spans="12:13">
      <c r="L8382" s="3">
        <v>44681.083333306247</v>
      </c>
      <c r="M8382" s="15"/>
    </row>
    <row r="8383" spans="12:13">
      <c r="L8383" s="3">
        <v>44681.086805528466</v>
      </c>
      <c r="M8383" s="15"/>
    </row>
    <row r="8384" spans="12:13">
      <c r="L8384" s="3">
        <v>44681.090277750685</v>
      </c>
      <c r="M8384" s="15"/>
    </row>
    <row r="8385" spans="12:13">
      <c r="L8385" s="3">
        <v>44681.093749972904</v>
      </c>
      <c r="M8385" s="15"/>
    </row>
    <row r="8386" spans="12:13">
      <c r="L8386" s="3">
        <v>44681.097222195123</v>
      </c>
      <c r="M8386" s="15"/>
    </row>
    <row r="8387" spans="12:13">
      <c r="L8387" s="3">
        <v>44681.100694417342</v>
      </c>
      <c r="M8387" s="15"/>
    </row>
    <row r="8388" spans="12:13">
      <c r="L8388" s="3">
        <v>44681.104166639561</v>
      </c>
      <c r="M8388" s="15"/>
    </row>
    <row r="8389" spans="12:13">
      <c r="L8389" s="3">
        <v>44681.10763886178</v>
      </c>
      <c r="M8389" s="15"/>
    </row>
    <row r="8390" spans="12:13">
      <c r="L8390" s="3">
        <v>44681.111111083999</v>
      </c>
      <c r="M8390" s="15"/>
    </row>
    <row r="8391" spans="12:13">
      <c r="L8391" s="3">
        <v>44681.114583306218</v>
      </c>
      <c r="M8391" s="15"/>
    </row>
    <row r="8392" spans="12:13">
      <c r="L8392" s="3">
        <v>44681.118055528437</v>
      </c>
      <c r="M8392" s="15"/>
    </row>
    <row r="8393" spans="12:13">
      <c r="L8393" s="3">
        <v>44681.121527750656</v>
      </c>
      <c r="M8393" s="15"/>
    </row>
    <row r="8394" spans="12:13">
      <c r="L8394" s="3">
        <v>44681.124999972875</v>
      </c>
      <c r="M8394" s="15"/>
    </row>
    <row r="8395" spans="12:13">
      <c r="L8395" s="3">
        <v>44681.128472195094</v>
      </c>
      <c r="M8395" s="15"/>
    </row>
    <row r="8396" spans="12:13">
      <c r="L8396" s="3">
        <v>44681.131944417313</v>
      </c>
      <c r="M8396" s="15"/>
    </row>
    <row r="8397" spans="12:13">
      <c r="L8397" s="3">
        <v>44681.135416639532</v>
      </c>
      <c r="M8397" s="15"/>
    </row>
    <row r="8398" spans="12:13">
      <c r="L8398" s="3">
        <v>44681.138888861751</v>
      </c>
      <c r="M8398" s="15"/>
    </row>
    <row r="8399" spans="12:13">
      <c r="L8399" s="3">
        <v>44681.14236108397</v>
      </c>
      <c r="M8399" s="15"/>
    </row>
    <row r="8400" spans="12:13">
      <c r="L8400" s="3">
        <v>44681.145833306189</v>
      </c>
      <c r="M8400" s="15"/>
    </row>
    <row r="8401" spans="12:13">
      <c r="L8401" s="3">
        <v>44681.149305528408</v>
      </c>
      <c r="M8401" s="15"/>
    </row>
    <row r="8402" spans="12:13">
      <c r="L8402" s="3">
        <v>44681.152777750627</v>
      </c>
      <c r="M8402" s="15"/>
    </row>
    <row r="8403" spans="12:13">
      <c r="L8403" s="3">
        <v>44681.156249972846</v>
      </c>
      <c r="M8403" s="15"/>
    </row>
    <row r="8404" spans="12:13">
      <c r="L8404" s="3">
        <v>44681.159722195065</v>
      </c>
      <c r="M8404" s="15"/>
    </row>
    <row r="8405" spans="12:13">
      <c r="L8405" s="3">
        <v>44681.163194417284</v>
      </c>
      <c r="M8405" s="15"/>
    </row>
    <row r="8406" spans="12:13">
      <c r="L8406" s="3">
        <v>44681.166666639503</v>
      </c>
      <c r="M8406" s="15"/>
    </row>
    <row r="8407" spans="12:13">
      <c r="L8407" s="3">
        <v>44681.170138861722</v>
      </c>
      <c r="M8407" s="15"/>
    </row>
    <row r="8408" spans="12:13">
      <c r="L8408" s="3">
        <v>44681.173611083941</v>
      </c>
      <c r="M8408" s="15"/>
    </row>
    <row r="8409" spans="12:13">
      <c r="L8409" s="3">
        <v>44681.17708330616</v>
      </c>
      <c r="M8409" s="15"/>
    </row>
    <row r="8410" spans="12:13">
      <c r="L8410" s="3">
        <v>44681.180555528379</v>
      </c>
      <c r="M8410" s="15"/>
    </row>
    <row r="8411" spans="12:13">
      <c r="L8411" s="3">
        <v>44681.184027750598</v>
      </c>
      <c r="M8411" s="15"/>
    </row>
    <row r="8412" spans="12:13">
      <c r="L8412" s="3">
        <v>44681.187499972817</v>
      </c>
      <c r="M8412" s="15"/>
    </row>
    <row r="8413" spans="12:13">
      <c r="L8413" s="3">
        <v>44681.190972195036</v>
      </c>
      <c r="M8413" s="15"/>
    </row>
    <row r="8414" spans="12:13">
      <c r="L8414" s="3">
        <v>44681.194444417255</v>
      </c>
      <c r="M8414" s="15"/>
    </row>
    <row r="8415" spans="12:13">
      <c r="L8415" s="3">
        <v>44681.197916639474</v>
      </c>
      <c r="M8415" s="15"/>
    </row>
    <row r="8416" spans="12:13">
      <c r="L8416" s="3">
        <v>44681.201388861693</v>
      </c>
      <c r="M8416" s="15"/>
    </row>
    <row r="8417" spans="12:13">
      <c r="L8417" s="3">
        <v>44681.204861083912</v>
      </c>
      <c r="M8417" s="15"/>
    </row>
    <row r="8418" spans="12:13">
      <c r="L8418" s="3">
        <v>44681.208333306131</v>
      </c>
      <c r="M8418" s="15"/>
    </row>
    <row r="8419" spans="12:13">
      <c r="L8419" s="3">
        <v>44681.21180552835</v>
      </c>
      <c r="M8419" s="15"/>
    </row>
    <row r="8420" spans="12:13">
      <c r="L8420" s="3">
        <v>44681.215277750569</v>
      </c>
      <c r="M8420" s="15"/>
    </row>
    <row r="8421" spans="12:13">
      <c r="L8421" s="3">
        <v>44681.218749972788</v>
      </c>
      <c r="M8421" s="15"/>
    </row>
    <row r="8422" spans="12:13">
      <c r="L8422" s="3">
        <v>44681.222222195007</v>
      </c>
      <c r="M8422" s="15"/>
    </row>
    <row r="8423" spans="12:13">
      <c r="L8423" s="3">
        <v>44681.225694417226</v>
      </c>
      <c r="M8423" s="15"/>
    </row>
    <row r="8424" spans="12:13">
      <c r="L8424" s="3">
        <v>44681.229166639445</v>
      </c>
      <c r="M8424" s="15"/>
    </row>
    <row r="8425" spans="12:13">
      <c r="L8425" s="3">
        <v>44681.232638861664</v>
      </c>
      <c r="M8425" s="15"/>
    </row>
    <row r="8426" spans="12:13">
      <c r="L8426" s="3">
        <v>44681.236111083883</v>
      </c>
      <c r="M8426" s="15"/>
    </row>
    <row r="8427" spans="12:13">
      <c r="L8427" s="3">
        <v>44681.239583306102</v>
      </c>
      <c r="M8427" s="15"/>
    </row>
    <row r="8428" spans="12:13">
      <c r="L8428" s="3">
        <v>44681.243055528321</v>
      </c>
      <c r="M8428" s="15"/>
    </row>
    <row r="8429" spans="12:13">
      <c r="L8429" s="3">
        <v>44681.24652775054</v>
      </c>
      <c r="M8429" s="15"/>
    </row>
    <row r="8430" spans="12:13">
      <c r="L8430" s="3">
        <v>44681.249999972759</v>
      </c>
      <c r="M8430" s="15"/>
    </row>
    <row r="8431" spans="12:13">
      <c r="L8431" s="3">
        <v>44681.253472194978</v>
      </c>
      <c r="M8431" s="15"/>
    </row>
    <row r="8432" spans="12:13">
      <c r="L8432" s="3">
        <v>44681.256944417197</v>
      </c>
      <c r="M8432" s="15"/>
    </row>
    <row r="8433" spans="12:13">
      <c r="L8433" s="3">
        <v>44681.260416639416</v>
      </c>
      <c r="M8433" s="15"/>
    </row>
    <row r="8434" spans="12:13">
      <c r="L8434" s="3">
        <v>44681.263888861635</v>
      </c>
      <c r="M8434" s="15"/>
    </row>
    <row r="8435" spans="12:13">
      <c r="L8435" s="3">
        <v>44681.267361083854</v>
      </c>
      <c r="M8435" s="15"/>
    </row>
    <row r="8436" spans="12:13">
      <c r="L8436" s="3">
        <v>44681.270833306073</v>
      </c>
      <c r="M8436" s="15"/>
    </row>
    <row r="8437" spans="12:13">
      <c r="L8437" s="3">
        <v>44681.274305528292</v>
      </c>
      <c r="M8437" s="15"/>
    </row>
    <row r="8438" spans="12:13">
      <c r="L8438" s="3">
        <v>44681.277777750511</v>
      </c>
      <c r="M8438" s="15"/>
    </row>
    <row r="8439" spans="12:13">
      <c r="L8439" s="3">
        <v>44681.28124997273</v>
      </c>
      <c r="M8439" s="15"/>
    </row>
    <row r="8440" spans="12:13">
      <c r="L8440" s="3">
        <v>44681.284722194949</v>
      </c>
      <c r="M8440" s="15"/>
    </row>
    <row r="8441" spans="12:13">
      <c r="L8441" s="3">
        <v>44681.288194417168</v>
      </c>
      <c r="M8441" s="15"/>
    </row>
    <row r="8442" spans="12:13">
      <c r="L8442" s="3">
        <v>44681.291666639387</v>
      </c>
      <c r="M8442" s="15"/>
    </row>
    <row r="8443" spans="12:13">
      <c r="L8443" s="3">
        <v>44681.295138861606</v>
      </c>
      <c r="M8443" s="15"/>
    </row>
    <row r="8444" spans="12:13">
      <c r="L8444" s="3">
        <v>44681.298611083825</v>
      </c>
      <c r="M8444" s="15"/>
    </row>
    <row r="8445" spans="12:13">
      <c r="L8445" s="3">
        <v>44681.302083306044</v>
      </c>
      <c r="M8445" s="15"/>
    </row>
    <row r="8446" spans="12:13">
      <c r="L8446" s="3">
        <v>44681.305555528263</v>
      </c>
      <c r="M8446" s="15"/>
    </row>
    <row r="8447" spans="12:13">
      <c r="L8447" s="3">
        <v>44681.309027750482</v>
      </c>
      <c r="M8447" s="15"/>
    </row>
    <row r="8448" spans="12:13">
      <c r="L8448" s="3">
        <v>44681.312499972701</v>
      </c>
      <c r="M8448" s="15"/>
    </row>
    <row r="8449" spans="12:13">
      <c r="L8449" s="3">
        <v>44681.31597219492</v>
      </c>
      <c r="M8449" s="15"/>
    </row>
    <row r="8450" spans="12:13">
      <c r="L8450" s="3">
        <v>44681.319444417139</v>
      </c>
      <c r="M8450" s="15"/>
    </row>
    <row r="8451" spans="12:13">
      <c r="L8451" s="3">
        <v>44681.322916639358</v>
      </c>
      <c r="M8451" s="15"/>
    </row>
    <row r="8452" spans="12:13">
      <c r="L8452" s="3">
        <v>44681.326388861577</v>
      </c>
      <c r="M8452" s="15"/>
    </row>
    <row r="8453" spans="12:13">
      <c r="L8453" s="3">
        <v>44681.329861083796</v>
      </c>
      <c r="M8453" s="15"/>
    </row>
    <row r="8454" spans="12:13">
      <c r="L8454" s="3">
        <v>44681.333333306015</v>
      </c>
      <c r="M8454" s="15"/>
    </row>
    <row r="8455" spans="12:13">
      <c r="L8455" s="3">
        <v>44681.336805528234</v>
      </c>
      <c r="M8455" s="15"/>
    </row>
    <row r="8456" spans="12:13">
      <c r="L8456" s="3">
        <v>44681.340277750453</v>
      </c>
      <c r="M8456" s="15"/>
    </row>
    <row r="8457" spans="12:13">
      <c r="L8457" s="3">
        <v>44681.343749972672</v>
      </c>
      <c r="M8457" s="15"/>
    </row>
    <row r="8458" spans="12:13">
      <c r="L8458" s="3">
        <v>44681.34722219489</v>
      </c>
      <c r="M8458" s="15"/>
    </row>
    <row r="8459" spans="12:13">
      <c r="L8459" s="3">
        <v>44681.350694417109</v>
      </c>
      <c r="M8459" s="15"/>
    </row>
    <row r="8460" spans="12:13">
      <c r="L8460" s="3">
        <v>44681.354166639328</v>
      </c>
      <c r="M8460" s="15"/>
    </row>
    <row r="8461" spans="12:13">
      <c r="L8461" s="3">
        <v>44681.357638861547</v>
      </c>
      <c r="M8461" s="15"/>
    </row>
    <row r="8462" spans="12:13">
      <c r="L8462" s="3">
        <v>44681.361111083766</v>
      </c>
      <c r="M8462" s="15"/>
    </row>
    <row r="8463" spans="12:13">
      <c r="L8463" s="3">
        <v>44681.364583305985</v>
      </c>
      <c r="M8463" s="15"/>
    </row>
    <row r="8464" spans="12:13">
      <c r="L8464" s="3">
        <v>44681.368055528204</v>
      </c>
      <c r="M8464" s="15"/>
    </row>
    <row r="8465" spans="12:13">
      <c r="L8465" s="3">
        <v>44681.371527750423</v>
      </c>
      <c r="M8465" s="15"/>
    </row>
    <row r="8466" spans="12:13">
      <c r="L8466" s="3">
        <v>44681.374999972642</v>
      </c>
      <c r="M8466" s="15"/>
    </row>
    <row r="8467" spans="12:13">
      <c r="L8467" s="3">
        <v>44681.378472194861</v>
      </c>
      <c r="M8467" s="15"/>
    </row>
    <row r="8468" spans="12:13">
      <c r="L8468" s="3">
        <v>44681.38194441708</v>
      </c>
      <c r="M8468" s="15"/>
    </row>
    <row r="8469" spans="12:13">
      <c r="L8469" s="3">
        <v>44681.385416639299</v>
      </c>
      <c r="M8469" s="15"/>
    </row>
    <row r="8470" spans="12:13">
      <c r="L8470" s="3">
        <v>44681.388888861518</v>
      </c>
      <c r="M8470" s="15"/>
    </row>
    <row r="8471" spans="12:13">
      <c r="L8471" s="3">
        <v>44681.392361083737</v>
      </c>
      <c r="M8471" s="15"/>
    </row>
    <row r="8472" spans="12:13">
      <c r="L8472" s="3">
        <v>44681.395833305956</v>
      </c>
      <c r="M8472" s="15"/>
    </row>
    <row r="8473" spans="12:13">
      <c r="L8473" s="3">
        <v>44681.399305528175</v>
      </c>
      <c r="M8473" s="15"/>
    </row>
    <row r="8474" spans="12:13">
      <c r="L8474" s="3">
        <v>44681.402777750394</v>
      </c>
      <c r="M8474" s="15"/>
    </row>
    <row r="8475" spans="12:13">
      <c r="L8475" s="3">
        <v>44681.406249972613</v>
      </c>
      <c r="M8475" s="15"/>
    </row>
    <row r="8476" spans="12:13">
      <c r="L8476" s="3">
        <v>44681.409722194832</v>
      </c>
      <c r="M8476" s="15"/>
    </row>
    <row r="8477" spans="12:13">
      <c r="L8477" s="3">
        <v>44681.413194417051</v>
      </c>
      <c r="M8477" s="15"/>
    </row>
    <row r="8478" spans="12:13">
      <c r="L8478" s="3">
        <v>44681.41666663927</v>
      </c>
      <c r="M8478" s="15"/>
    </row>
    <row r="8479" spans="12:13">
      <c r="L8479" s="3">
        <v>44681.420138861489</v>
      </c>
      <c r="M8479" s="15"/>
    </row>
    <row r="8480" spans="12:13">
      <c r="L8480" s="3">
        <v>44681.423611083708</v>
      </c>
      <c r="M8480" s="15"/>
    </row>
    <row r="8481" spans="12:13">
      <c r="L8481" s="3">
        <v>44681.427083305927</v>
      </c>
      <c r="M8481" s="15"/>
    </row>
    <row r="8482" spans="12:13">
      <c r="L8482" s="3">
        <v>44681.430555528146</v>
      </c>
      <c r="M8482" s="15"/>
    </row>
    <row r="8483" spans="12:13">
      <c r="L8483" s="3">
        <v>44681.434027750365</v>
      </c>
      <c r="M8483" s="15"/>
    </row>
    <row r="8484" spans="12:13">
      <c r="L8484" s="3">
        <v>44681.437499972584</v>
      </c>
      <c r="M8484" s="15"/>
    </row>
    <row r="8485" spans="12:13">
      <c r="L8485" s="3">
        <v>44681.440972194803</v>
      </c>
      <c r="M8485" s="15"/>
    </row>
    <row r="8486" spans="12:13">
      <c r="L8486" s="3">
        <v>44681.444444417022</v>
      </c>
      <c r="M8486" s="15"/>
    </row>
    <row r="8487" spans="12:13">
      <c r="L8487" s="3">
        <v>44681.447916639241</v>
      </c>
      <c r="M8487" s="15"/>
    </row>
    <row r="8488" spans="12:13">
      <c r="L8488" s="3">
        <v>44681.45138886146</v>
      </c>
      <c r="M8488" s="15"/>
    </row>
    <row r="8489" spans="12:13">
      <c r="L8489" s="3">
        <v>44681.454861083679</v>
      </c>
      <c r="M8489" s="15"/>
    </row>
    <row r="8490" spans="12:13">
      <c r="L8490" s="3">
        <v>44681.458333305898</v>
      </c>
      <c r="M8490" s="15"/>
    </row>
    <row r="8491" spans="12:13">
      <c r="L8491" s="3">
        <v>44681.461805528117</v>
      </c>
      <c r="M8491" s="15"/>
    </row>
    <row r="8492" spans="12:13">
      <c r="L8492" s="3">
        <v>44681.465277750336</v>
      </c>
      <c r="M8492" s="15"/>
    </row>
    <row r="8493" spans="12:13">
      <c r="L8493" s="3">
        <v>44681.468749972555</v>
      </c>
      <c r="M8493" s="15"/>
    </row>
    <row r="8494" spans="12:13">
      <c r="L8494" s="3">
        <v>44681.472222194774</v>
      </c>
      <c r="M8494" s="15"/>
    </row>
    <row r="8495" spans="12:13">
      <c r="L8495" s="3">
        <v>44681.475694416993</v>
      </c>
      <c r="M8495" s="15"/>
    </row>
    <row r="8496" spans="12:13">
      <c r="L8496" s="3">
        <v>44681.479166639212</v>
      </c>
      <c r="M8496" s="15"/>
    </row>
    <row r="8497" spans="12:13">
      <c r="L8497" s="3">
        <v>44681.482638861431</v>
      </c>
      <c r="M8497" s="15"/>
    </row>
    <row r="8498" spans="12:13">
      <c r="L8498" s="3">
        <v>44681.48611108365</v>
      </c>
      <c r="M8498" s="15"/>
    </row>
    <row r="8499" spans="12:13">
      <c r="L8499" s="3">
        <v>44681.489583305869</v>
      </c>
      <c r="M8499" s="15"/>
    </row>
    <row r="8500" spans="12:13">
      <c r="L8500" s="3">
        <v>44681.493055528088</v>
      </c>
      <c r="M8500" s="15"/>
    </row>
    <row r="8501" spans="12:13">
      <c r="L8501" s="3">
        <v>44681.496527750307</v>
      </c>
      <c r="M8501" s="15"/>
    </row>
    <row r="8502" spans="12:13">
      <c r="L8502" s="3">
        <v>44681.499999972526</v>
      </c>
      <c r="M8502" s="15"/>
    </row>
    <row r="8503" spans="12:13">
      <c r="L8503" s="3">
        <v>44681.503472194745</v>
      </c>
      <c r="M8503" s="15"/>
    </row>
    <row r="8504" spans="12:13">
      <c r="L8504" s="3">
        <v>44681.506944416964</v>
      </c>
      <c r="M8504" s="15"/>
    </row>
    <row r="8505" spans="12:13">
      <c r="L8505" s="3">
        <v>44681.510416639183</v>
      </c>
      <c r="M8505" s="15"/>
    </row>
    <row r="8506" spans="12:13">
      <c r="L8506" s="3">
        <v>44681.513888861402</v>
      </c>
      <c r="M8506" s="15"/>
    </row>
    <row r="8507" spans="12:13">
      <c r="L8507" s="3">
        <v>44681.517361083621</v>
      </c>
      <c r="M8507" s="15"/>
    </row>
    <row r="8508" spans="12:13">
      <c r="L8508" s="3">
        <v>44681.52083330584</v>
      </c>
      <c r="M8508" s="15"/>
    </row>
    <row r="8509" spans="12:13">
      <c r="L8509" s="3">
        <v>44681.524305528059</v>
      </c>
      <c r="M8509" s="15"/>
    </row>
    <row r="8510" spans="12:13">
      <c r="L8510" s="3">
        <v>44681.527777750278</v>
      </c>
      <c r="M8510" s="15"/>
    </row>
    <row r="8511" spans="12:13">
      <c r="L8511" s="3">
        <v>44681.531249972497</v>
      </c>
      <c r="M8511" s="15"/>
    </row>
    <row r="8512" spans="12:13">
      <c r="L8512" s="3">
        <v>44681.534722194716</v>
      </c>
      <c r="M8512" s="15"/>
    </row>
    <row r="8513" spans="12:13">
      <c r="L8513" s="3">
        <v>44681.538194416935</v>
      </c>
      <c r="M8513" s="15"/>
    </row>
    <row r="8514" spans="12:13">
      <c r="L8514" s="3">
        <v>44681.541666639154</v>
      </c>
      <c r="M8514" s="15"/>
    </row>
    <row r="8515" spans="12:13">
      <c r="L8515" s="3">
        <v>44681.545138861373</v>
      </c>
      <c r="M8515" s="15"/>
    </row>
    <row r="8516" spans="12:13">
      <c r="L8516" s="3">
        <v>44681.548611083592</v>
      </c>
      <c r="M8516" s="15"/>
    </row>
    <row r="8517" spans="12:13">
      <c r="L8517" s="3">
        <v>44681.552083305811</v>
      </c>
      <c r="M8517" s="15"/>
    </row>
    <row r="8518" spans="12:13">
      <c r="L8518" s="3">
        <v>44681.55555552803</v>
      </c>
      <c r="M8518" s="15"/>
    </row>
    <row r="8519" spans="12:13">
      <c r="L8519" s="3">
        <v>44681.559027750249</v>
      </c>
      <c r="M8519" s="15"/>
    </row>
    <row r="8520" spans="12:13">
      <c r="L8520" s="3">
        <v>44681.562499972468</v>
      </c>
      <c r="M8520" s="15"/>
    </row>
    <row r="8521" spans="12:13">
      <c r="L8521" s="3">
        <v>44681.565972194687</v>
      </c>
      <c r="M8521" s="15"/>
    </row>
    <row r="8522" spans="12:13">
      <c r="L8522" s="3">
        <v>44681.569444416906</v>
      </c>
      <c r="M8522" s="15"/>
    </row>
    <row r="8523" spans="12:13">
      <c r="L8523" s="3">
        <v>44681.572916639125</v>
      </c>
      <c r="M8523" s="15"/>
    </row>
    <row r="8524" spans="12:13">
      <c r="L8524" s="3">
        <v>44681.576388861344</v>
      </c>
      <c r="M8524" s="15"/>
    </row>
    <row r="8525" spans="12:13">
      <c r="L8525" s="3">
        <v>44681.579861083563</v>
      </c>
      <c r="M8525" s="15"/>
    </row>
    <row r="8526" spans="12:13">
      <c r="L8526" s="3">
        <v>44681.583333305782</v>
      </c>
      <c r="M8526" s="15"/>
    </row>
    <row r="8527" spans="12:13">
      <c r="L8527" s="3">
        <v>44681.586805528001</v>
      </c>
      <c r="M8527" s="15"/>
    </row>
    <row r="8528" spans="12:13">
      <c r="L8528" s="3">
        <v>44681.59027775022</v>
      </c>
      <c r="M8528" s="15"/>
    </row>
    <row r="8529" spans="12:13">
      <c r="L8529" s="3">
        <v>44681.593749972439</v>
      </c>
      <c r="M8529" s="15"/>
    </row>
    <row r="8530" spans="12:13">
      <c r="L8530" s="3">
        <v>44681.597222194658</v>
      </c>
      <c r="M8530" s="15"/>
    </row>
    <row r="8531" spans="12:13">
      <c r="L8531" s="3">
        <v>44681.600694416877</v>
      </c>
      <c r="M8531" s="15"/>
    </row>
    <row r="8532" spans="12:13">
      <c r="L8532" s="3">
        <v>44681.604166639096</v>
      </c>
      <c r="M8532" s="15"/>
    </row>
    <row r="8533" spans="12:13">
      <c r="L8533" s="3">
        <v>44681.607638861315</v>
      </c>
      <c r="M8533" s="15"/>
    </row>
    <row r="8534" spans="12:13">
      <c r="L8534" s="3">
        <v>44681.611111083534</v>
      </c>
      <c r="M8534" s="15"/>
    </row>
    <row r="8535" spans="12:13">
      <c r="L8535" s="3">
        <v>44681.614583305753</v>
      </c>
      <c r="M8535" s="15"/>
    </row>
    <row r="8536" spans="12:13">
      <c r="L8536" s="3">
        <v>44681.618055527972</v>
      </c>
      <c r="M8536" s="15"/>
    </row>
    <row r="8537" spans="12:13">
      <c r="L8537" s="3">
        <v>44681.621527750191</v>
      </c>
      <c r="M8537" s="15"/>
    </row>
    <row r="8538" spans="12:13">
      <c r="L8538" s="3">
        <v>44681.62499997241</v>
      </c>
      <c r="M8538" s="15"/>
    </row>
    <row r="8539" spans="12:13">
      <c r="L8539" s="3">
        <v>44681.628472194629</v>
      </c>
      <c r="M8539" s="15"/>
    </row>
    <row r="8540" spans="12:13">
      <c r="L8540" s="3">
        <v>44681.631944416848</v>
      </c>
      <c r="M8540" s="15"/>
    </row>
    <row r="8541" spans="12:13">
      <c r="L8541" s="3">
        <v>44681.635416639067</v>
      </c>
      <c r="M8541" s="15"/>
    </row>
    <row r="8542" spans="12:13">
      <c r="L8542" s="3">
        <v>44681.638888861286</v>
      </c>
      <c r="M8542" s="15"/>
    </row>
    <row r="8543" spans="12:13">
      <c r="L8543" s="3">
        <v>44681.642361083505</v>
      </c>
      <c r="M8543" s="15"/>
    </row>
    <row r="8544" spans="12:13">
      <c r="L8544" s="3">
        <v>44681.645833305723</v>
      </c>
      <c r="M8544" s="15"/>
    </row>
    <row r="8545" spans="12:13">
      <c r="L8545" s="3">
        <v>44681.649305527942</v>
      </c>
      <c r="M8545" s="15"/>
    </row>
    <row r="8546" spans="12:13">
      <c r="L8546" s="3">
        <v>44681.652777750161</v>
      </c>
      <c r="M8546" s="15"/>
    </row>
    <row r="8547" spans="12:13">
      <c r="L8547" s="3">
        <v>44681.65624997238</v>
      </c>
      <c r="M8547" s="15"/>
    </row>
    <row r="8548" spans="12:13">
      <c r="L8548" s="3">
        <v>44681.659722194599</v>
      </c>
      <c r="M8548" s="15"/>
    </row>
    <row r="8549" spans="12:13">
      <c r="L8549" s="3">
        <v>44681.663194416818</v>
      </c>
      <c r="M8549" s="15"/>
    </row>
    <row r="8550" spans="12:13">
      <c r="L8550" s="3">
        <v>44681.666666639037</v>
      </c>
      <c r="M8550" s="15"/>
    </row>
    <row r="8551" spans="12:13">
      <c r="L8551" s="3">
        <v>44681.670138861256</v>
      </c>
      <c r="M8551" s="15"/>
    </row>
    <row r="8552" spans="12:13">
      <c r="L8552" s="3">
        <v>44681.673611083475</v>
      </c>
      <c r="M8552" s="15"/>
    </row>
    <row r="8553" spans="12:13">
      <c r="L8553" s="3">
        <v>44681.677083305694</v>
      </c>
      <c r="M8553" s="15"/>
    </row>
    <row r="8554" spans="12:13">
      <c r="L8554" s="3">
        <v>44681.680555527913</v>
      </c>
      <c r="M8554" s="15"/>
    </row>
    <row r="8555" spans="12:13">
      <c r="L8555" s="3">
        <v>44681.684027750132</v>
      </c>
      <c r="M8555" s="15"/>
    </row>
    <row r="8556" spans="12:13">
      <c r="L8556" s="3">
        <v>44681.687499972351</v>
      </c>
      <c r="M8556" s="15"/>
    </row>
    <row r="8557" spans="12:13">
      <c r="L8557" s="3">
        <v>44681.69097219457</v>
      </c>
      <c r="M8557" s="15"/>
    </row>
    <row r="8558" spans="12:13">
      <c r="L8558" s="3">
        <v>44681.694444416789</v>
      </c>
      <c r="M8558" s="15"/>
    </row>
    <row r="8559" spans="12:13">
      <c r="L8559" s="3">
        <v>44681.697916639008</v>
      </c>
      <c r="M8559" s="15"/>
    </row>
    <row r="8560" spans="12:13">
      <c r="L8560" s="3">
        <v>44681.701388861227</v>
      </c>
      <c r="M8560" s="15"/>
    </row>
    <row r="8561" spans="12:13">
      <c r="L8561" s="3">
        <v>44681.704861083446</v>
      </c>
      <c r="M8561" s="15"/>
    </row>
    <row r="8562" spans="12:13">
      <c r="L8562" s="3">
        <v>44681.708333305665</v>
      </c>
      <c r="M8562" s="15"/>
    </row>
    <row r="8563" spans="12:13">
      <c r="L8563" s="3">
        <v>44681.711805527884</v>
      </c>
      <c r="M8563" s="15"/>
    </row>
    <row r="8564" spans="12:13">
      <c r="L8564" s="3">
        <v>44681.715277750103</v>
      </c>
      <c r="M8564" s="15"/>
    </row>
    <row r="8565" spans="12:13">
      <c r="L8565" s="3">
        <v>44681.718749972322</v>
      </c>
      <c r="M8565" s="15"/>
    </row>
    <row r="8566" spans="12:13">
      <c r="L8566" s="3">
        <v>44681.722222194541</v>
      </c>
      <c r="M8566" s="15"/>
    </row>
    <row r="8567" spans="12:13">
      <c r="L8567" s="3">
        <v>44681.72569441676</v>
      </c>
      <c r="M8567" s="15"/>
    </row>
    <row r="8568" spans="12:13">
      <c r="L8568" s="3">
        <v>44681.729166638979</v>
      </c>
      <c r="M8568" s="15"/>
    </row>
    <row r="8569" spans="12:13">
      <c r="L8569" s="3">
        <v>44681.732638861198</v>
      </c>
      <c r="M8569" s="15"/>
    </row>
    <row r="8570" spans="12:13">
      <c r="L8570" s="3">
        <v>44681.736111083417</v>
      </c>
      <c r="M8570" s="15"/>
    </row>
    <row r="8571" spans="12:13">
      <c r="L8571" s="3">
        <v>44681.739583305636</v>
      </c>
      <c r="M8571" s="15"/>
    </row>
    <row r="8572" spans="12:13">
      <c r="L8572" s="3">
        <v>44681.743055527855</v>
      </c>
      <c r="M8572" s="15"/>
    </row>
    <row r="8573" spans="12:13">
      <c r="L8573" s="3">
        <v>44681.746527750074</v>
      </c>
      <c r="M8573" s="15"/>
    </row>
    <row r="8574" spans="12:13">
      <c r="L8574" s="3">
        <v>44681.749999972293</v>
      </c>
      <c r="M8574" s="15"/>
    </row>
    <row r="8575" spans="12:13">
      <c r="L8575" s="3">
        <v>44681.753472194512</v>
      </c>
      <c r="M8575" s="15"/>
    </row>
    <row r="8576" spans="12:13">
      <c r="L8576" s="3">
        <v>44681.756944416731</v>
      </c>
      <c r="M8576" s="15"/>
    </row>
    <row r="8577" spans="12:13">
      <c r="L8577" s="3">
        <v>44681.76041663895</v>
      </c>
      <c r="M8577" s="15"/>
    </row>
    <row r="8578" spans="12:13">
      <c r="L8578" s="3">
        <v>44681.763888861169</v>
      </c>
      <c r="M8578" s="15"/>
    </row>
    <row r="8579" spans="12:13">
      <c r="L8579" s="3">
        <v>44681.767361083388</v>
      </c>
      <c r="M8579" s="15"/>
    </row>
    <row r="8580" spans="12:13">
      <c r="L8580" s="3">
        <v>44681.770833305607</v>
      </c>
      <c r="M8580" s="15"/>
    </row>
    <row r="8581" spans="12:13">
      <c r="L8581" s="3">
        <v>44681.774305527826</v>
      </c>
      <c r="M8581" s="15"/>
    </row>
    <row r="8582" spans="12:13">
      <c r="L8582" s="3">
        <v>44681.777777750045</v>
      </c>
      <c r="M8582" s="15"/>
    </row>
    <row r="8583" spans="12:13">
      <c r="L8583" s="3">
        <v>44681.781249972264</v>
      </c>
      <c r="M8583" s="15"/>
    </row>
    <row r="8584" spans="12:13">
      <c r="L8584" s="3">
        <v>44681.784722194483</v>
      </c>
      <c r="M8584" s="15"/>
    </row>
    <row r="8585" spans="12:13">
      <c r="L8585" s="3">
        <v>44681.788194416702</v>
      </c>
      <c r="M8585" s="15"/>
    </row>
    <row r="8586" spans="12:13">
      <c r="L8586" s="3">
        <v>44681.791666638921</v>
      </c>
      <c r="M8586" s="15"/>
    </row>
    <row r="8587" spans="12:13">
      <c r="L8587" s="3">
        <v>44681.79513886114</v>
      </c>
      <c r="M8587" s="15"/>
    </row>
    <row r="8588" spans="12:13">
      <c r="L8588" s="3">
        <v>44681.798611083359</v>
      </c>
      <c r="M8588" s="15"/>
    </row>
    <row r="8589" spans="12:13">
      <c r="L8589" s="3">
        <v>44681.802083305578</v>
      </c>
      <c r="M8589" s="15"/>
    </row>
    <row r="8590" spans="12:13">
      <c r="L8590" s="3">
        <v>44681.805555527797</v>
      </c>
      <c r="M8590" s="15"/>
    </row>
    <row r="8591" spans="12:13">
      <c r="L8591" s="3">
        <v>44681.809027750016</v>
      </c>
      <c r="M8591" s="15"/>
    </row>
    <row r="8592" spans="12:13">
      <c r="L8592" s="3">
        <v>44681.812499972235</v>
      </c>
      <c r="M8592" s="15"/>
    </row>
    <row r="8593" spans="12:13">
      <c r="L8593" s="3">
        <v>44681.815972194454</v>
      </c>
      <c r="M8593" s="15"/>
    </row>
    <row r="8594" spans="12:13">
      <c r="L8594" s="3">
        <v>44681.819444416673</v>
      </c>
      <c r="M8594" s="15"/>
    </row>
    <row r="8595" spans="12:13">
      <c r="L8595" s="3">
        <v>44681.822916638892</v>
      </c>
      <c r="M8595" s="15"/>
    </row>
    <row r="8596" spans="12:13">
      <c r="L8596" s="3">
        <v>44681.826388861111</v>
      </c>
      <c r="M8596" s="15"/>
    </row>
    <row r="8597" spans="12:13">
      <c r="L8597" s="3">
        <v>44681.82986108333</v>
      </c>
      <c r="M8597" s="15"/>
    </row>
    <row r="8598" spans="12:13">
      <c r="L8598" s="3">
        <v>44681.833333305549</v>
      </c>
      <c r="M8598" s="15"/>
    </row>
    <row r="8599" spans="12:13">
      <c r="L8599" s="3">
        <v>44681.836805527768</v>
      </c>
      <c r="M8599" s="15"/>
    </row>
    <row r="8600" spans="12:13">
      <c r="L8600" s="3">
        <v>44681.840277749987</v>
      </c>
      <c r="M8600" s="15"/>
    </row>
    <row r="8601" spans="12:13">
      <c r="L8601" s="3">
        <v>44681.843749972206</v>
      </c>
      <c r="M8601" s="15"/>
    </row>
    <row r="8602" spans="12:13">
      <c r="L8602" s="3">
        <v>44681.847222194425</v>
      </c>
      <c r="M8602" s="15"/>
    </row>
    <row r="8603" spans="12:13">
      <c r="L8603" s="3">
        <v>44681.850694416644</v>
      </c>
      <c r="M8603" s="15"/>
    </row>
    <row r="8604" spans="12:13">
      <c r="L8604" s="3">
        <v>44681.854166638863</v>
      </c>
      <c r="M8604" s="15"/>
    </row>
    <row r="8605" spans="12:13">
      <c r="L8605" s="3">
        <v>44681.857638861082</v>
      </c>
      <c r="M8605" s="15"/>
    </row>
    <row r="8606" spans="12:13">
      <c r="L8606" s="3">
        <v>44681.861111083301</v>
      </c>
      <c r="M8606" s="15"/>
    </row>
    <row r="8607" spans="12:13">
      <c r="L8607" s="3">
        <v>44681.86458330552</v>
      </c>
      <c r="M8607" s="15"/>
    </row>
    <row r="8608" spans="12:13">
      <c r="L8608" s="3">
        <v>44681.868055527739</v>
      </c>
      <c r="M8608" s="15"/>
    </row>
    <row r="8609" spans="12:13">
      <c r="L8609" s="3">
        <v>44681.871527749958</v>
      </c>
      <c r="M8609" s="15"/>
    </row>
    <row r="8610" spans="12:13">
      <c r="L8610" s="3">
        <v>44681.874999972177</v>
      </c>
      <c r="M8610" s="15"/>
    </row>
    <row r="8611" spans="12:13">
      <c r="L8611" s="3">
        <v>44681.878472194396</v>
      </c>
      <c r="M8611" s="15"/>
    </row>
    <row r="8612" spans="12:13">
      <c r="L8612" s="3">
        <v>44681.881944416615</v>
      </c>
      <c r="M8612" s="15"/>
    </row>
    <row r="8613" spans="12:13">
      <c r="L8613" s="3">
        <v>44681.885416638834</v>
      </c>
      <c r="M8613" s="15"/>
    </row>
    <row r="8614" spans="12:13">
      <c r="L8614" s="3">
        <v>44681.888888861053</v>
      </c>
      <c r="M8614" s="15"/>
    </row>
    <row r="8615" spans="12:13">
      <c r="L8615" s="3">
        <v>44681.892361083272</v>
      </c>
      <c r="M8615" s="15"/>
    </row>
    <row r="8616" spans="12:13">
      <c r="L8616" s="3">
        <v>44681.895833305491</v>
      </c>
      <c r="M8616" s="15"/>
    </row>
    <row r="8617" spans="12:13">
      <c r="L8617" s="3">
        <v>44681.89930552771</v>
      </c>
      <c r="M8617" s="15"/>
    </row>
    <row r="8618" spans="12:13">
      <c r="L8618" s="3">
        <v>44681.902777749929</v>
      </c>
      <c r="M8618" s="15"/>
    </row>
    <row r="8619" spans="12:13">
      <c r="L8619" s="3">
        <v>44681.906249972148</v>
      </c>
      <c r="M8619" s="15"/>
    </row>
    <row r="8620" spans="12:13">
      <c r="L8620" s="3">
        <v>44681.909722194367</v>
      </c>
      <c r="M8620" s="15"/>
    </row>
    <row r="8621" spans="12:13">
      <c r="L8621" s="3">
        <v>44681.913194416586</v>
      </c>
      <c r="M8621" s="15"/>
    </row>
    <row r="8622" spans="12:13">
      <c r="L8622" s="3">
        <v>44681.916666638805</v>
      </c>
      <c r="M8622" s="15"/>
    </row>
    <row r="8623" spans="12:13">
      <c r="L8623" s="3">
        <v>44681.920138861024</v>
      </c>
      <c r="M8623" s="15"/>
    </row>
    <row r="8624" spans="12:13">
      <c r="L8624" s="3">
        <v>44681.923611083243</v>
      </c>
      <c r="M8624" s="15"/>
    </row>
    <row r="8625" spans="12:13">
      <c r="L8625" s="3">
        <v>44681.927083305462</v>
      </c>
      <c r="M8625" s="15"/>
    </row>
    <row r="8626" spans="12:13">
      <c r="L8626" s="3">
        <v>44681.930555527681</v>
      </c>
      <c r="M8626" s="15"/>
    </row>
    <row r="8627" spans="12:13">
      <c r="L8627" s="3">
        <v>44681.9340277499</v>
      </c>
      <c r="M8627" s="15"/>
    </row>
    <row r="8628" spans="12:13">
      <c r="L8628" s="3">
        <v>44681.937499972119</v>
      </c>
      <c r="M8628" s="15"/>
    </row>
    <row r="8629" spans="12:13">
      <c r="L8629" s="3">
        <v>44681.940972194338</v>
      </c>
      <c r="M8629" s="15"/>
    </row>
    <row r="8630" spans="12:13">
      <c r="L8630" s="3">
        <v>44681.944444416557</v>
      </c>
      <c r="M8630" s="15"/>
    </row>
    <row r="8631" spans="12:13">
      <c r="L8631" s="3">
        <v>44681.947916638775</v>
      </c>
      <c r="M8631" s="15"/>
    </row>
    <row r="8632" spans="12:13">
      <c r="L8632" s="3">
        <v>44681.951388860994</v>
      </c>
      <c r="M8632" s="15"/>
    </row>
    <row r="8633" spans="12:13">
      <c r="L8633" s="3">
        <v>44681.954861083213</v>
      </c>
      <c r="M8633" s="15"/>
    </row>
    <row r="8634" spans="12:13">
      <c r="L8634" s="3">
        <v>44681.958333305432</v>
      </c>
      <c r="M8634" s="15"/>
    </row>
    <row r="8635" spans="12:13">
      <c r="L8635" s="3">
        <v>44681.961805527651</v>
      </c>
      <c r="M8635" s="15"/>
    </row>
    <row r="8636" spans="12:13">
      <c r="L8636" s="3">
        <v>44681.96527774987</v>
      </c>
      <c r="M8636" s="15"/>
    </row>
    <row r="8637" spans="12:13">
      <c r="L8637" s="3">
        <v>44681.968749972089</v>
      </c>
      <c r="M8637" s="15"/>
    </row>
    <row r="8638" spans="12:13">
      <c r="L8638" s="3">
        <v>44681.972222194308</v>
      </c>
      <c r="M8638" s="15"/>
    </row>
    <row r="8639" spans="12:13">
      <c r="L8639" s="3">
        <v>44681.975694416527</v>
      </c>
      <c r="M8639" s="15"/>
    </row>
    <row r="8640" spans="12:13">
      <c r="L8640" s="3">
        <v>44681.979166638746</v>
      </c>
      <c r="M8640" s="15"/>
    </row>
    <row r="8641" spans="12:13">
      <c r="L8641" s="3">
        <v>44681.982638860965</v>
      </c>
      <c r="M8641" s="15"/>
    </row>
    <row r="8642" spans="12:13">
      <c r="L8642" s="3">
        <v>44681.986111083184</v>
      </c>
      <c r="M8642" s="15"/>
    </row>
    <row r="8643" spans="12:13">
      <c r="L8643" s="3">
        <v>44681.989583305403</v>
      </c>
      <c r="M8643" s="15"/>
    </row>
    <row r="8644" spans="12:13">
      <c r="L8644" s="3">
        <v>44681.993055527622</v>
      </c>
      <c r="M8644" s="15"/>
    </row>
    <row r="8645" spans="12:13">
      <c r="L8645" s="3">
        <v>44681.996527749841</v>
      </c>
      <c r="M8645" s="15"/>
    </row>
    <row r="8647" spans="12:13">
      <c r="L8647" s="3"/>
    </row>
    <row r="8648" spans="12:13">
      <c r="L8648" s="3"/>
    </row>
    <row r="8649" spans="12:13">
      <c r="L8649" s="3"/>
    </row>
    <row r="8650" spans="12:13">
      <c r="L8650" s="3"/>
    </row>
    <row r="8651" spans="12:13">
      <c r="L8651" s="3"/>
    </row>
    <row r="8652" spans="12:13">
      <c r="L8652" s="3"/>
    </row>
    <row r="8653" spans="12:13">
      <c r="L8653" s="3"/>
    </row>
    <row r="8654" spans="12:13">
      <c r="L8654" s="3"/>
    </row>
    <row r="8655" spans="12:13">
      <c r="L8655" s="3"/>
    </row>
    <row r="8656" spans="12:13">
      <c r="L8656" s="3"/>
    </row>
    <row r="8657" spans="12:12">
      <c r="L8657" s="3"/>
    </row>
    <row r="8658" spans="12:12">
      <c r="L8658" s="3"/>
    </row>
    <row r="8659" spans="12:12">
      <c r="L8659" s="3"/>
    </row>
    <row r="8660" spans="12:12">
      <c r="L8660" s="3"/>
    </row>
    <row r="8661" spans="12:12">
      <c r="L8661" s="3"/>
    </row>
    <row r="8662" spans="12:12">
      <c r="L8662" s="3"/>
    </row>
    <row r="8663" spans="12:12">
      <c r="L8663" s="3"/>
    </row>
    <row r="8664" spans="12:12">
      <c r="L8664" s="3"/>
    </row>
    <row r="8665" spans="12:12">
      <c r="L8665" s="3"/>
    </row>
    <row r="8666" spans="12:12">
      <c r="L8666" s="3"/>
    </row>
    <row r="8667" spans="12:12">
      <c r="L8667" s="3"/>
    </row>
    <row r="8668" spans="12:12">
      <c r="L8668" s="3"/>
    </row>
    <row r="8669" spans="12:12">
      <c r="L8669" s="3"/>
    </row>
    <row r="8670" spans="12:12">
      <c r="L8670" s="3"/>
    </row>
    <row r="8671" spans="12:12">
      <c r="L8671" s="3"/>
    </row>
    <row r="8672" spans="12:12">
      <c r="L8672" s="3"/>
    </row>
    <row r="8673" spans="12:12">
      <c r="L8673" s="3"/>
    </row>
    <row r="8674" spans="12:12">
      <c r="L8674" s="3"/>
    </row>
    <row r="8675" spans="12:12">
      <c r="L8675" s="3"/>
    </row>
    <row r="8676" spans="12:12">
      <c r="L8676" s="3"/>
    </row>
    <row r="8677" spans="12:12">
      <c r="L8677" s="3"/>
    </row>
    <row r="8678" spans="12:12">
      <c r="L8678" s="3"/>
    </row>
    <row r="8679" spans="12:12">
      <c r="L8679" s="3"/>
    </row>
    <row r="8680" spans="12:12">
      <c r="L8680" s="3"/>
    </row>
    <row r="8681" spans="12:12">
      <c r="L8681" s="3"/>
    </row>
    <row r="8682" spans="12:12">
      <c r="L8682" s="3"/>
    </row>
    <row r="8683" spans="12:12">
      <c r="L8683" s="3"/>
    </row>
    <row r="8684" spans="12:12">
      <c r="L8684" s="3"/>
    </row>
    <row r="8685" spans="12:12">
      <c r="L8685" s="3"/>
    </row>
    <row r="8686" spans="12:12">
      <c r="L8686" s="3"/>
    </row>
    <row r="8687" spans="12:12">
      <c r="L8687" s="3"/>
    </row>
    <row r="8688" spans="12:12">
      <c r="L8688" s="3"/>
    </row>
    <row r="8689" spans="12:12">
      <c r="L8689" s="3"/>
    </row>
    <row r="8690" spans="12:12">
      <c r="L8690" s="3"/>
    </row>
    <row r="8691" spans="12:12">
      <c r="L8691" s="3"/>
    </row>
    <row r="8692" spans="12:12">
      <c r="L8692" s="3"/>
    </row>
    <row r="8693" spans="12:12">
      <c r="L8693" s="3"/>
    </row>
    <row r="8694" spans="12:12">
      <c r="L8694" s="3"/>
    </row>
    <row r="8695" spans="12:12">
      <c r="L8695" s="3"/>
    </row>
    <row r="8696" spans="12:12">
      <c r="L8696" s="3"/>
    </row>
    <row r="8697" spans="12:12">
      <c r="L8697" s="3"/>
    </row>
    <row r="8698" spans="12:12">
      <c r="L8698" s="3"/>
    </row>
    <row r="8699" spans="12:12">
      <c r="L8699" s="3"/>
    </row>
    <row r="8700" spans="12:12">
      <c r="L8700" s="3"/>
    </row>
    <row r="8701" spans="12:12">
      <c r="L8701" s="3"/>
    </row>
    <row r="8702" spans="12:12">
      <c r="L8702" s="3"/>
    </row>
    <row r="8703" spans="12:12">
      <c r="L8703" s="3"/>
    </row>
    <row r="8704" spans="12:12">
      <c r="L8704" s="3"/>
    </row>
    <row r="8705" spans="12:12">
      <c r="L8705" s="3"/>
    </row>
    <row r="8706" spans="12:12">
      <c r="L8706" s="3"/>
    </row>
    <row r="8707" spans="12:12">
      <c r="L8707" s="3"/>
    </row>
    <row r="8708" spans="12:12">
      <c r="L8708" s="3"/>
    </row>
    <row r="8709" spans="12:12">
      <c r="L8709" s="3"/>
    </row>
    <row r="8710" spans="12:12">
      <c r="L8710" s="3"/>
    </row>
    <row r="8711" spans="12:12">
      <c r="L8711" s="3"/>
    </row>
    <row r="8712" spans="12:12">
      <c r="L8712" s="3"/>
    </row>
    <row r="8713" spans="12:12">
      <c r="L8713" s="3"/>
    </row>
    <row r="8714" spans="12:12">
      <c r="L8714" s="3"/>
    </row>
    <row r="8715" spans="12:12">
      <c r="L8715" s="3"/>
    </row>
    <row r="8716" spans="12:12">
      <c r="L8716" s="3"/>
    </row>
    <row r="8717" spans="12:12">
      <c r="L8717" s="3"/>
    </row>
    <row r="8718" spans="12:12">
      <c r="L8718" s="3"/>
    </row>
    <row r="8719" spans="12:12">
      <c r="L8719" s="3"/>
    </row>
    <row r="8720" spans="12:12">
      <c r="L8720" s="3"/>
    </row>
    <row r="8721" spans="12:12">
      <c r="L8721" s="3"/>
    </row>
    <row r="8722" spans="12:12">
      <c r="L8722" s="3"/>
    </row>
    <row r="8723" spans="12:12">
      <c r="L8723" s="3"/>
    </row>
    <row r="8724" spans="12:12">
      <c r="L8724" s="3"/>
    </row>
    <row r="8725" spans="12:12">
      <c r="L8725" s="3"/>
    </row>
    <row r="8726" spans="12:12">
      <c r="L8726" s="3"/>
    </row>
    <row r="8727" spans="12:12">
      <c r="L8727" s="3"/>
    </row>
    <row r="8728" spans="12:12">
      <c r="L8728" s="3"/>
    </row>
    <row r="8729" spans="12:12">
      <c r="L8729" s="3"/>
    </row>
    <row r="8730" spans="12:12">
      <c r="L8730" s="3"/>
    </row>
    <row r="8731" spans="12:12">
      <c r="L8731" s="3"/>
    </row>
    <row r="8732" spans="12:12">
      <c r="L8732" s="3"/>
    </row>
    <row r="8733" spans="12:12">
      <c r="L8733" s="3"/>
    </row>
    <row r="8734" spans="12:12">
      <c r="L8734" s="3"/>
    </row>
    <row r="8735" spans="12:12">
      <c r="L8735" s="3"/>
    </row>
    <row r="8736" spans="12:12">
      <c r="L8736" s="3"/>
    </row>
    <row r="8737" spans="12:12">
      <c r="L8737" s="3"/>
    </row>
    <row r="8738" spans="12:12">
      <c r="L8738" s="3"/>
    </row>
    <row r="8739" spans="12:12">
      <c r="L8739" s="3"/>
    </row>
    <row r="8740" spans="12:12">
      <c r="L8740" s="3"/>
    </row>
    <row r="8741" spans="12:12">
      <c r="L8741" s="3"/>
    </row>
    <row r="8742" spans="12:12">
      <c r="L8742" s="3"/>
    </row>
    <row r="8743" spans="12:12">
      <c r="L8743" s="3"/>
    </row>
    <row r="8744" spans="12:12">
      <c r="L8744" s="3"/>
    </row>
    <row r="8745" spans="12:12">
      <c r="L8745" s="3"/>
    </row>
    <row r="8746" spans="12:12">
      <c r="L8746" s="3"/>
    </row>
    <row r="8747" spans="12:12">
      <c r="L8747" s="3"/>
    </row>
    <row r="8748" spans="12:12">
      <c r="L8748" s="3"/>
    </row>
    <row r="8749" spans="12:12">
      <c r="L8749" s="3"/>
    </row>
    <row r="8750" spans="12:12">
      <c r="L8750" s="3"/>
    </row>
    <row r="8751" spans="12:12">
      <c r="L8751" s="3"/>
    </row>
    <row r="8752" spans="12:12">
      <c r="L8752" s="3"/>
    </row>
    <row r="8753" spans="12:12">
      <c r="L8753" s="3"/>
    </row>
    <row r="8754" spans="12:12">
      <c r="L8754" s="3"/>
    </row>
    <row r="8755" spans="12:12">
      <c r="L8755" s="3"/>
    </row>
    <row r="8756" spans="12:12">
      <c r="L8756" s="3"/>
    </row>
    <row r="8757" spans="12:12">
      <c r="L8757" s="3"/>
    </row>
    <row r="8758" spans="12:12">
      <c r="L8758" s="3"/>
    </row>
    <row r="8759" spans="12:12">
      <c r="L8759" s="3"/>
    </row>
    <row r="8760" spans="12:12">
      <c r="L8760" s="3"/>
    </row>
    <row r="8761" spans="12:12">
      <c r="L8761" s="3"/>
    </row>
    <row r="8762" spans="12:12">
      <c r="L8762" s="3"/>
    </row>
    <row r="8763" spans="12:12">
      <c r="L8763" s="3"/>
    </row>
    <row r="8764" spans="12:12">
      <c r="L8764" s="3"/>
    </row>
    <row r="8765" spans="12:12">
      <c r="L8765" s="3"/>
    </row>
    <row r="8766" spans="12:12">
      <c r="L8766" s="3"/>
    </row>
    <row r="8767" spans="12:12">
      <c r="L8767" s="3"/>
    </row>
    <row r="8768" spans="12:12">
      <c r="L8768" s="3"/>
    </row>
    <row r="8769" spans="12:12">
      <c r="L8769" s="3"/>
    </row>
    <row r="8770" spans="12:12">
      <c r="L8770" s="3"/>
    </row>
    <row r="8771" spans="12:12">
      <c r="L8771" s="3"/>
    </row>
    <row r="8772" spans="12:12">
      <c r="L8772" s="3"/>
    </row>
    <row r="8773" spans="12:12">
      <c r="L8773" s="3"/>
    </row>
    <row r="8774" spans="12:12">
      <c r="L8774" s="3"/>
    </row>
    <row r="8775" spans="12:12">
      <c r="L8775" s="3"/>
    </row>
    <row r="8776" spans="12:12">
      <c r="L8776" s="3"/>
    </row>
    <row r="8777" spans="12:12">
      <c r="L8777" s="3"/>
    </row>
    <row r="8778" spans="12:12">
      <c r="L8778" s="3"/>
    </row>
    <row r="8779" spans="12:12">
      <c r="L8779" s="3"/>
    </row>
    <row r="8780" spans="12:12">
      <c r="L8780" s="3"/>
    </row>
    <row r="8781" spans="12:12">
      <c r="L8781" s="3"/>
    </row>
    <row r="8782" spans="12:12">
      <c r="L8782" s="3"/>
    </row>
    <row r="8783" spans="12:12">
      <c r="L8783" s="3"/>
    </row>
    <row r="8784" spans="12:12">
      <c r="L8784" s="3"/>
    </row>
    <row r="8785" spans="12:12">
      <c r="L8785" s="3"/>
    </row>
    <row r="8786" spans="12:12">
      <c r="L8786" s="3"/>
    </row>
    <row r="8787" spans="12:12">
      <c r="L8787" s="3"/>
    </row>
    <row r="8788" spans="12:12">
      <c r="L8788" s="3"/>
    </row>
    <row r="8789" spans="12:12">
      <c r="L8789" s="3"/>
    </row>
    <row r="8790" spans="12:12">
      <c r="L8790" s="3"/>
    </row>
    <row r="8791" spans="12:12">
      <c r="L8791" s="3"/>
    </row>
    <row r="8792" spans="12:12">
      <c r="L8792" s="3"/>
    </row>
    <row r="8793" spans="12:12">
      <c r="L8793" s="3"/>
    </row>
    <row r="8794" spans="12:12">
      <c r="L8794" s="3"/>
    </row>
    <row r="8795" spans="12:12">
      <c r="L8795" s="3"/>
    </row>
    <row r="8796" spans="12:12">
      <c r="L8796" s="3"/>
    </row>
    <row r="8797" spans="12:12">
      <c r="L8797" s="3"/>
    </row>
    <row r="8798" spans="12:12">
      <c r="L8798" s="3"/>
    </row>
    <row r="8799" spans="12:12">
      <c r="L8799" s="3"/>
    </row>
    <row r="8800" spans="12:12">
      <c r="L8800" s="3"/>
    </row>
    <row r="8801" spans="12:12">
      <c r="L8801" s="3"/>
    </row>
    <row r="8802" spans="12:12">
      <c r="L8802" s="3"/>
    </row>
    <row r="8803" spans="12:12">
      <c r="L8803" s="3"/>
    </row>
    <row r="8804" spans="12:12">
      <c r="L8804" s="3"/>
    </row>
    <row r="8805" spans="12:12">
      <c r="L8805" s="3"/>
    </row>
    <row r="8806" spans="12:12">
      <c r="L8806" s="3"/>
    </row>
    <row r="8807" spans="12:12">
      <c r="L8807" s="3"/>
    </row>
    <row r="8808" spans="12:12">
      <c r="L8808" s="3"/>
    </row>
    <row r="8809" spans="12:12">
      <c r="L8809" s="3"/>
    </row>
    <row r="8810" spans="12:12">
      <c r="L8810" s="3"/>
    </row>
    <row r="8811" spans="12:12">
      <c r="L8811" s="3"/>
    </row>
    <row r="8812" spans="12:12">
      <c r="L8812" s="3"/>
    </row>
    <row r="8813" spans="12:12">
      <c r="L8813" s="3"/>
    </row>
    <row r="8814" spans="12:12">
      <c r="L8814" s="3"/>
    </row>
    <row r="8815" spans="12:12">
      <c r="L8815" s="3"/>
    </row>
    <row r="8816" spans="12:12">
      <c r="L8816" s="3"/>
    </row>
    <row r="8817" spans="12:12">
      <c r="L8817" s="3"/>
    </row>
    <row r="8818" spans="12:12">
      <c r="L8818" s="3"/>
    </row>
    <row r="8819" spans="12:12">
      <c r="L8819" s="3"/>
    </row>
    <row r="8820" spans="12:12">
      <c r="L8820" s="3"/>
    </row>
    <row r="8821" spans="12:12">
      <c r="L8821" s="3"/>
    </row>
    <row r="8822" spans="12:12">
      <c r="L8822" s="3"/>
    </row>
    <row r="8823" spans="12:12">
      <c r="L8823" s="3"/>
    </row>
    <row r="8824" spans="12:12">
      <c r="L8824" s="3"/>
    </row>
    <row r="8825" spans="12:12">
      <c r="L8825" s="3"/>
    </row>
    <row r="8826" spans="12:12">
      <c r="L8826" s="3"/>
    </row>
    <row r="8827" spans="12:12">
      <c r="L8827" s="3"/>
    </row>
    <row r="8828" spans="12:12">
      <c r="L8828" s="3"/>
    </row>
    <row r="8829" spans="12:12">
      <c r="L8829" s="3"/>
    </row>
    <row r="8830" spans="12:12">
      <c r="L8830" s="3"/>
    </row>
    <row r="8831" spans="12:12">
      <c r="L8831" s="3"/>
    </row>
    <row r="8832" spans="12:12">
      <c r="L8832" s="3"/>
    </row>
    <row r="8833" spans="12:12">
      <c r="L8833" s="3"/>
    </row>
    <row r="8834" spans="12:12">
      <c r="L8834" s="3"/>
    </row>
    <row r="8835" spans="12:12">
      <c r="L8835" s="3"/>
    </row>
    <row r="8836" spans="12:12">
      <c r="L8836" s="3"/>
    </row>
    <row r="8837" spans="12:12">
      <c r="L8837" s="3"/>
    </row>
    <row r="8838" spans="12:12">
      <c r="L8838" s="3"/>
    </row>
    <row r="8839" spans="12:12">
      <c r="L8839" s="3"/>
    </row>
    <row r="8840" spans="12:12">
      <c r="L8840" s="3"/>
    </row>
    <row r="8841" spans="12:12">
      <c r="L8841" s="3"/>
    </row>
    <row r="8842" spans="12:12">
      <c r="L8842" s="3"/>
    </row>
    <row r="8843" spans="12:12">
      <c r="L8843" s="3"/>
    </row>
    <row r="8844" spans="12:12">
      <c r="L8844" s="3"/>
    </row>
    <row r="8845" spans="12:12">
      <c r="L8845" s="3"/>
    </row>
    <row r="8846" spans="12:12">
      <c r="L8846" s="3"/>
    </row>
    <row r="8847" spans="12:12">
      <c r="L8847" s="3"/>
    </row>
    <row r="8848" spans="12:12">
      <c r="L8848" s="3"/>
    </row>
    <row r="8849" spans="12:12">
      <c r="L8849" s="3"/>
    </row>
    <row r="8850" spans="12:12">
      <c r="L8850" s="3"/>
    </row>
    <row r="8851" spans="12:12">
      <c r="L8851" s="3"/>
    </row>
    <row r="8852" spans="12:12">
      <c r="L8852" s="3"/>
    </row>
    <row r="8853" spans="12:12">
      <c r="L8853" s="3"/>
    </row>
    <row r="8854" spans="12:12">
      <c r="L8854" s="3"/>
    </row>
    <row r="8855" spans="12:12">
      <c r="L8855" s="3"/>
    </row>
    <row r="8856" spans="12:12">
      <c r="L8856" s="3"/>
    </row>
    <row r="8857" spans="12:12">
      <c r="L8857" s="3"/>
    </row>
    <row r="8858" spans="12:12">
      <c r="L8858" s="3"/>
    </row>
    <row r="8859" spans="12:12">
      <c r="L8859" s="3"/>
    </row>
    <row r="8860" spans="12:12">
      <c r="L8860" s="3"/>
    </row>
    <row r="8861" spans="12:12">
      <c r="L8861" s="3"/>
    </row>
    <row r="8862" spans="12:12">
      <c r="L8862" s="3"/>
    </row>
    <row r="8863" spans="12:12">
      <c r="L8863" s="3"/>
    </row>
    <row r="8864" spans="12:12">
      <c r="L8864" s="3"/>
    </row>
    <row r="8865" spans="12:12">
      <c r="L8865" s="3"/>
    </row>
    <row r="8866" spans="12:12">
      <c r="L8866" s="3"/>
    </row>
    <row r="8867" spans="12:12">
      <c r="L8867" s="3"/>
    </row>
    <row r="8868" spans="12:12">
      <c r="L8868" s="3"/>
    </row>
    <row r="8869" spans="12:12">
      <c r="L8869" s="3"/>
    </row>
    <row r="8870" spans="12:12">
      <c r="L8870" s="3"/>
    </row>
    <row r="8871" spans="12:12">
      <c r="L8871" s="3"/>
    </row>
    <row r="8872" spans="12:12">
      <c r="L8872" s="3"/>
    </row>
    <row r="8873" spans="12:12">
      <c r="L8873" s="3"/>
    </row>
    <row r="8874" spans="12:12">
      <c r="L8874" s="3"/>
    </row>
    <row r="8875" spans="12:12">
      <c r="L8875" s="3"/>
    </row>
    <row r="8876" spans="12:12">
      <c r="L8876" s="3"/>
    </row>
    <row r="8877" spans="12:12">
      <c r="L8877" s="3"/>
    </row>
    <row r="8878" spans="12:12">
      <c r="L8878" s="3"/>
    </row>
    <row r="8879" spans="12:12">
      <c r="L8879" s="3"/>
    </row>
    <row r="8880" spans="12:12">
      <c r="L8880" s="3"/>
    </row>
    <row r="8881" spans="12:12">
      <c r="L8881" s="3"/>
    </row>
    <row r="8882" spans="12:12">
      <c r="L8882" s="3"/>
    </row>
    <row r="8883" spans="12:12">
      <c r="L8883" s="3"/>
    </row>
    <row r="8884" spans="12:12">
      <c r="L8884" s="3"/>
    </row>
    <row r="8885" spans="12:12">
      <c r="L8885" s="3"/>
    </row>
    <row r="8886" spans="12:12">
      <c r="L8886" s="3"/>
    </row>
    <row r="8887" spans="12:12">
      <c r="L8887" s="3"/>
    </row>
    <row r="8888" spans="12:12">
      <c r="L8888" s="3"/>
    </row>
    <row r="8889" spans="12:12">
      <c r="L8889" s="3"/>
    </row>
    <row r="8890" spans="12:12">
      <c r="L8890" s="3"/>
    </row>
    <row r="8891" spans="12:12">
      <c r="L8891" s="3"/>
    </row>
    <row r="8892" spans="12:12">
      <c r="L8892" s="3"/>
    </row>
    <row r="8893" spans="12:12">
      <c r="L8893" s="3"/>
    </row>
    <row r="8894" spans="12:12">
      <c r="L8894" s="3"/>
    </row>
    <row r="8895" spans="12:12">
      <c r="L8895" s="3"/>
    </row>
    <row r="8896" spans="12:12">
      <c r="L8896" s="3"/>
    </row>
    <row r="8897" spans="12:12">
      <c r="L8897" s="3"/>
    </row>
    <row r="8898" spans="12:12">
      <c r="L8898" s="3"/>
    </row>
    <row r="8899" spans="12:12">
      <c r="L8899" s="3"/>
    </row>
    <row r="8900" spans="12:12">
      <c r="L8900" s="3"/>
    </row>
    <row r="8901" spans="12:12">
      <c r="L8901" s="3"/>
    </row>
    <row r="8902" spans="12:12">
      <c r="L8902" s="3"/>
    </row>
    <row r="8903" spans="12:12">
      <c r="L8903" s="3"/>
    </row>
    <row r="8904" spans="12:12">
      <c r="L8904" s="3"/>
    </row>
    <row r="8905" spans="12:12">
      <c r="L8905" s="3"/>
    </row>
    <row r="8906" spans="12:12">
      <c r="L8906" s="3"/>
    </row>
    <row r="8907" spans="12:12">
      <c r="L8907" s="3"/>
    </row>
    <row r="8908" spans="12:12">
      <c r="L8908" s="3"/>
    </row>
    <row r="8909" spans="12:12">
      <c r="L8909" s="3"/>
    </row>
    <row r="8910" spans="12:12">
      <c r="L8910" s="3"/>
    </row>
    <row r="8911" spans="12:12">
      <c r="L8911" s="3"/>
    </row>
    <row r="8912" spans="12:12">
      <c r="L8912" s="3"/>
    </row>
    <row r="8913" spans="12:12">
      <c r="L8913" s="3"/>
    </row>
    <row r="8914" spans="12:12">
      <c r="L8914" s="3"/>
    </row>
    <row r="8915" spans="12:12">
      <c r="L8915" s="3"/>
    </row>
    <row r="8916" spans="12:12">
      <c r="L8916" s="3"/>
    </row>
    <row r="8917" spans="12:12">
      <c r="L8917" s="3"/>
    </row>
    <row r="8918" spans="12:12">
      <c r="L8918" s="3"/>
    </row>
    <row r="8919" spans="12:12">
      <c r="L8919" s="3"/>
    </row>
    <row r="8920" spans="12:12">
      <c r="L8920" s="3"/>
    </row>
    <row r="8921" spans="12:12">
      <c r="L8921" s="3"/>
    </row>
    <row r="8922" spans="12:12">
      <c r="L8922" s="3"/>
    </row>
    <row r="8923" spans="12:12">
      <c r="L8923" s="3"/>
    </row>
    <row r="8924" spans="12:12">
      <c r="L8924" s="3"/>
    </row>
    <row r="8925" spans="12:12">
      <c r="L8925" s="3"/>
    </row>
    <row r="8926" spans="12:12">
      <c r="L8926" s="3"/>
    </row>
    <row r="8927" spans="12:12">
      <c r="L8927" s="3"/>
    </row>
    <row r="8928" spans="12:12">
      <c r="L8928" s="3"/>
    </row>
    <row r="8929" spans="12:12">
      <c r="L8929" s="3"/>
    </row>
    <row r="8930" spans="12:12">
      <c r="L8930" s="3"/>
    </row>
    <row r="8931" spans="12:12">
      <c r="L8931" s="3"/>
    </row>
    <row r="8932" spans="12:12">
      <c r="L8932" s="3"/>
    </row>
    <row r="8933" spans="12:12">
      <c r="L8933" s="3"/>
    </row>
    <row r="8934" spans="12:12">
      <c r="L8934" s="3"/>
    </row>
    <row r="8935" spans="12:12">
      <c r="L8935" s="3"/>
    </row>
    <row r="8936" spans="12:12">
      <c r="L8936" s="3"/>
    </row>
    <row r="8937" spans="12:12">
      <c r="L8937" s="3"/>
    </row>
    <row r="8938" spans="12:12">
      <c r="L8938" s="3"/>
    </row>
    <row r="8939" spans="12:12">
      <c r="L8939" s="3"/>
    </row>
    <row r="8940" spans="12:12">
      <c r="L8940" s="3"/>
    </row>
    <row r="8941" spans="12:12">
      <c r="L8941" s="3"/>
    </row>
    <row r="8942" spans="12:12">
      <c r="L8942" s="3"/>
    </row>
    <row r="8943" spans="12:12">
      <c r="L8943" s="3"/>
    </row>
    <row r="8944" spans="12:12">
      <c r="L8944" s="3"/>
    </row>
    <row r="8945" spans="12:12">
      <c r="L8945" s="3"/>
    </row>
    <row r="8946" spans="12:12">
      <c r="L8946" s="3"/>
    </row>
    <row r="8947" spans="12:12">
      <c r="L8947" s="3"/>
    </row>
    <row r="8948" spans="12:12">
      <c r="L8948" s="3"/>
    </row>
    <row r="8949" spans="12:12">
      <c r="L8949" s="3"/>
    </row>
    <row r="8950" spans="12:12">
      <c r="L8950" s="3"/>
    </row>
    <row r="8951" spans="12:12">
      <c r="L8951" s="3"/>
    </row>
    <row r="8952" spans="12:12">
      <c r="L8952" s="3"/>
    </row>
    <row r="8953" spans="12:12">
      <c r="L8953" s="3"/>
    </row>
    <row r="8954" spans="12:12">
      <c r="L8954" s="3"/>
    </row>
    <row r="8955" spans="12:12">
      <c r="L8955" s="3"/>
    </row>
    <row r="8956" spans="12:12">
      <c r="L8956" s="3"/>
    </row>
    <row r="8957" spans="12:12">
      <c r="L8957" s="3"/>
    </row>
    <row r="8958" spans="12:12">
      <c r="L8958" s="3"/>
    </row>
    <row r="8959" spans="12:12">
      <c r="L8959" s="3"/>
    </row>
    <row r="8960" spans="12:12">
      <c r="L8960" s="3"/>
    </row>
    <row r="8961" spans="12:12">
      <c r="L8961" s="3"/>
    </row>
  </sheetData>
  <autoFilter ref="B4:J1373" xr:uid="{9EE6F468-225E-4845-AF6E-6C0713B07AB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48c0e796e4048278b990f60b6de340e xmlns="5d1a2284-45bc-4927-a9f9-e51f9f17c21a">
      <Terms xmlns="http://schemas.microsoft.com/office/infopath/2007/PartnerControls"/>
    </n48c0e796e4048278b990f60b6de340e>
    <TaxCatchAll xmlns="5d1a2284-45bc-4927-a9f9-e51f9f17c21a" xsi:nil="true"/>
    <TaxKeywordTaxHTField xmlns="5d1a2284-45bc-4927-a9f9-e51f9f17c21a">
      <Terms xmlns="http://schemas.microsoft.com/office/infopath/2007/PartnerControls"/>
    </TaxKeywordTaxHTField>
    <lcf76f155ced4ddcb4097134ff3c332f xmlns="00ca3505-958b-494c-a043-f0bff8ef2e6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AEMO Collaboration Document" ma:contentTypeID="0x01010082774FAFD2180F48AEEA8305B08ED5EB003FB041BCB361C64DB53EF66583DB497B" ma:contentTypeVersion="19" ma:contentTypeDescription="" ma:contentTypeScope="" ma:versionID="3d0c37cc0b8e4eb3c62c9e87ea695ebd">
  <xsd:schema xmlns:xsd="http://www.w3.org/2001/XMLSchema" xmlns:xs="http://www.w3.org/2001/XMLSchema" xmlns:p="http://schemas.microsoft.com/office/2006/metadata/properties" xmlns:ns2="5d1a2284-45bc-4927-a9f9-e51f9f17c21a" xmlns:ns3="00ca3505-958b-494c-a043-f0bff8ef2e62" targetNamespace="http://schemas.microsoft.com/office/2006/metadata/properties" ma:root="true" ma:fieldsID="e80ae563767589d4c4333b5c5c761b03" ns2:_="" ns3:_="">
    <xsd:import namespace="5d1a2284-45bc-4927-a9f9-e51f9f17c21a"/>
    <xsd:import namespace="00ca3505-958b-494c-a043-f0bff8ef2e62"/>
    <xsd:element name="properties">
      <xsd:complexType>
        <xsd:sequence>
          <xsd:element name="documentManagement">
            <xsd:complexType>
              <xsd:all>
                <xsd:element ref="ns2:TaxCatchAll" minOccurs="0"/>
                <xsd:element ref="ns2:TaxCatchAllLabel" minOccurs="0"/>
                <xsd:element ref="ns2:TaxKeywordTaxHTField" minOccurs="0"/>
                <xsd:element ref="ns2:n48c0e796e4048278b990f60b6de340e" minOccurs="0"/>
                <xsd:element ref="ns3:MediaLengthInSeconds" minOccurs="0"/>
                <xsd:element ref="ns3:lcf76f155ced4ddcb4097134ff3c332f"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9a0a1a9f-ecce-4fed-b565-a18f14572d22}" ma:internalName="TaxCatchAll" ma:showField="CatchAllData"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9a0a1a9f-ecce-4fed-b565-a18f14572d22}" ma:internalName="TaxCatchAllLabel" ma:readOnly="true" ma:showField="CatchAllDataLabel"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n48c0e796e4048278b990f60b6de340e" ma:index="12" nillable="true" ma:taxonomy="true" ma:internalName="n48c0e796e4048278b990f60b6de340e" ma:taxonomyFieldName="AEMO_x0020_Communication_x0020_Document_x0020_Type1" ma:displayName="AEMO Collaboration Document Type" ma:default="" ma:fieldId="{748c0e79-6e40-4827-8b99-0f60b6de340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ca3505-958b-494c-a043-f0bff8ef2e62" elementFormDefault="qualified">
    <xsd:import namespace="http://schemas.microsoft.com/office/2006/documentManagement/types"/>
    <xsd:import namespace="http://schemas.microsoft.com/office/infopath/2007/PartnerControls"/>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6CD2420-738D-42D2-AE1B-BEB036B290C8}"/>
</file>

<file path=customXml/itemProps2.xml><?xml version="1.0" encoding="utf-8"?>
<ds:datastoreItem xmlns:ds="http://schemas.openxmlformats.org/officeDocument/2006/customXml" ds:itemID="{5654EB6E-1392-4904-95A7-7A84D3D9D7A1}"/>
</file>

<file path=customXml/itemProps3.xml><?xml version="1.0" encoding="utf-8"?>
<ds:datastoreItem xmlns:ds="http://schemas.openxmlformats.org/officeDocument/2006/customXml" ds:itemID="{35F3E89B-3C05-4DD4-BC77-D4B764FE5C2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Rye Johnstone</dc:creator>
  <cp:keywords/>
  <dc:description/>
  <cp:lastModifiedBy/>
  <cp:revision/>
  <dcterms:created xsi:type="dcterms:W3CDTF">2021-02-16T04:57:07Z</dcterms:created>
  <dcterms:modified xsi:type="dcterms:W3CDTF">2024-01-22T04:42:03Z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EMODocumentType">
    <vt:lpwstr>8;#Operational Record|859762f2-4462-42eb-9744-c955c7e2c540</vt:lpwstr>
  </property>
  <property fmtid="{D5CDD505-2E9C-101B-9397-08002B2CF9AE}" pid="3" name="ContentTypeId">
    <vt:lpwstr>0x01010082774FAFD2180F48AEEA8305B08ED5EB003FB041BCB361C64DB53EF66583DB497B</vt:lpwstr>
  </property>
  <property fmtid="{D5CDD505-2E9C-101B-9397-08002B2CF9AE}" pid="4" name="_dlc_DocIdItemGuid">
    <vt:lpwstr>7ee26bb6-26fc-4341-bd90-13b0d00a80e1</vt:lpwstr>
  </property>
  <property fmtid="{D5CDD505-2E9C-101B-9397-08002B2CF9AE}" pid="5" name="AEMOKeywords">
    <vt:lpwstr/>
  </property>
  <property fmtid="{D5CDD505-2E9C-101B-9397-08002B2CF9AE}" pid="6" name="TaxKeyword">
    <vt:lpwstr/>
  </property>
  <property fmtid="{D5CDD505-2E9C-101B-9397-08002B2CF9AE}" pid="7" name="AEMO Communication Document Type1">
    <vt:lpwstr/>
  </property>
  <property fmtid="{D5CDD505-2E9C-101B-9397-08002B2CF9AE}" pid="8" name="MediaServiceImageTags">
    <vt:lpwstr/>
  </property>
  <property fmtid="{D5CDD505-2E9C-101B-9397-08002B2CF9AE}" pid="9" name="MSIP_Label_c1941c47-a837-430d-8559-fd118a72769e_Enabled">
    <vt:lpwstr>true</vt:lpwstr>
  </property>
  <property fmtid="{D5CDD505-2E9C-101B-9397-08002B2CF9AE}" pid="10" name="MSIP_Label_c1941c47-a837-430d-8559-fd118a72769e_SetDate">
    <vt:lpwstr>2023-07-23T23:38:12Z</vt:lpwstr>
  </property>
  <property fmtid="{D5CDD505-2E9C-101B-9397-08002B2CF9AE}" pid="11" name="MSIP_Label_c1941c47-a837-430d-8559-fd118a72769e_Method">
    <vt:lpwstr>Standard</vt:lpwstr>
  </property>
  <property fmtid="{D5CDD505-2E9C-101B-9397-08002B2CF9AE}" pid="12" name="MSIP_Label_c1941c47-a837-430d-8559-fd118a72769e_Name">
    <vt:lpwstr>Internal</vt:lpwstr>
  </property>
  <property fmtid="{D5CDD505-2E9C-101B-9397-08002B2CF9AE}" pid="13" name="MSIP_Label_c1941c47-a837-430d-8559-fd118a72769e_SiteId">
    <vt:lpwstr>320c999e-3876-4ad0-b401-d241068e9e60</vt:lpwstr>
  </property>
  <property fmtid="{D5CDD505-2E9C-101B-9397-08002B2CF9AE}" pid="14" name="MSIP_Label_c1941c47-a837-430d-8559-fd118a72769e_ActionId">
    <vt:lpwstr>c08e148a-bac5-4a40-8604-ec728dc2c1ac</vt:lpwstr>
  </property>
  <property fmtid="{D5CDD505-2E9C-101B-9397-08002B2CF9AE}" pid="15" name="MSIP_Label_c1941c47-a837-430d-8559-fd118a72769e_ContentBits">
    <vt:lpwstr>0</vt:lpwstr>
  </property>
</Properties>
</file>